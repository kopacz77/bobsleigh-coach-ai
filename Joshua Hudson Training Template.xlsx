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 Plan 3" sheetId="1" r:id="rId4"/>
    <sheet state="visible" name="Training Plan 2" sheetId="2" r:id="rId5"/>
    <sheet state="visible" name="Training Plan 1" sheetId="3" r:id="rId6"/>
    <sheet state="visible" name="Farhtenspeil" sheetId="4" r:id="rId7"/>
    <sheet state="visible" name="PBs and Results" sheetId="5" r:id="rId8"/>
    <sheet state="visible" name="Feedback and Injuries" sheetId="6" r:id="rId9"/>
    <sheet state="visible" name="Analysis" sheetId="7" r:id="rId10"/>
    <sheet state="visible" name="Projected" sheetId="8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20">
      <text>
        <t xml:space="preserve">Had to drop 5kg on this set (supposed to be 155 - became 145)
	-Alex Kopacz</t>
      </text>
    </comment>
    <comment authorId="0" ref="F486">
      <text>
        <t xml:space="preserve">Drop the weight on the upper, bring up the lower
	-Alex Kopacz</t>
      </text>
    </comment>
  </commentList>
</comments>
</file>

<file path=xl/sharedStrings.xml><?xml version="1.0" encoding="utf-8"?>
<sst xmlns="http://schemas.openxmlformats.org/spreadsheetml/2006/main" count="12710" uniqueCount="630">
  <si>
    <t>Road to Italy 2025</t>
  </si>
  <si>
    <t>BODY WEIGHT START 101kg</t>
  </si>
  <si>
    <t xml:space="preserve">Week </t>
  </si>
  <si>
    <t xml:space="preserve">Day 1 </t>
  </si>
  <si>
    <t xml:space="preserve">Day 2 </t>
  </si>
  <si>
    <t xml:space="preserve">Day 3 </t>
  </si>
  <si>
    <t xml:space="preserve">Day 4 </t>
  </si>
  <si>
    <t>Day 5</t>
  </si>
  <si>
    <t>Day 6</t>
  </si>
  <si>
    <t>Day 7</t>
  </si>
  <si>
    <t>Type/weight kg</t>
  </si>
  <si>
    <t>reps</t>
  </si>
  <si>
    <t xml:space="preserve">Notes: </t>
  </si>
  <si>
    <t>Front SQ SLOW</t>
  </si>
  <si>
    <t>Running Shoes</t>
  </si>
  <si>
    <t>Drills</t>
  </si>
  <si>
    <t>Jog</t>
  </si>
  <si>
    <t>Off</t>
  </si>
  <si>
    <t>Focussed drill</t>
  </si>
  <si>
    <t>45 min</t>
  </si>
  <si>
    <t>Daily Work:</t>
  </si>
  <si>
    <t>technique</t>
  </si>
  <si>
    <t>Stretch adductors</t>
  </si>
  <si>
    <t>like its your job</t>
  </si>
  <si>
    <t xml:space="preserve">Kossack stretches </t>
  </si>
  <si>
    <t>Total kg</t>
  </si>
  <si>
    <t>MHG</t>
  </si>
  <si>
    <t>Tibialis raises</t>
  </si>
  <si>
    <t>50 sets daily</t>
  </si>
  <si>
    <t>Bench</t>
  </si>
  <si>
    <t>2x5x100</t>
  </si>
  <si>
    <t>Rest</t>
  </si>
  <si>
    <t>Bent Over Row</t>
  </si>
  <si>
    <t>Travelling game</t>
  </si>
  <si>
    <t>Over head press</t>
  </si>
  <si>
    <t>100m "slow"</t>
  </si>
  <si>
    <t>3 min</t>
  </si>
  <si>
    <t>4 sets of 20 DEADBUGS</t>
  </si>
  <si>
    <t>3min</t>
  </si>
  <si>
    <t>Neck Work</t>
  </si>
  <si>
    <t>100m "fast"</t>
  </si>
  <si>
    <t xml:space="preserve">Add in shoulders, BIs </t>
  </si>
  <si>
    <t>6min</t>
  </si>
  <si>
    <t>and TRIs as you want</t>
  </si>
  <si>
    <t>Hamstrings</t>
  </si>
  <si>
    <t>3 x 15</t>
  </si>
  <si>
    <t>100m Tempo is to be 14s</t>
  </si>
  <si>
    <t>laying on ground</t>
  </si>
  <si>
    <t>heel on bench</t>
  </si>
  <si>
    <t>Time</t>
  </si>
  <si>
    <t>Pushing</t>
  </si>
  <si>
    <t>Sprints</t>
  </si>
  <si>
    <t>8 x 60m strides</t>
  </si>
  <si>
    <t xml:space="preserve">recovery is walk </t>
  </si>
  <si>
    <t>back time</t>
  </si>
  <si>
    <t>Bulgarian Split Sq Slow</t>
  </si>
  <si>
    <t>Overhead Squat Slow</t>
  </si>
  <si>
    <t>Bent Over Row barbell</t>
  </si>
  <si>
    <t>120m "slow"</t>
  </si>
  <si>
    <t>120m "fast"</t>
  </si>
  <si>
    <t>Nordic</t>
  </si>
  <si>
    <t>overhead press</t>
  </si>
  <si>
    <t>2x5x120</t>
  </si>
  <si>
    <t>Hang Snatch</t>
  </si>
  <si>
    <t>up to 5- X Wickets</t>
  </si>
  <si>
    <t>50 m</t>
  </si>
  <si>
    <t>Front Squat 1.5 rep</t>
  </si>
  <si>
    <t>Bulgarian Split Squat 1.5 reps</t>
  </si>
  <si>
    <t>Walking Lunges with barbell</t>
  </si>
  <si>
    <t xml:space="preserve">DO YOUR NORDICS 3x10-15 after </t>
  </si>
  <si>
    <t>each lift day</t>
  </si>
  <si>
    <t>Romanian dead 1 Leg</t>
  </si>
  <si>
    <t>Hang Clean</t>
  </si>
  <si>
    <t>Back Squat 1.5</t>
  </si>
  <si>
    <t>Front Squat</t>
  </si>
  <si>
    <t>2 x 5 x 60m strides</t>
  </si>
  <si>
    <t xml:space="preserve">4x1 </t>
  </si>
  <si>
    <t>Broad jump</t>
  </si>
  <si>
    <t>8x8 hurdle jumps</t>
  </si>
  <si>
    <t>4x1 Broad jumps</t>
  </si>
  <si>
    <t>4x3</t>
  </si>
  <si>
    <t>Frog</t>
  </si>
  <si>
    <t>4x8 Bounds</t>
  </si>
  <si>
    <t>4x8</t>
  </si>
  <si>
    <t>Bounds</t>
  </si>
  <si>
    <t>8x8 Hurdle jumps</t>
  </si>
  <si>
    <t>medium height, 5 feet apart</t>
  </si>
  <si>
    <t>Single Leg DB Bulgarian</t>
  </si>
  <si>
    <t>Flats</t>
  </si>
  <si>
    <t>6 x 60m</t>
  </si>
  <si>
    <t>time</t>
  </si>
  <si>
    <t>Spikes</t>
  </si>
  <si>
    <t xml:space="preserve">3 sets </t>
  </si>
  <si>
    <t>3 Sets</t>
  </si>
  <si>
    <t>technical</t>
  </si>
  <si>
    <t>30 slow</t>
  </si>
  <si>
    <t>40 fast</t>
  </si>
  <si>
    <t>watch video</t>
  </si>
  <si>
    <t>fast</t>
  </si>
  <si>
    <t>60 fast</t>
  </si>
  <si>
    <t>80 slow</t>
  </si>
  <si>
    <t>Rest 6 min</t>
  </si>
  <si>
    <t>fast + tech</t>
  </si>
  <si>
    <t>2-3 min per set</t>
  </si>
  <si>
    <t>Do in running shoes</t>
  </si>
  <si>
    <t>No spikes</t>
  </si>
  <si>
    <t>120 medium</t>
  </si>
  <si>
    <t>80 medium</t>
  </si>
  <si>
    <t>60 medium</t>
  </si>
  <si>
    <t>30 fast</t>
  </si>
  <si>
    <t>Split Jerks (clean + jerk)</t>
  </si>
  <si>
    <t>Full Snatch</t>
  </si>
  <si>
    <t>Full Clean</t>
  </si>
  <si>
    <t xml:space="preserve">Kossac stretches </t>
  </si>
  <si>
    <t>Front Squat 1.5</t>
  </si>
  <si>
    <t>Bulgarian Split</t>
  </si>
  <si>
    <t>Do hamstrings after</t>
  </si>
  <si>
    <t>each Leg day</t>
  </si>
  <si>
    <t>Romanian dead 1 Leg (deficit)</t>
  </si>
  <si>
    <t>Kossack Squats</t>
  </si>
  <si>
    <t>3x15</t>
  </si>
  <si>
    <t>SPLIT JERKS</t>
  </si>
  <si>
    <t>Do 4 L, then 4 R. Or reverse</t>
  </si>
  <si>
    <t>Or each one switch</t>
  </si>
  <si>
    <t xml:space="preserve">DO JUMPS INTO SAND, OR </t>
  </si>
  <si>
    <t>MAT</t>
  </si>
  <si>
    <t>Recovery from falling off roof</t>
  </si>
  <si>
    <t>Snatch (Power)</t>
  </si>
  <si>
    <t>Power Clean</t>
  </si>
  <si>
    <t xml:space="preserve">6x1 </t>
  </si>
  <si>
    <t>4x8 bounds</t>
  </si>
  <si>
    <t xml:space="preserve">8x8 hurdle Jumps </t>
  </si>
  <si>
    <t>5x8</t>
  </si>
  <si>
    <t xml:space="preserve">Back Squat regular </t>
  </si>
  <si>
    <t xml:space="preserve">Front Squat </t>
  </si>
  <si>
    <t>Bulgarian SPLSQ</t>
  </si>
  <si>
    <t>40 slow</t>
  </si>
  <si>
    <t>80 fast</t>
  </si>
  <si>
    <t>60 slow</t>
  </si>
  <si>
    <t>100 medium</t>
  </si>
  <si>
    <t>8 min rest</t>
  </si>
  <si>
    <t>Travelling Game</t>
  </si>
  <si>
    <t>Cleans</t>
  </si>
  <si>
    <t>Snatch</t>
  </si>
  <si>
    <t>Front</t>
  </si>
  <si>
    <t>Snatch From Blocks</t>
  </si>
  <si>
    <t>Clean and Jerk</t>
  </si>
  <si>
    <t xml:space="preserve">3x5 </t>
  </si>
  <si>
    <t>5x8 Bounds</t>
  </si>
  <si>
    <t>6x5 Hurdle jumps</t>
  </si>
  <si>
    <t>Medium Height</t>
  </si>
  <si>
    <t>Wickets - 60 m 6 sets</t>
  </si>
  <si>
    <t>medium height, 8 feet apart</t>
  </si>
  <si>
    <t>4 sprints up hill</t>
  </si>
  <si>
    <t>2x push from breaks (heavy)</t>
  </si>
  <si>
    <t>2x push From pilot bar (light)</t>
  </si>
  <si>
    <t>2x heavy Pilot bar (deep)</t>
  </si>
  <si>
    <t>2x Pilot bar light (deep)</t>
  </si>
  <si>
    <t>Cleans from Blocks I NEED BLOCKS</t>
  </si>
  <si>
    <t>5x5 Hurdle jumps</t>
  </si>
  <si>
    <t xml:space="preserve">Back Squats </t>
  </si>
  <si>
    <t>20 kg</t>
  </si>
  <si>
    <t>30 kg</t>
  </si>
  <si>
    <t>35 kg</t>
  </si>
  <si>
    <t>Road to Italy 2024</t>
  </si>
  <si>
    <t>Do 3 weeks of two days of 120m tempo runs</t>
  </si>
  <si>
    <t>Pull ups</t>
  </si>
  <si>
    <t>Accesories</t>
  </si>
  <si>
    <t>2-4 excersizes, your choice</t>
  </si>
  <si>
    <t>3 sets each max</t>
  </si>
  <si>
    <t>Day 1, Day 2 Snatch work</t>
  </si>
  <si>
    <t>2 sets of 10</t>
  </si>
  <si>
    <t>Travel Day</t>
  </si>
  <si>
    <t>Let feet heal</t>
  </si>
  <si>
    <t>Bulgarian Split Squat</t>
  </si>
  <si>
    <t>up to 10- X Wickets</t>
  </si>
  <si>
    <t>When you land</t>
  </si>
  <si>
    <t>Dance</t>
  </si>
  <si>
    <t>2x 5 x 60m strides</t>
  </si>
  <si>
    <t>Long Strides</t>
  </si>
  <si>
    <t>rest</t>
  </si>
  <si>
    <t>Wait and see</t>
  </si>
  <si>
    <t>5 min</t>
  </si>
  <si>
    <t>how legs feel</t>
  </si>
  <si>
    <t>if good, repeat</t>
  </si>
  <si>
    <t>Single-Leg Glute Bridge</t>
  </si>
  <si>
    <t>GLUTE BRIDGE</t>
  </si>
  <si>
    <t xml:space="preserve">Lie on your back with one leg </t>
  </si>
  <si>
    <t xml:space="preserve">extended and the other foot </t>
  </si>
  <si>
    <t>flat on the ground.</t>
  </si>
  <si>
    <t xml:space="preserve">Lift your hips towards the </t>
  </si>
  <si>
    <t xml:space="preserve">ceiling, squeezing your glutes </t>
  </si>
  <si>
    <t>at the top.</t>
  </si>
  <si>
    <t>flats</t>
  </si>
  <si>
    <t>6 x 60 tempo</t>
  </si>
  <si>
    <t>Do Jumps into Sand or Mat</t>
  </si>
  <si>
    <t>Power Snatch</t>
  </si>
  <si>
    <t>Next week Clean and jerk</t>
  </si>
  <si>
    <t xml:space="preserve">6x8 hurdle Jumps </t>
  </si>
  <si>
    <t>(8 feet apart)</t>
  </si>
  <si>
    <t>6x8 Hurdle jumps</t>
  </si>
  <si>
    <t xml:space="preserve">Back Squat </t>
  </si>
  <si>
    <t>Clean from blocks</t>
  </si>
  <si>
    <t>Walking Lunges</t>
  </si>
  <si>
    <t>8min</t>
  </si>
  <si>
    <t>4 x uphill. focus on long steps</t>
  </si>
  <si>
    <t>4x from the top</t>
  </si>
  <si>
    <t>(2 weighted, 2 unweighted)</t>
  </si>
  <si>
    <t>*** LET YOUR HIPS FLY ***</t>
  </si>
  <si>
    <t>6x1 Broad jumps</t>
  </si>
  <si>
    <t>5x3</t>
  </si>
  <si>
    <t xml:space="preserve">6x5 hurdle Jumps </t>
  </si>
  <si>
    <t>SL BG SPLT SQ</t>
  </si>
  <si>
    <t>Over head Press</t>
  </si>
  <si>
    <t>For fun</t>
  </si>
  <si>
    <t>For Fun</t>
  </si>
  <si>
    <t>Sailing</t>
  </si>
  <si>
    <t>ACTUALLY SAILING VACATION!!!</t>
  </si>
  <si>
    <t>USE THIS FOR NEXT WEEK, THEN CORRECT THIS FOR WHAT JOSH DID</t>
  </si>
  <si>
    <t>25 kg</t>
  </si>
  <si>
    <t>35kg</t>
  </si>
  <si>
    <t>40kg</t>
  </si>
  <si>
    <t>Frog - up stairs</t>
  </si>
  <si>
    <t>Clean</t>
  </si>
  <si>
    <t>Box Squat (Squat to above 90, and go)</t>
  </si>
  <si>
    <t>SL BG SPLT SQ (box squat style)</t>
  </si>
  <si>
    <t>Skipping (jump rope)</t>
  </si>
  <si>
    <t>Fast Feet 20s</t>
  </si>
  <si>
    <t>3 sets</t>
  </si>
  <si>
    <t>Drop Snatch</t>
  </si>
  <si>
    <t xml:space="preserve">5x5 </t>
  </si>
  <si>
    <t>Med Ball Throws 5 reps of Front</t>
  </si>
  <si>
    <t>8x3</t>
  </si>
  <si>
    <t>Height, backwards</t>
  </si>
  <si>
    <t>Are we a bitch?</t>
  </si>
  <si>
    <t>?</t>
  </si>
  <si>
    <t>Front Squat (Box)</t>
  </si>
  <si>
    <t>Flying 30 (ask)</t>
  </si>
  <si>
    <t xml:space="preserve">Super set with </t>
  </si>
  <si>
    <t>Squats!!!</t>
  </si>
  <si>
    <t>40 kg</t>
  </si>
  <si>
    <t>2 sprints up hill</t>
  </si>
  <si>
    <t>4 x light - short (pilot bar)</t>
  </si>
  <si>
    <t>2 x light full speed, full depth</t>
  </si>
  <si>
    <t>Rack Jerk (start in catch, alt legs)</t>
  </si>
  <si>
    <t>Jump Squats</t>
  </si>
  <si>
    <t xml:space="preserve">8x5 </t>
  </si>
  <si>
    <t>8x4</t>
  </si>
  <si>
    <t>Explosive Single Leg step ups</t>
  </si>
  <si>
    <t>Ski Jumps</t>
  </si>
  <si>
    <t>Bench Jumps</t>
  </si>
  <si>
    <t>Post Pushing</t>
  </si>
  <si>
    <t>Talk to Alex</t>
  </si>
  <si>
    <t>Flying 30</t>
  </si>
  <si>
    <t>Day before</t>
  </si>
  <si>
    <t>TESTING</t>
  </si>
  <si>
    <t>Rest Day</t>
  </si>
  <si>
    <t>GO KICK EVERYONEIN THE TEETH</t>
  </si>
  <si>
    <t>TRAVELLING GAME</t>
  </si>
  <si>
    <t>POST TESTING</t>
  </si>
  <si>
    <t>3 x 8</t>
  </si>
  <si>
    <t>all variations</t>
  </si>
  <si>
    <t xml:space="preserve">10x5 </t>
  </si>
  <si>
    <t>(5 stairs at a time)</t>
  </si>
  <si>
    <t>(Spotter)</t>
  </si>
  <si>
    <t>Ski Jumps (height and speed)</t>
  </si>
  <si>
    <t>Med Ball Throw</t>
  </si>
  <si>
    <t>4x height</t>
  </si>
  <si>
    <t>4x front</t>
  </si>
  <si>
    <t>4x back</t>
  </si>
  <si>
    <t>2x light - short (pilot bar)</t>
  </si>
  <si>
    <t>**DEEP TISSUE MASSAGE**</t>
  </si>
  <si>
    <t>Shorter Step Height</t>
  </si>
  <si>
    <t>4 x 8</t>
  </si>
  <si>
    <t>SAUNA/ ICE RECOVERY</t>
  </si>
  <si>
    <t>Power Cleans</t>
  </si>
  <si>
    <t>1PM Lift Time</t>
  </si>
  <si>
    <t>12:15 START TIME</t>
  </si>
  <si>
    <t>REST</t>
  </si>
  <si>
    <t xml:space="preserve">stretch / mobility </t>
  </si>
  <si>
    <t>PB</t>
  </si>
  <si>
    <t xml:space="preserve">Only 80mg of </t>
  </si>
  <si>
    <t>3.7s pilot bar push</t>
  </si>
  <si>
    <t>caffeine and 1 g of</t>
  </si>
  <si>
    <t>0.04 PB</t>
  </si>
  <si>
    <t>Taurine 1hr pre test</t>
  </si>
  <si>
    <t>Same Does again</t>
  </si>
  <si>
    <t>10 min pre</t>
  </si>
  <si>
    <t>Build ups</t>
  </si>
  <si>
    <t>Snatch full</t>
  </si>
  <si>
    <t>Stairs</t>
  </si>
  <si>
    <t>Cleans Full</t>
  </si>
  <si>
    <t>Frog Jumps</t>
  </si>
  <si>
    <t>6x2</t>
  </si>
  <si>
    <t>x2 means 2 steps</t>
  </si>
  <si>
    <t>5x1</t>
  </si>
  <si>
    <t>6x means flights</t>
  </si>
  <si>
    <t>4x4</t>
  </si>
  <si>
    <t>5x5</t>
  </si>
  <si>
    <t>3x5</t>
  </si>
  <si>
    <t>Back Squat full</t>
  </si>
  <si>
    <t>Front Squat Full</t>
  </si>
  <si>
    <t>Uppers, you choice</t>
  </si>
  <si>
    <t>6 sets</t>
  </si>
  <si>
    <t>Box Squat</t>
  </si>
  <si>
    <t xml:space="preserve">Box Squat </t>
  </si>
  <si>
    <t>Sliding</t>
  </si>
  <si>
    <t>TRAVEL</t>
  </si>
  <si>
    <t>Clean Pull (no catch)</t>
  </si>
  <si>
    <t>Rest from Gym</t>
  </si>
  <si>
    <t>Stairs (can do these at track)</t>
  </si>
  <si>
    <t>Challenge Height</t>
  </si>
  <si>
    <t>Hard effort</t>
  </si>
  <si>
    <t>Easy, get comfortable with track</t>
  </si>
  <si>
    <t>Tell Alex when you can go hard</t>
  </si>
  <si>
    <t>Race</t>
  </si>
  <si>
    <t>Squat Jumps</t>
  </si>
  <si>
    <t>NO RACE</t>
  </si>
  <si>
    <t>Weighted Mobility</t>
  </si>
  <si>
    <t>SNOW RACE</t>
  </si>
  <si>
    <t>Start 1 - 5.23</t>
  </si>
  <si>
    <t>8th fastest</t>
  </si>
  <si>
    <t>Start 2 - 5.13</t>
  </si>
  <si>
    <t>8th Fastest</t>
  </si>
  <si>
    <t>Then Crash</t>
  </si>
  <si>
    <t>Jerks</t>
  </si>
  <si>
    <t>Strides and drills</t>
  </si>
  <si>
    <t>FAST - alt leg</t>
  </si>
  <si>
    <t>A litte harder</t>
  </si>
  <si>
    <t>Deeper</t>
  </si>
  <si>
    <t>Fast and hard</t>
  </si>
  <si>
    <t>Take it easy</t>
  </si>
  <si>
    <t>Blow it off the hinges</t>
  </si>
  <si>
    <t>10 min slow jog</t>
  </si>
  <si>
    <t>good stretch before bed</t>
  </si>
  <si>
    <t>Travel Day - Park City</t>
  </si>
  <si>
    <t xml:space="preserve">Off </t>
  </si>
  <si>
    <t>Snatch Pull (no catch)</t>
  </si>
  <si>
    <t>Off from lifting</t>
  </si>
  <si>
    <t>4x6</t>
  </si>
  <si>
    <t>Strides</t>
  </si>
  <si>
    <t>Stair Jumps (if head allows)</t>
  </si>
  <si>
    <t>do 4 sets each</t>
  </si>
  <si>
    <t>double</t>
  </si>
  <si>
    <t>triple</t>
  </si>
  <si>
    <t>quad</t>
  </si>
  <si>
    <t>1 set</t>
  </si>
  <si>
    <t>quint</t>
  </si>
  <si>
    <t>Nice and easy</t>
  </si>
  <si>
    <t>maybe a little deeper?</t>
  </si>
  <si>
    <t>RACE</t>
  </si>
  <si>
    <t>Gym</t>
  </si>
  <si>
    <t>Travel</t>
  </si>
  <si>
    <t>Light work, just keep things moving</t>
  </si>
  <si>
    <t>FInished 5th</t>
  </si>
  <si>
    <t>Start 1</t>
  </si>
  <si>
    <t>Start 2</t>
  </si>
  <si>
    <t>WIth Jens</t>
  </si>
  <si>
    <t>With Jens</t>
  </si>
  <si>
    <t>Sick</t>
  </si>
  <si>
    <t>Travel to Austria</t>
  </si>
  <si>
    <t>Innsbruck</t>
  </si>
  <si>
    <t>(Got sick)</t>
  </si>
  <si>
    <t>Box Squats</t>
  </si>
  <si>
    <t>Mobility</t>
  </si>
  <si>
    <t>Bike Sprint</t>
  </si>
  <si>
    <t>If you can</t>
  </si>
  <si>
    <t>3-5 high rpm</t>
  </si>
  <si>
    <t>sprints</t>
  </si>
  <si>
    <t>10 s sprint</t>
  </si>
  <si>
    <t>1.5-2 min rest</t>
  </si>
  <si>
    <t>(lets see how it goes)</t>
  </si>
  <si>
    <t>3 sets of</t>
  </si>
  <si>
    <t>1 flight each</t>
  </si>
  <si>
    <t>doubles</t>
  </si>
  <si>
    <t xml:space="preserve">triples </t>
  </si>
  <si>
    <t>Stair Jumps</t>
  </si>
  <si>
    <t>Feel 1 out</t>
  </si>
  <si>
    <t>Hard and Deep</t>
  </si>
  <si>
    <t>take it easy</t>
  </si>
  <si>
    <t>Hard accell 2nd one</t>
  </si>
  <si>
    <t>OFF</t>
  </si>
  <si>
    <t>4x5 Hurdle jumps</t>
  </si>
  <si>
    <t>Back Squats Full</t>
  </si>
  <si>
    <t>Front Squats</t>
  </si>
  <si>
    <t>Weighted Sled pulls</t>
  </si>
  <si>
    <t>20kg</t>
  </si>
  <si>
    <t>25kg</t>
  </si>
  <si>
    <t>Box Jump for height</t>
  </si>
  <si>
    <t>30kg</t>
  </si>
  <si>
    <t>Do in Flats</t>
  </si>
  <si>
    <t>Back injury recovery</t>
  </si>
  <si>
    <t>Bulgarian Split Squats</t>
  </si>
  <si>
    <t>In flats</t>
  </si>
  <si>
    <t>Spikes, sled pull</t>
  </si>
  <si>
    <t>Ice house</t>
  </si>
  <si>
    <t>Cleans ? (if you can, feel it out)</t>
  </si>
  <si>
    <t>8 Pushes ( tell me if can be weighted)</t>
  </si>
  <si>
    <t>2x heavy</t>
  </si>
  <si>
    <t>2xlight &amp; deep</t>
  </si>
  <si>
    <t>2x Heavy team push</t>
  </si>
  <si>
    <t>2x light team push deep</t>
  </si>
  <si>
    <t>track work, maybe some sprints</t>
  </si>
  <si>
    <t>Box Squats (be focussed, safe)</t>
  </si>
  <si>
    <t>Track warm up</t>
  </si>
  <si>
    <t>Don do Broad jumps if no</t>
  </si>
  <si>
    <t>Soft landing is possible</t>
  </si>
  <si>
    <t>If adductors hurt</t>
  </si>
  <si>
    <t>Skip</t>
  </si>
  <si>
    <t>Jump Stairs Series</t>
  </si>
  <si>
    <t>Form Focus</t>
  </si>
  <si>
    <t>6-8 sets</t>
  </si>
  <si>
    <t>mix it up</t>
  </si>
  <si>
    <t>Cleans from blocks (feel it out)</t>
  </si>
  <si>
    <t>Snatch from blocks</t>
  </si>
  <si>
    <t>Box</t>
  </si>
  <si>
    <t>Ski Jump</t>
  </si>
  <si>
    <t>Day Before ritual</t>
  </si>
  <si>
    <t>Race day prep</t>
  </si>
  <si>
    <t>2 sprint push sim</t>
  </si>
  <si>
    <t>Road to Italy 2023</t>
  </si>
  <si>
    <t>Type / reps</t>
  </si>
  <si>
    <t>weight kg</t>
  </si>
  <si>
    <t>Cleans from block</t>
  </si>
  <si>
    <t>Snatch from Blocks</t>
  </si>
  <si>
    <t>cleans from block</t>
  </si>
  <si>
    <t>6x6 hurdles</t>
  </si>
  <si>
    <t>bounds</t>
  </si>
  <si>
    <t>6x8</t>
  </si>
  <si>
    <t>hurldes</t>
  </si>
  <si>
    <t>6x6</t>
  </si>
  <si>
    <t>6x6 hurldes</t>
  </si>
  <si>
    <t>medium</t>
  </si>
  <si>
    <t>Kossac stretches every day</t>
  </si>
  <si>
    <t>After each lift day</t>
  </si>
  <si>
    <t>Nordic 3x15</t>
  </si>
  <si>
    <t>Bent over row</t>
  </si>
  <si>
    <t>do what works</t>
  </si>
  <si>
    <t>5 sets</t>
  </si>
  <si>
    <t>8 reps</t>
  </si>
  <si>
    <t>Push Track</t>
  </si>
  <si>
    <t>2 Heavy</t>
  </si>
  <si>
    <t>2 Light</t>
  </si>
  <si>
    <t>2 Deep</t>
  </si>
  <si>
    <t>Back</t>
  </si>
  <si>
    <t>2 Full</t>
  </si>
  <si>
    <t>Easy track day</t>
  </si>
  <si>
    <t>Test day prep</t>
  </si>
  <si>
    <t>warm up and 2 full sprints</t>
  </si>
  <si>
    <t>Jump squats</t>
  </si>
  <si>
    <t xml:space="preserve">Split Jerks, switch leg </t>
  </si>
  <si>
    <t>each rep</t>
  </si>
  <si>
    <t xml:space="preserve">1 leg split squat </t>
  </si>
  <si>
    <t xml:space="preserve">have one leg behind you </t>
  </si>
  <si>
    <t>and raised</t>
  </si>
  <si>
    <t>Alternate Heavy/light 4</t>
  </si>
  <si>
    <t xml:space="preserve">2 full </t>
  </si>
  <si>
    <t>Technique</t>
  </si>
  <si>
    <t>short</t>
  </si>
  <si>
    <t xml:space="preserve">3 full </t>
  </si>
  <si>
    <t>3 Deep</t>
  </si>
  <si>
    <t>Overhead Press</t>
  </si>
  <si>
    <t>3 Heavy</t>
  </si>
  <si>
    <t>4 Alternate Heavy/light</t>
  </si>
  <si>
    <t>clean and Jerk</t>
  </si>
  <si>
    <t>3/leg (switch)</t>
  </si>
  <si>
    <t>into sprint</t>
  </si>
  <si>
    <t>broad jump into sand/mat</t>
  </si>
  <si>
    <t>2x3</t>
  </si>
  <si>
    <t>superset with pullups</t>
  </si>
  <si>
    <t>4 Heavy</t>
  </si>
  <si>
    <t>pilot</t>
  </si>
  <si>
    <t>Sled pulls soon......</t>
  </si>
  <si>
    <t>heavy pull + Jerk</t>
  </si>
  <si>
    <t>with heavy pull, you can go</t>
  </si>
  <si>
    <t>min + 20 kg vs the jerk</t>
  </si>
  <si>
    <t>NO SINGLE LEG!</t>
  </si>
  <si>
    <t>Snatch (full)</t>
  </si>
  <si>
    <t>Clean (full)</t>
  </si>
  <si>
    <t>Bounds into sprints</t>
  </si>
  <si>
    <t>Learning Sigulda</t>
  </si>
  <si>
    <t>No sliding</t>
  </si>
  <si>
    <t>Snatch (hang)</t>
  </si>
  <si>
    <t>Do 5 sets</t>
  </si>
  <si>
    <t>Uppers</t>
  </si>
  <si>
    <t xml:space="preserve">Do accessories </t>
  </si>
  <si>
    <t xml:space="preserve">alternating </t>
  </si>
  <si>
    <t>3 sets per movement</t>
  </si>
  <si>
    <t>2 movements</t>
  </si>
  <si>
    <t>PUSHING</t>
  </si>
  <si>
    <t>Fast</t>
  </si>
  <si>
    <t>Technical, short</t>
  </si>
  <si>
    <t>Hard</t>
  </si>
  <si>
    <t>Easy, technical</t>
  </si>
  <si>
    <t>Technical , long</t>
  </si>
  <si>
    <t>Easy</t>
  </si>
  <si>
    <t>Easy, Technical</t>
  </si>
  <si>
    <t>For Uppers</t>
  </si>
  <si>
    <t>Do 3 sets of 8 reps</t>
  </si>
  <si>
    <t>3 movements</t>
  </si>
  <si>
    <t>RACE DAY</t>
  </si>
  <si>
    <t xml:space="preserve">Drive focus </t>
  </si>
  <si>
    <t>Changed payment plan</t>
  </si>
  <si>
    <t xml:space="preserve">Will charge per week </t>
  </si>
  <si>
    <t>of use</t>
  </si>
  <si>
    <t>Rest day</t>
  </si>
  <si>
    <t>Snatch (power)</t>
  </si>
  <si>
    <t>Clean (power)</t>
  </si>
  <si>
    <t>24hrs before race time</t>
  </si>
  <si>
    <t>Balls out!</t>
  </si>
  <si>
    <t xml:space="preserve">Full race </t>
  </si>
  <si>
    <t>warm up</t>
  </si>
  <si>
    <t>2 sets of 8 bounds</t>
  </si>
  <si>
    <t>Visualize</t>
  </si>
  <si>
    <t>the start</t>
  </si>
  <si>
    <t>2 hrs before bed</t>
  </si>
  <si>
    <t>Post race</t>
  </si>
  <si>
    <t>Stretch everything.</t>
  </si>
  <si>
    <t>Use the ground.</t>
  </si>
  <si>
    <t>lots of hips and hamstrings</t>
  </si>
  <si>
    <t>Dream of the race</t>
  </si>
  <si>
    <t>Deep</t>
  </si>
  <si>
    <t>Technical</t>
  </si>
  <si>
    <t>Pack everything tonight</t>
  </si>
  <si>
    <t>Supplements, etc</t>
  </si>
  <si>
    <t>Christmas Break</t>
  </si>
  <si>
    <t>Cleans (2 sets of pulls then full)</t>
  </si>
  <si>
    <t>Snatch (2sets of pulls then)</t>
  </si>
  <si>
    <t>A</t>
  </si>
  <si>
    <t>B</t>
  </si>
  <si>
    <t>Back Squat Full</t>
  </si>
  <si>
    <t>Hurlde Jumps (low height)</t>
  </si>
  <si>
    <t>Ski Jumps (low height)</t>
  </si>
  <si>
    <t>STRIDES</t>
  </si>
  <si>
    <t>6x60m</t>
  </si>
  <si>
    <t>Travel day</t>
  </si>
  <si>
    <t>Rest Day/ Sled Prep</t>
  </si>
  <si>
    <t>EC Race</t>
  </si>
  <si>
    <t>Short warm up</t>
  </si>
  <si>
    <t>Short Warm up</t>
  </si>
  <si>
    <t>Be sure to wear lots of layers</t>
  </si>
  <si>
    <t>Snappy!</t>
  </si>
  <si>
    <t>Ski jumps</t>
  </si>
  <si>
    <t>POST RACE</t>
  </si>
  <si>
    <t xml:space="preserve">Immediately have your </t>
  </si>
  <si>
    <t>post workout shakes</t>
  </si>
  <si>
    <t>lots of fluids</t>
  </si>
  <si>
    <t>** Speed is all that matters**</t>
  </si>
  <si>
    <t>Full Track Warm up</t>
  </si>
  <si>
    <t>Recovery</t>
  </si>
  <si>
    <t>2 step</t>
  </si>
  <si>
    <t xml:space="preserve">do a slow version of travelling </t>
  </si>
  <si>
    <t>2 sets</t>
  </si>
  <si>
    <t>3 step</t>
  </si>
  <si>
    <t>game</t>
  </si>
  <si>
    <t>4 step</t>
  </si>
  <si>
    <t>do one long flight per set</t>
  </si>
  <si>
    <t>Long</t>
  </si>
  <si>
    <t>Sort of race simulation**</t>
  </si>
  <si>
    <t xml:space="preserve">mid shin </t>
  </si>
  <si>
    <t>to knee height</t>
  </si>
  <si>
    <t>box or similar</t>
  </si>
  <si>
    <t>RUN (s)</t>
  </si>
  <si>
    <t>WALK (s)</t>
  </si>
  <si>
    <t>PILOT</t>
  </si>
  <si>
    <t>30m</t>
  </si>
  <si>
    <t>60m</t>
  </si>
  <si>
    <t>100m</t>
  </si>
  <si>
    <t>Triple Broad Jump</t>
  </si>
  <si>
    <t>Broad Jump</t>
  </si>
  <si>
    <t>Bath Push Track (30m)</t>
  </si>
  <si>
    <t>Oberhof</t>
  </si>
  <si>
    <t>Back Squat</t>
  </si>
  <si>
    <t>(s)</t>
  </si>
  <si>
    <t>(m)</t>
  </si>
  <si>
    <t>Pilot Bar</t>
  </si>
  <si>
    <t>(kg)</t>
  </si>
  <si>
    <t>140*3</t>
  </si>
  <si>
    <t>90*2</t>
  </si>
  <si>
    <t>Track</t>
  </si>
  <si>
    <t>Lilleham</t>
  </si>
  <si>
    <t>Sigulda</t>
  </si>
  <si>
    <t>St.Mortiz</t>
  </si>
  <si>
    <t>Igls</t>
  </si>
  <si>
    <t>Start Times</t>
  </si>
  <si>
    <t>Rank</t>
  </si>
  <si>
    <t>12th</t>
  </si>
  <si>
    <t>7th</t>
  </si>
  <si>
    <t>18th</t>
  </si>
  <si>
    <t>Circuit</t>
  </si>
  <si>
    <t>EC</t>
  </si>
  <si>
    <t>2019/2020</t>
  </si>
  <si>
    <t>Pre seaon injuries and misc Items</t>
  </si>
  <si>
    <t>Feedback from cyrus regarding season and training.</t>
  </si>
  <si>
    <t>Low back pain, on and off.</t>
  </si>
  <si>
    <t>Not smooth transition for training feedback.</t>
  </si>
  <si>
    <t>Overall in good spirits</t>
  </si>
  <si>
    <t>Think of new ideas to make coaching feedback more seamless.</t>
  </si>
  <si>
    <t>good inter team feel</t>
  </si>
  <si>
    <t>Make time to video chat post workout over the summer for Cyrus.</t>
  </si>
  <si>
    <t>Separate pictures for lift and sprints for ease of viewing.</t>
  </si>
  <si>
    <t>Change up Payment options. Wasn’t good doing weekly basd on available funds.</t>
  </si>
  <si>
    <t>2020/2021</t>
  </si>
  <si>
    <t>Back sore (light injury) needs to</t>
  </si>
  <si>
    <t xml:space="preserve"> wear weight belt for lifting</t>
  </si>
  <si>
    <t>Right Ankle Injury , hurts after sprints</t>
  </si>
  <si>
    <t>Hamstring issues from past year</t>
  </si>
  <si>
    <t>Whole body needs a tune up</t>
  </si>
  <si>
    <t>2018/2019 season</t>
  </si>
  <si>
    <t>2019/2020 season (projected and actual)</t>
  </si>
  <si>
    <t>Slope = 3.2</t>
  </si>
  <si>
    <t xml:space="preserve">MHG Actual Slope = </t>
  </si>
  <si>
    <t>Slope = 7.4</t>
  </si>
  <si>
    <t xml:space="preserve">Adjustment for how many back squat days were done per week, I am going to try </t>
  </si>
  <si>
    <t>to show this by stretching the x data points so that I can match up the trendlines</t>
  </si>
  <si>
    <t xml:space="preserve"> to see how close I ws to my planned trajectory.  Cyrus Back squatted 1x per week</t>
  </si>
  <si>
    <t>I assume that there is a max of 3 session per week as per his trianing program</t>
  </si>
  <si>
    <t>Slope = 4.6</t>
  </si>
  <si>
    <t xml:space="preserve">MHG Snatch Slope = </t>
  </si>
  <si>
    <t xml:space="preserve"> to see how close I ws to my planned trajectory.  Cyrus did Snatch sometimes 2x per week, other wise 1x</t>
  </si>
  <si>
    <t xml:space="preserve"> </t>
  </si>
  <si>
    <t>Slope = 1</t>
  </si>
  <si>
    <t>MHG Actual Slope =</t>
  </si>
  <si>
    <t>Projected Weight targets Based on Previous Year Analysis MHG</t>
  </si>
  <si>
    <t>ALL in KG</t>
  </si>
  <si>
    <t>SLOPE</t>
  </si>
  <si>
    <t>SQUATS</t>
  </si>
  <si>
    <t>SNATCH</t>
  </si>
  <si>
    <t>CLEANS</t>
  </si>
  <si>
    <t>SESSIONS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</si>
</sst>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&quot; &quot;yyyy"/>
  </numFmts>
  <fonts count="12">
    <font>
      <sz val="11.0"/>
      <color theme="1"/>
      <name val="Calibri"/>
      <scheme val="minor"/>
    </font>
    <font>
      <sz val="11.0"/>
      <color theme="1"/>
      <name val="Calibri"/>
    </font>
    <font/>
    <font>
      <sz val="12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FFFFFF"/>
      <name val="&quot;Söhne Mono&quot;"/>
    </font>
    <font>
      <sz val="11.0"/>
      <color rgb="FFFF0000"/>
      <name val="Calibri"/>
    </font>
    <font>
      <b/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color theme="1"/>
      <name val="Calibri"/>
      <scheme val="minor"/>
    </font>
    <font>
      <sz val="20.0"/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8E7CC3"/>
        <bgColor rgb="FF8E7CC3"/>
      </patternFill>
    </fill>
    <fill>
      <patternFill patternType="solid">
        <fgColor rgb="FF5B9BD5"/>
        <bgColor rgb="FF5B9BD5"/>
      </patternFill>
    </fill>
    <fill>
      <patternFill patternType="solid">
        <fgColor rgb="FFA8D08D"/>
        <bgColor rgb="FFA8D08D"/>
      </patternFill>
    </fill>
    <fill>
      <patternFill patternType="solid">
        <fgColor rgb="FFFFD965"/>
        <bgColor rgb="FFFFD965"/>
      </patternFill>
    </fill>
    <fill>
      <patternFill patternType="solid">
        <fgColor rgb="FFE06666"/>
        <bgColor rgb="FFE06666"/>
      </patternFill>
    </fill>
    <fill>
      <patternFill patternType="solid">
        <fgColor theme="4"/>
        <bgColor theme="4"/>
      </patternFill>
    </fill>
    <fill>
      <patternFill patternType="solid">
        <fgColor rgb="FFCFE2F3"/>
        <bgColor rgb="FFCFE2F3"/>
      </patternFill>
    </fill>
    <fill>
      <patternFill patternType="solid">
        <fgColor theme="5"/>
        <bgColor theme="5"/>
      </patternFill>
    </fill>
  </fills>
  <borders count="21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vertical="bottom"/>
    </xf>
    <xf borderId="2" fillId="0" fontId="1" numFmtId="164" xfId="0" applyAlignment="1" applyBorder="1" applyFont="1" applyNumberFormat="1">
      <alignment horizontal="right" readingOrder="0" vertical="bottom"/>
    </xf>
    <xf borderId="3" fillId="0" fontId="1" numFmtId="0" xfId="0" applyAlignment="1" applyBorder="1" applyFont="1">
      <alignment vertical="bottom"/>
    </xf>
    <xf borderId="3" fillId="0" fontId="1" numFmtId="164" xfId="0" applyAlignment="1" applyBorder="1" applyFont="1" applyNumberFormat="1">
      <alignment horizontal="right" readingOrder="0" vertical="bottom"/>
    </xf>
    <xf borderId="4" fillId="0" fontId="1" numFmtId="0" xfId="0" applyAlignment="1" applyBorder="1" applyFont="1">
      <alignment vertical="bottom"/>
    </xf>
    <xf borderId="5" fillId="0" fontId="1" numFmtId="164" xfId="0" applyAlignment="1" applyBorder="1" applyFont="1" applyNumberFormat="1">
      <alignment horizontal="right" readingOrder="0" vertical="bottom"/>
    </xf>
    <xf borderId="4" fillId="0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horizontal="center" readingOrder="0" vertical="bottom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horizontal="center" readingOrder="0" vertical="bottom"/>
    </xf>
    <xf borderId="7" fillId="0" fontId="1" numFmtId="0" xfId="0" applyAlignment="1" applyBorder="1" applyFont="1">
      <alignment vertical="bottom"/>
    </xf>
    <xf borderId="1" fillId="3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Border="1" applyFont="1"/>
    <xf borderId="4" fillId="4" fontId="1" numFmtId="0" xfId="0" applyAlignment="1" applyBorder="1" applyFill="1" applyFont="1">
      <alignment shrinkToFit="0" vertical="bottom" wrapText="0"/>
    </xf>
    <xf borderId="5" fillId="4" fontId="1" numFmtId="0" xfId="0" applyAlignment="1" applyBorder="1" applyFont="1">
      <alignment vertical="bottom"/>
    </xf>
    <xf borderId="8" fillId="4" fontId="1" numFmtId="0" xfId="0" applyAlignment="1" applyBorder="1" applyFont="1">
      <alignment vertical="bottom"/>
    </xf>
    <xf borderId="8" fillId="4" fontId="1" numFmtId="0" xfId="0" applyAlignment="1" applyBorder="1" applyFont="1">
      <alignment shrinkToFit="0" vertical="bottom" wrapText="0"/>
    </xf>
    <xf borderId="4" fillId="4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horizontal="right" vertical="bottom"/>
    </xf>
    <xf borderId="9" fillId="5" fontId="1" numFmtId="0" xfId="0" applyAlignment="1" applyBorder="1" applyFill="1" applyFont="1">
      <alignment horizontal="right" vertical="bottom"/>
    </xf>
    <xf borderId="0" fillId="0" fontId="1" numFmtId="0" xfId="0" applyAlignment="1" applyFont="1">
      <alignment vertical="bottom"/>
    </xf>
    <xf borderId="9" fillId="5" fontId="1" numFmtId="0" xfId="0" applyAlignment="1" applyBorder="1" applyFont="1">
      <alignment vertical="bottom"/>
    </xf>
    <xf borderId="0" fillId="0" fontId="1" numFmtId="0" xfId="0" applyAlignment="1" applyFont="1">
      <alignment horizontal="right" vertical="bottom"/>
    </xf>
    <xf borderId="9" fillId="5" fontId="1" numFmtId="0" xfId="0" applyAlignment="1" applyBorder="1" applyFont="1">
      <alignment vertical="bottom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vertical="bottom"/>
    </xf>
    <xf borderId="7" fillId="0" fontId="3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7" fillId="0" fontId="1" numFmtId="0" xfId="0" applyAlignment="1" applyBorder="1" applyFont="1">
      <alignment vertical="bottom"/>
    </xf>
    <xf borderId="7" fillId="0" fontId="0" numFmtId="0" xfId="0" applyAlignment="1" applyBorder="1" applyFont="1">
      <alignment readingOrder="0"/>
    </xf>
    <xf borderId="0" fillId="5" fontId="1" numFmtId="0" xfId="0" applyAlignment="1" applyFont="1">
      <alignment vertical="bottom"/>
    </xf>
    <xf borderId="7" fillId="6" fontId="1" numFmtId="0" xfId="0" applyAlignment="1" applyBorder="1" applyFill="1" applyFont="1">
      <alignment vertical="bottom"/>
    </xf>
    <xf borderId="9" fillId="6" fontId="1" numFmtId="0" xfId="0" applyAlignment="1" applyBorder="1" applyFont="1">
      <alignment horizontal="center" vertical="bottom"/>
    </xf>
    <xf borderId="7" fillId="0" fontId="1" numFmtId="0" xfId="0" applyAlignment="1" applyBorder="1" applyFont="1">
      <alignment vertical="bottom"/>
    </xf>
    <xf borderId="10" fillId="5" fontId="1" numFmtId="2" xfId="0" applyAlignment="1" applyBorder="1" applyFont="1" applyNumberFormat="1">
      <alignment horizontal="center" vertical="bottom"/>
    </xf>
    <xf borderId="6" fillId="0" fontId="1" numFmtId="0" xfId="0" applyAlignment="1" applyBorder="1" applyFont="1">
      <alignment vertical="bottom"/>
    </xf>
    <xf borderId="10" fillId="5" fontId="1" numFmtId="0" xfId="0" applyAlignment="1" applyBorder="1" applyFont="1">
      <alignment horizontal="center" vertical="bottom"/>
    </xf>
    <xf borderId="7" fillId="0" fontId="4" numFmtId="0" xfId="0" applyAlignment="1" applyBorder="1" applyFont="1">
      <alignment readingOrder="0" vertical="bottom"/>
    </xf>
    <xf borderId="4" fillId="4" fontId="1" numFmtId="0" xfId="0" applyAlignment="1" applyBorder="1" applyFont="1">
      <alignment vertical="bottom"/>
    </xf>
    <xf borderId="8" fillId="4" fontId="1" numFmtId="0" xfId="0" applyAlignment="1" applyBorder="1" applyFont="1">
      <alignment vertical="bottom"/>
    </xf>
    <xf borderId="5" fillId="4" fontId="1" numFmtId="0" xfId="0" applyAlignment="1" applyBorder="1" applyFont="1">
      <alignment vertical="bottom"/>
    </xf>
    <xf borderId="8" fillId="4" fontId="1" numFmtId="0" xfId="0" applyAlignment="1" applyBorder="1" applyFont="1">
      <alignment readingOrder="0" vertical="bottom"/>
    </xf>
    <xf borderId="7" fillId="0" fontId="1" numFmtId="0" xfId="0" applyAlignment="1" applyBorder="1" applyFon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9" fillId="5" fontId="1" numFmtId="0" xfId="0" applyAlignment="1" applyBorder="1" applyFont="1">
      <alignment horizontal="right" readingOrder="0" vertical="bottom"/>
    </xf>
    <xf borderId="6" fillId="4" fontId="1" numFmtId="0" xfId="0" applyAlignment="1" applyBorder="1" applyFont="1">
      <alignment readingOrder="0" vertical="bottom"/>
    </xf>
    <xf borderId="10" fillId="4" fontId="1" numFmtId="0" xfId="0" applyAlignment="1" applyBorder="1" applyFont="1">
      <alignment vertical="bottom"/>
    </xf>
    <xf borderId="0" fillId="0" fontId="4" numFmtId="0" xfId="0" applyAlignment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9" fillId="5" fontId="1" numFmtId="0" xfId="0" applyAlignment="1" applyBorder="1" applyFont="1">
      <alignment readingOrder="0" vertical="bottom"/>
    </xf>
    <xf borderId="0" fillId="6" fontId="1" numFmtId="0" xfId="0" applyAlignment="1" applyFont="1">
      <alignment horizontal="center" vertical="bottom"/>
    </xf>
    <xf borderId="0" fillId="6" fontId="1" numFmtId="0" xfId="0" applyAlignment="1" applyFont="1">
      <alignment horizontal="right" vertical="bottom"/>
    </xf>
    <xf borderId="0" fillId="6" fontId="1" numFmtId="0" xfId="0" applyAlignment="1" applyFont="1">
      <alignment vertical="bottom"/>
    </xf>
    <xf borderId="9" fillId="6" fontId="1" numFmtId="0" xfId="0" applyAlignment="1" applyBorder="1" applyFont="1">
      <alignment horizontal="right" vertical="bottom"/>
    </xf>
    <xf borderId="11" fillId="0" fontId="1" numFmtId="0" xfId="0" applyAlignment="1" applyBorder="1" applyFont="1">
      <alignment vertical="bottom"/>
    </xf>
    <xf borderId="9" fillId="0" fontId="1" numFmtId="0" xfId="0" applyAlignment="1" applyBorder="1" applyFont="1">
      <alignment vertical="bottom"/>
    </xf>
    <xf borderId="9" fillId="0" fontId="1" numFmtId="0" xfId="0" applyAlignment="1" applyBorder="1" applyFont="1">
      <alignment vertical="bottom"/>
    </xf>
    <xf borderId="0" fillId="0" fontId="1" numFmtId="0" xfId="0" applyAlignment="1" applyFont="1">
      <alignment shrinkToFit="0" vertical="bottom" wrapText="0"/>
    </xf>
    <xf borderId="9" fillId="0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vertical="bottom"/>
    </xf>
    <xf borderId="6" fillId="0" fontId="1" numFmtId="0" xfId="0" applyAlignment="1" applyBorder="1" applyFont="1">
      <alignment readingOrder="0" vertical="bottom"/>
    </xf>
    <xf borderId="11" fillId="0" fontId="1" numFmtId="0" xfId="0" applyAlignment="1" applyBorder="1" applyFont="1">
      <alignment vertical="bottom"/>
    </xf>
    <xf borderId="10" fillId="0" fontId="1" numFmtId="0" xfId="0" applyAlignment="1" applyBorder="1" applyFont="1">
      <alignment vertical="bottom"/>
    </xf>
    <xf borderId="8" fillId="4" fontId="1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4" fillId="4" fontId="1" numFmtId="0" xfId="0" applyAlignment="1" applyBorder="1" applyFont="1">
      <alignment readingOrder="0" vertical="bottom"/>
    </xf>
    <xf borderId="9" fillId="5" fontId="1" numFmtId="0" xfId="0" applyAlignment="1" applyBorder="1" applyFont="1">
      <alignment horizontal="right" vertical="bottom"/>
    </xf>
    <xf borderId="4" fillId="4" fontId="1" numFmtId="0" xfId="0" applyAlignment="1" applyBorder="1" applyFont="1">
      <alignment shrinkToFit="0" vertical="bottom" wrapText="0"/>
    </xf>
    <xf borderId="7" fillId="0" fontId="0" numFmtId="0" xfId="0" applyBorder="1" applyFont="1"/>
    <xf borderId="0" fillId="5" fontId="1" numFmtId="0" xfId="0" applyAlignment="1" applyFont="1">
      <alignment horizontal="center" vertical="bottom"/>
    </xf>
    <xf borderId="9" fillId="5" fontId="1" numFmtId="0" xfId="0" applyAlignment="1" applyBorder="1" applyFont="1">
      <alignment horizontal="center" vertical="bottom"/>
    </xf>
    <xf borderId="5" fillId="4" fontId="1" numFmtId="0" xfId="0" applyAlignment="1" applyBorder="1" applyFont="1">
      <alignment readingOrder="0" vertical="bottom"/>
    </xf>
    <xf borderId="11" fillId="5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right" vertical="bottom"/>
    </xf>
    <xf borderId="0" fillId="5" fontId="1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2" fillId="0" fontId="1" numFmtId="164" xfId="0" applyAlignment="1" applyBorder="1" applyFont="1" applyNumberFormat="1">
      <alignment horizontal="right" vertical="bottom"/>
    </xf>
    <xf borderId="3" fillId="0" fontId="1" numFmtId="0" xfId="0" applyAlignment="1" applyBorder="1" applyFont="1">
      <alignment vertical="bottom"/>
    </xf>
    <xf borderId="3" fillId="0" fontId="1" numFmtId="164" xfId="0" applyAlignment="1" applyBorder="1" applyFont="1" applyNumberFormat="1">
      <alignment horizontal="right" vertical="bottom"/>
    </xf>
    <xf borderId="4" fillId="0" fontId="1" numFmtId="0" xfId="0" applyAlignment="1" applyBorder="1" applyFont="1">
      <alignment vertical="bottom"/>
    </xf>
    <xf borderId="5" fillId="0" fontId="1" numFmtId="164" xfId="0" applyAlignment="1" applyBorder="1" applyFont="1" applyNumberFormat="1">
      <alignment horizontal="right" vertical="bottom"/>
    </xf>
    <xf borderId="6" fillId="0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vertical="bottom"/>
    </xf>
    <xf borderId="2" fillId="2" fontId="1" numFmtId="0" xfId="0" applyAlignment="1" applyBorder="1" applyFont="1">
      <alignment horizontal="center" vertical="bottom"/>
    </xf>
    <xf borderId="1" fillId="3" fontId="1" numFmtId="0" xfId="0" applyAlignment="1" applyBorder="1" applyFont="1">
      <alignment vertical="bottom"/>
    </xf>
    <xf borderId="5" fillId="4" fontId="1" numFmtId="0" xfId="0" applyAlignment="1" applyBorder="1" applyFont="1">
      <alignment vertical="bottom"/>
    </xf>
    <xf borderId="4" fillId="4" fontId="1" numFmtId="0" xfId="0" applyAlignment="1" applyBorder="1" applyFont="1">
      <alignment vertical="bottom"/>
    </xf>
    <xf borderId="9" fillId="5" fontId="1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0" fillId="5" fontId="1" numFmtId="0" xfId="0" applyAlignment="1" applyFont="1">
      <alignment vertical="bottom"/>
    </xf>
    <xf borderId="7" fillId="6" fontId="1" numFmtId="0" xfId="0" applyAlignment="1" applyBorder="1" applyFont="1">
      <alignment vertical="bottom"/>
    </xf>
    <xf borderId="9" fillId="6" fontId="1" numFmtId="0" xfId="0" applyAlignment="1" applyBorder="1" applyFont="1">
      <alignment horizontal="center" vertical="bottom"/>
    </xf>
    <xf borderId="0" fillId="6" fontId="1" numFmtId="0" xfId="0" applyAlignment="1" applyFont="1">
      <alignment vertical="bottom"/>
    </xf>
    <xf borderId="0" fillId="6" fontId="1" numFmtId="0" xfId="0" applyAlignment="1" applyFont="1">
      <alignment horizontal="center" vertical="bottom"/>
    </xf>
    <xf borderId="0" fillId="6" fontId="1" numFmtId="0" xfId="0" applyAlignment="1" applyFont="1">
      <alignment horizontal="right" vertical="bottom"/>
    </xf>
    <xf borderId="0" fillId="5" fontId="1" numFmtId="0" xfId="0" applyAlignment="1" applyFont="1">
      <alignment horizontal="center" vertical="bottom"/>
    </xf>
    <xf borderId="10" fillId="5" fontId="1" numFmtId="0" xfId="0" applyAlignment="1" applyBorder="1" applyFont="1">
      <alignment horizontal="center" vertical="bottom"/>
    </xf>
    <xf borderId="9" fillId="5" fontId="1" numFmtId="0" xfId="0" applyAlignment="1" applyBorder="1" applyFont="1">
      <alignment horizontal="center" vertical="bottom"/>
    </xf>
    <xf borderId="7" fillId="0" fontId="4" numFmtId="0" xfId="0" applyAlignment="1" applyBorder="1" applyFont="1">
      <alignment vertical="bottom"/>
    </xf>
    <xf borderId="11" fillId="5" fontId="1" numFmtId="0" xfId="0" applyAlignment="1" applyBorder="1" applyFont="1">
      <alignment horizontal="center" vertical="bottom"/>
    </xf>
    <xf borderId="6" fillId="4" fontId="1" numFmtId="0" xfId="0" applyAlignment="1" applyBorder="1" applyFont="1">
      <alignment vertical="bottom"/>
    </xf>
    <xf borderId="10" fillId="4" fontId="1" numFmtId="0" xfId="0" applyAlignment="1" applyBorder="1" applyFont="1">
      <alignment vertical="bottom"/>
    </xf>
    <xf borderId="7" fillId="0" fontId="1" numFmtId="0" xfId="0" applyAlignment="1" applyBorder="1" applyFont="1">
      <alignment horizontal="right" vertical="bottom"/>
    </xf>
    <xf borderId="9" fillId="5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right" readingOrder="0" vertical="bottom"/>
    </xf>
    <xf borderId="9" fillId="6" fontId="1" numFmtId="0" xfId="0" applyAlignment="1" applyBorder="1" applyFont="1">
      <alignment horizontal="right" vertical="bottom"/>
    </xf>
    <xf borderId="8" fillId="4" fontId="1" numFmtId="0" xfId="0" applyAlignment="1" applyBorder="1" applyFont="1">
      <alignment vertical="bottom"/>
    </xf>
    <xf borderId="6" fillId="4" fontId="1" numFmtId="0" xfId="0" applyAlignment="1" applyBorder="1" applyFont="1">
      <alignment vertical="bottom"/>
    </xf>
    <xf borderId="11" fillId="0" fontId="1" numFmtId="0" xfId="0" applyAlignment="1" applyBorder="1" applyFont="1">
      <alignment readingOrder="0" vertical="bottom"/>
    </xf>
    <xf borderId="0" fillId="0" fontId="1" numFmtId="164" xfId="0" applyAlignment="1" applyFont="1" applyNumberFormat="1">
      <alignment horizontal="right" readingOrder="0" vertical="bottom"/>
    </xf>
    <xf borderId="10" fillId="5" fontId="1" numFmtId="0" xfId="0" applyAlignment="1" applyBorder="1" applyFont="1">
      <alignment horizontal="right" vertical="bottom"/>
    </xf>
    <xf borderId="0" fillId="5" fontId="1" numFmtId="0" xfId="0" applyAlignment="1" applyFont="1">
      <alignment horizontal="right" vertical="bottom"/>
    </xf>
    <xf borderId="10" fillId="4" fontId="1" numFmtId="0" xfId="0" applyAlignment="1" applyBorder="1" applyFont="1">
      <alignment readingOrder="0" vertical="bottom"/>
    </xf>
    <xf borderId="7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/>
    </xf>
    <xf borderId="10" fillId="4" fontId="1" numFmtId="0" xfId="0" applyAlignment="1" applyBorder="1" applyFont="1">
      <alignment vertical="bottom"/>
    </xf>
    <xf borderId="7" fillId="0" fontId="4" numFmtId="0" xfId="0" applyAlignment="1" applyBorder="1" applyFont="1">
      <alignment horizontal="right" readingOrder="0" vertical="bottom"/>
    </xf>
    <xf borderId="9" fillId="5" fontId="7" numFmtId="0" xfId="0" applyAlignment="1" applyBorder="1" applyFont="1">
      <alignment readingOrder="0" vertical="bottom"/>
    </xf>
    <xf borderId="10" fillId="5" fontId="1" numFmtId="2" xfId="0" applyAlignment="1" applyBorder="1" applyFont="1" applyNumberFormat="1">
      <alignment horizontal="right" vertical="bottom"/>
    </xf>
    <xf borderId="1" fillId="2" fontId="1" numFmtId="0" xfId="0" applyAlignment="1" applyBorder="1" applyFont="1">
      <alignment vertical="bottom"/>
    </xf>
    <xf borderId="2" fillId="2" fontId="1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4" fillId="4" fontId="1" numFmtId="0" xfId="0" applyAlignment="1" applyBorder="1" applyFont="1">
      <alignment vertical="bottom"/>
    </xf>
    <xf borderId="2" fillId="5" fontId="1" numFmtId="0" xfId="0" applyAlignment="1" applyBorder="1" applyFont="1">
      <alignment horizontal="right" readingOrder="0" vertical="bottom"/>
    </xf>
    <xf borderId="0" fillId="0" fontId="0" numFmtId="0" xfId="0" applyAlignment="1" applyFont="1">
      <alignment readingOrder="0"/>
    </xf>
    <xf borderId="0" fillId="0" fontId="0" numFmtId="0" xfId="0" applyFont="1"/>
    <xf borderId="3" fillId="5" fontId="1" numFmtId="0" xfId="0" applyAlignment="1" applyBorder="1" applyFont="1">
      <alignment horizontal="right" readingOrder="0" vertical="bottom"/>
    </xf>
    <xf borderId="3" fillId="5" fontId="1" numFmtId="0" xfId="0" applyAlignment="1" applyBorder="1" applyFont="1">
      <alignment readingOrder="0" vertical="bottom"/>
    </xf>
    <xf borderId="2" fillId="5" fontId="1" numFmtId="0" xfId="0" applyAlignment="1" applyBorder="1" applyFont="1">
      <alignment vertical="bottom"/>
    </xf>
    <xf borderId="0" fillId="5" fontId="1" numFmtId="0" xfId="0" applyAlignment="1" applyFont="1">
      <alignment horizontal="right" readingOrder="0" vertical="bottom"/>
    </xf>
    <xf borderId="6" fillId="2" fontId="1" numFmtId="0" xfId="0" applyAlignment="1" applyBorder="1" applyFont="1">
      <alignment vertical="bottom"/>
    </xf>
    <xf borderId="11" fillId="2" fontId="1" numFmtId="0" xfId="0" applyAlignment="1" applyBorder="1" applyFont="1">
      <alignment vertical="bottom"/>
    </xf>
    <xf borderId="4" fillId="2" fontId="1" numFmtId="0" xfId="0" applyAlignment="1" applyBorder="1" applyFont="1">
      <alignment vertical="bottom"/>
    </xf>
    <xf borderId="8" fillId="2" fontId="1" numFmtId="0" xfId="0" applyAlignment="1" applyBorder="1" applyFont="1">
      <alignment vertical="bottom"/>
    </xf>
    <xf borderId="10" fillId="2" fontId="1" numFmtId="0" xfId="0" applyAlignment="1" applyBorder="1" applyFont="1">
      <alignment vertical="bottom"/>
    </xf>
    <xf borderId="5" fillId="2" fontId="1" numFmtId="0" xfId="0" applyAlignment="1" applyBorder="1" applyFont="1">
      <alignment vertical="bottom"/>
    </xf>
    <xf borderId="11" fillId="4" fontId="1" numFmtId="0" xfId="0" applyAlignment="1" applyBorder="1" applyFont="1">
      <alignment vertical="bottom"/>
    </xf>
    <xf borderId="11" fillId="4" fontId="1" numFmtId="0" xfId="0" applyAlignment="1" applyBorder="1" applyFont="1">
      <alignment readingOrder="0" vertical="bottom"/>
    </xf>
    <xf borderId="6" fillId="4" fontId="1" numFmtId="0" xfId="0" applyAlignment="1" applyBorder="1" applyFont="1">
      <alignment readingOrder="0" shrinkToFit="0" vertical="bottom" wrapText="0"/>
    </xf>
    <xf borderId="6" fillId="4" fontId="1" numFmtId="0" xfId="0" applyAlignment="1" applyBorder="1" applyFont="1">
      <alignment vertical="bottom"/>
    </xf>
    <xf borderId="2" fillId="5" fontId="1" numFmtId="0" xfId="0" applyAlignment="1" applyBorder="1" applyFont="1">
      <alignment readingOrder="0" vertical="bottom"/>
    </xf>
    <xf borderId="7" fillId="0" fontId="1" numFmtId="0" xfId="0" applyAlignment="1" applyBorder="1" applyFont="1">
      <alignment horizontal="left" readingOrder="0" vertical="bottom"/>
    </xf>
    <xf borderId="0" fillId="0" fontId="1" numFmtId="0" xfId="0" applyAlignment="1" applyFont="1">
      <alignment readingOrder="0" shrinkToFit="0" vertical="bottom" wrapText="0"/>
    </xf>
    <xf borderId="7" fillId="0" fontId="1" numFmtId="0" xfId="0" applyAlignment="1" applyBorder="1" applyFont="1">
      <alignment horizontal="center" readingOrder="0" vertical="bottom"/>
    </xf>
    <xf borderId="1" fillId="7" fontId="1" numFmtId="0" xfId="0" applyAlignment="1" applyBorder="1" applyFill="1" applyFont="1">
      <alignment horizontal="center" readingOrder="0" vertical="bottom"/>
    </xf>
    <xf borderId="3" fillId="7" fontId="1" numFmtId="0" xfId="0" applyAlignment="1" applyBorder="1" applyFont="1">
      <alignment horizontal="center" readingOrder="0" vertical="bottom"/>
    </xf>
    <xf borderId="3" fillId="0" fontId="2" numFmtId="0" xfId="0" applyBorder="1" applyFont="1"/>
    <xf borderId="12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13" fillId="0" fontId="1" numFmtId="0" xfId="0" applyAlignment="1" applyBorder="1" applyFont="1">
      <alignment horizontal="center" vertical="bottom"/>
    </xf>
    <xf borderId="11" fillId="0" fontId="1" numFmtId="0" xfId="0" applyAlignment="1" applyBorder="1" applyFont="1">
      <alignment vertical="bottom"/>
    </xf>
    <xf borderId="10" fillId="0" fontId="1" numFmtId="164" xfId="0" applyAlignment="1" applyBorder="1" applyFont="1" applyNumberFormat="1">
      <alignment horizontal="right" vertical="bottom"/>
    </xf>
    <xf borderId="14" fillId="0" fontId="1" numFmtId="0" xfId="0" applyAlignment="1" applyBorder="1" applyFont="1">
      <alignment horizontal="center" vertical="bottom"/>
    </xf>
    <xf borderId="11" fillId="2" fontId="1" numFmtId="0" xfId="0" applyAlignment="1" applyBorder="1" applyFont="1">
      <alignment vertical="bottom"/>
    </xf>
    <xf borderId="10" fillId="2" fontId="1" numFmtId="164" xfId="0" applyAlignment="1" applyBorder="1" applyFont="1" applyNumberFormat="1">
      <alignment vertical="bottom"/>
    </xf>
    <xf borderId="11" fillId="2" fontId="1" numFmtId="0" xfId="0" applyAlignment="1" applyBorder="1" applyFont="1">
      <alignment vertical="bottom"/>
    </xf>
    <xf borderId="10" fillId="2" fontId="1" numFmtId="0" xfId="0" applyAlignment="1" applyBorder="1" applyFont="1">
      <alignment vertical="bottom"/>
    </xf>
    <xf borderId="13" fillId="0" fontId="1" numFmtId="0" xfId="0" applyAlignment="1" applyBorder="1" applyFont="1">
      <alignment vertical="bottom"/>
    </xf>
    <xf borderId="11" fillId="7" fontId="1" numFmtId="0" xfId="0" applyAlignment="1" applyBorder="1" applyFont="1">
      <alignment horizontal="center" vertical="bottom"/>
    </xf>
    <xf borderId="10" fillId="0" fontId="2" numFmtId="0" xfId="0" applyBorder="1" applyFont="1"/>
    <xf borderId="11" fillId="4" fontId="1" numFmtId="0" xfId="0" applyAlignment="1" applyBorder="1" applyFont="1">
      <alignment vertical="bottom"/>
    </xf>
    <xf borderId="11" fillId="4" fontId="1" numFmtId="0" xfId="0" applyAlignment="1" applyBorder="1" applyFont="1">
      <alignment vertical="bottom"/>
    </xf>
    <xf borderId="0" fillId="0" fontId="1" numFmtId="0" xfId="0" applyAlignment="1" applyFont="1">
      <alignment horizontal="right" vertical="bottom"/>
    </xf>
    <xf borderId="13" fillId="0" fontId="1" numFmtId="0" xfId="0" applyAlignment="1" applyBorder="1" applyFont="1">
      <alignment readingOrder="0" vertical="bottom"/>
    </xf>
    <xf borderId="13" fillId="0" fontId="3" numFmtId="0" xfId="0" applyAlignment="1" applyBorder="1" applyFont="1">
      <alignment vertical="bottom"/>
    </xf>
    <xf borderId="0" fillId="6" fontId="1" numFmtId="0" xfId="0" applyAlignment="1" applyFont="1">
      <alignment vertical="bottom"/>
    </xf>
    <xf borderId="9" fillId="6" fontId="1" numFmtId="0" xfId="0" applyAlignment="1" applyBorder="1" applyFont="1">
      <alignment horizontal="right" vertical="bottom"/>
    </xf>
    <xf borderId="10" fillId="5" fontId="1" numFmtId="0" xfId="0" applyAlignment="1" applyBorder="1" applyFont="1">
      <alignment horizontal="right" vertical="bottom"/>
    </xf>
    <xf borderId="10" fillId="5" fontId="1" numFmtId="0" xfId="0" applyAlignment="1" applyBorder="1" applyFont="1">
      <alignment horizontal="right" vertical="bottom"/>
    </xf>
    <xf borderId="10" fillId="2" fontId="1" numFmtId="0" xfId="0" applyAlignment="1" applyBorder="1" applyFont="1">
      <alignment vertical="bottom"/>
    </xf>
    <xf borderId="13" fillId="0" fontId="4" numFmtId="0" xfId="0" applyAlignment="1" applyBorder="1" applyFont="1">
      <alignment vertical="bottom"/>
    </xf>
    <xf borderId="9" fillId="6" fontId="1" numFmtId="0" xfId="0" applyAlignment="1" applyBorder="1" applyFont="1">
      <alignment horizontal="center" vertical="bottom"/>
    </xf>
    <xf borderId="10" fillId="5" fontId="1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14" fillId="0" fontId="1" numFmtId="0" xfId="0" applyAlignment="1" applyBorder="1" applyFont="1">
      <alignment vertical="bottom"/>
    </xf>
    <xf borderId="10" fillId="0" fontId="1" numFmtId="0" xfId="0" applyAlignment="1" applyBorder="1" applyFont="1">
      <alignment vertical="bottom"/>
    </xf>
    <xf borderId="11" fillId="7" fontId="1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 shrinkToFit="0" vertical="bottom" wrapText="0"/>
    </xf>
    <xf borderId="14" fillId="0" fontId="1" numFmtId="0" xfId="0" applyAlignment="1" applyBorder="1" applyFont="1">
      <alignment horizontal="center" vertical="bottom"/>
    </xf>
    <xf borderId="13" fillId="0" fontId="1" numFmtId="0" xfId="0" applyAlignment="1" applyBorder="1" applyFont="1">
      <alignment vertical="bottom"/>
    </xf>
    <xf borderId="11" fillId="7" fontId="1" numFmtId="164" xfId="0" applyAlignment="1" applyBorder="1" applyFont="1" applyNumberFormat="1">
      <alignment horizontal="center" vertical="bottom"/>
    </xf>
    <xf borderId="11" fillId="4" fontId="1" numFmtId="0" xfId="0" applyAlignment="1" applyBorder="1" applyFont="1">
      <alignment shrinkToFit="0" vertical="bottom" wrapText="0"/>
    </xf>
    <xf borderId="11" fillId="7" fontId="1" numFmtId="0" xfId="0" applyAlignment="1" applyBorder="1" applyFont="1">
      <alignment horizontal="center" vertical="bottom"/>
    </xf>
    <xf borderId="11" fillId="4" fontId="1" numFmtId="0" xfId="0" applyAlignment="1" applyBorder="1" applyFont="1">
      <alignment readingOrder="0" shrinkToFit="0" vertical="bottom" wrapText="0"/>
    </xf>
    <xf borderId="4" fillId="7" fontId="1" numFmtId="0" xfId="0" applyAlignment="1" applyBorder="1" applyFont="1">
      <alignment horizontal="center" vertical="bottom"/>
    </xf>
    <xf borderId="5" fillId="0" fontId="2" numFmtId="0" xfId="0" applyBorder="1" applyFont="1"/>
    <xf borderId="0" fillId="0" fontId="4" numFmtId="0" xfId="0" applyAlignment="1" applyFont="1">
      <alignment shrinkToFit="0" vertical="bottom" wrapText="0"/>
    </xf>
    <xf borderId="0" fillId="0" fontId="8" numFmtId="0" xfId="0" applyFont="1"/>
    <xf borderId="0" fillId="0" fontId="5" numFmtId="0" xfId="0" applyFont="1"/>
    <xf borderId="0" fillId="8" fontId="9" numFmtId="0" xfId="0" applyAlignment="1" applyFill="1" applyFont="1">
      <alignment readingOrder="0"/>
    </xf>
    <xf borderId="0" fillId="9" fontId="5" numFmtId="0" xfId="0" applyAlignment="1" applyFill="1" applyFont="1">
      <alignment horizontal="center" readingOrder="0" shrinkToFit="0" wrapText="1"/>
    </xf>
    <xf borderId="0" fillId="9" fontId="5" numFmtId="0" xfId="0" applyAlignment="1" applyFont="1">
      <alignment horizontal="center" shrinkToFit="0" wrapText="1"/>
    </xf>
    <xf borderId="15" fillId="9" fontId="5" numFmtId="0" xfId="0" applyAlignment="1" applyBorder="1" applyFont="1">
      <alignment horizontal="center" readingOrder="0" shrinkToFit="0" wrapText="1"/>
    </xf>
    <xf borderId="16" fillId="9" fontId="5" numFmtId="0" xfId="0" applyAlignment="1" applyBorder="1" applyFont="1">
      <alignment horizontal="center" readingOrder="0" shrinkToFit="0" wrapText="1"/>
    </xf>
    <xf borderId="16" fillId="9" fontId="5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center"/>
    </xf>
    <xf borderId="17" fillId="0" fontId="5" numFmtId="0" xfId="0" applyAlignment="1" applyBorder="1" applyFont="1">
      <alignment horizontal="center" readingOrder="0"/>
    </xf>
    <xf borderId="18" fillId="0" fontId="5" numFmtId="0" xfId="0" applyAlignment="1" applyBorder="1" applyFont="1">
      <alignment horizontal="center" readingOrder="0"/>
    </xf>
    <xf borderId="0" fillId="0" fontId="9" numFmtId="0" xfId="0" applyAlignment="1" applyFont="1">
      <alignment readingOrder="0"/>
    </xf>
    <xf borderId="19" fillId="0" fontId="5" numFmtId="0" xfId="0" applyAlignment="1" applyBorder="1" applyFont="1">
      <alignment readingOrder="0"/>
    </xf>
    <xf borderId="20" fillId="0" fontId="5" numFmtId="0" xfId="0" applyAlignment="1" applyBorder="1" applyFont="1">
      <alignment readingOrder="0"/>
    </xf>
    <xf borderId="19" fillId="0" fontId="5" numFmtId="0" xfId="0" applyBorder="1" applyFont="1"/>
    <xf borderId="20" fillId="0" fontId="5" numFmtId="0" xfId="0" applyBorder="1" applyFont="1"/>
    <xf borderId="0" fillId="10" fontId="10" numFmtId="0" xfId="0" applyAlignment="1" applyFill="1" applyFont="1">
      <alignment readingOrder="0"/>
    </xf>
    <xf borderId="0" fillId="10" fontId="10" numFmtId="0" xfId="0" applyAlignment="1" applyFont="1">
      <alignment horizontal="center" readingOrder="0"/>
    </xf>
    <xf borderId="0" fillId="8" fontId="9" numFmtId="0" xfId="0" applyAlignment="1" applyFont="1">
      <alignment readingOrder="0" shrinkToFit="0" wrapText="1"/>
    </xf>
    <xf borderId="0" fillId="0" fontId="5" numFmtId="0" xfId="0" applyAlignment="1" applyFont="1">
      <alignment horizontal="center" readingOrder="0"/>
    </xf>
    <xf borderId="11" fillId="8" fontId="9" numFmtId="0" xfId="0" applyAlignment="1" applyBorder="1" applyFont="1">
      <alignment readingOrder="0" shrinkToFit="0" wrapText="1"/>
    </xf>
    <xf borderId="11" fillId="0" fontId="5" numFmtId="0" xfId="0" applyAlignment="1" applyBorder="1" applyFont="1">
      <alignment horizontal="center" readingOrder="0"/>
    </xf>
    <xf borderId="11" fillId="0" fontId="5" numFmtId="0" xfId="0" applyBorder="1" applyFont="1"/>
    <xf borderId="0" fillId="0" fontId="11" numFmtId="0" xfId="0" applyFont="1"/>
    <xf borderId="1" fillId="0" fontId="11" numFmtId="0" xfId="0" applyBorder="1" applyFont="1"/>
    <xf borderId="3" fillId="0" fontId="0" numFmtId="0" xfId="0" applyBorder="1" applyFont="1"/>
    <xf borderId="2" fillId="0" fontId="0" numFmtId="0" xfId="0" applyBorder="1" applyFont="1"/>
    <xf borderId="9" fillId="0" fontId="0" numFmtId="0" xfId="0" applyBorder="1" applyFont="1"/>
    <xf borderId="7" fillId="0" fontId="11" numFmtId="0" xfId="0" applyBorder="1" applyFont="1"/>
    <xf borderId="6" fillId="0" fontId="0" numFmtId="0" xfId="0" applyBorder="1" applyFont="1"/>
    <xf borderId="11" fillId="0" fontId="0" numFmtId="0" xfId="0" applyBorder="1" applyFont="1"/>
    <xf borderId="10" fillId="0" fontId="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Squat MHG (pre season till)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MHG Projected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Projected!$C$6:$C$52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9906929"/>
        <c:axId val="660457914"/>
      </c:scatterChart>
      <c:valAx>
        <c:axId val="9699069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Training days (not in particular order)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60457914"/>
        <c:majorUnit val="1.0"/>
      </c:valAx>
      <c:valAx>
        <c:axId val="660457914"/>
        <c:scaling>
          <c:orientation val="minMax"/>
          <c:max val="25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Weight in Kg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69906929"/>
        <c:majorUnit val="5.0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Snatch MHG (pre season till)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MHG Projected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Projected!$F$6:$F$36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146552"/>
        <c:axId val="1823109521"/>
      </c:scatterChart>
      <c:valAx>
        <c:axId val="150214655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Training days (not in particular order)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23109521"/>
        <c:majorUnit val="1.0"/>
      </c:valAx>
      <c:valAx>
        <c:axId val="1823109521"/>
        <c:scaling>
          <c:orientation val="minMax"/>
          <c:max val="1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Weight in Kg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02146552"/>
        <c:majorUnit val="5.0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Cleans MHG (pre season till)</a:t>
            </a:r>
          </a:p>
        </c:rich>
      </c:tx>
      <c:overlay val="0"/>
    </c:title>
    <c:plotArea>
      <c:layout>
        <c:manualLayout>
          <c:xMode val="edge"/>
          <c:yMode val="edge"/>
          <c:x val="0.0704919877003075"/>
          <c:y val="0.12910112162462906"/>
          <c:w val="0.7767500008928349"/>
          <c:h val="0.7163419425779936"/>
        </c:manualLayout>
      </c:layout>
      <c:scatterChart>
        <c:scatterStyle val="lineMarker"/>
        <c:varyColors val="0"/>
        <c:ser>
          <c:idx val="0"/>
          <c:order val="0"/>
          <c:tx>
            <c:v>MHG Projected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Projected!$I$6:$I$36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2239"/>
        <c:axId val="2025673969"/>
      </c:scatterChart>
      <c:valAx>
        <c:axId val="159322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Training days (not in particular order)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25673969"/>
        <c:majorUnit val="1.0"/>
      </c:valAx>
      <c:valAx>
        <c:axId val="2025673969"/>
        <c:scaling>
          <c:orientation val="minMax"/>
          <c:max val="1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Weight in Kg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932239"/>
        <c:majorUnit val="5.0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1</xdr:row>
      <xdr:rowOff>9525</xdr:rowOff>
    </xdr:from>
    <xdr:ext cx="8143875" cy="3810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628650</xdr:colOff>
      <xdr:row>88</xdr:row>
      <xdr:rowOff>9525</xdr:rowOff>
    </xdr:from>
    <xdr:ext cx="8143875" cy="3619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9525</xdr:colOff>
      <xdr:row>153</xdr:row>
      <xdr:rowOff>171450</xdr:rowOff>
    </xdr:from>
    <xdr:ext cx="8143875" cy="36195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14"/>
    <col customWidth="1" min="2" max="15" width="18.0"/>
  </cols>
  <sheetData>
    <row r="1">
      <c r="A1" s="1" t="s">
        <v>0</v>
      </c>
      <c r="B1" s="1" t="s">
        <v>1</v>
      </c>
    </row>
    <row r="3">
      <c r="A3" s="2" t="s">
        <v>2</v>
      </c>
      <c r="B3" s="3" t="s">
        <v>3</v>
      </c>
      <c r="C3" s="4">
        <v>45719.0</v>
      </c>
      <c r="D3" s="5" t="s">
        <v>4</v>
      </c>
      <c r="E3" s="6">
        <f>C3+1</f>
        <v>45720</v>
      </c>
      <c r="F3" s="3" t="s">
        <v>5</v>
      </c>
      <c r="G3" s="6">
        <f>E3+1</f>
        <v>45721</v>
      </c>
      <c r="H3" s="3" t="s">
        <v>6</v>
      </c>
      <c r="I3" s="6">
        <f>G3+1</f>
        <v>45722</v>
      </c>
      <c r="J3" s="3" t="s">
        <v>7</v>
      </c>
      <c r="K3" s="6">
        <f>I3+1</f>
        <v>45723</v>
      </c>
      <c r="L3" s="7" t="s">
        <v>8</v>
      </c>
      <c r="M3" s="8">
        <f>K3+1</f>
        <v>45724</v>
      </c>
      <c r="N3" s="9" t="s">
        <v>9</v>
      </c>
      <c r="O3" s="8">
        <f>M3+1</f>
        <v>45725</v>
      </c>
    </row>
    <row r="4">
      <c r="A4" s="10">
        <v>1.0</v>
      </c>
      <c r="B4" s="11" t="s">
        <v>10</v>
      </c>
      <c r="C4" s="12" t="s">
        <v>11</v>
      </c>
      <c r="D4" s="11" t="s">
        <v>10</v>
      </c>
      <c r="E4" s="12" t="s">
        <v>11</v>
      </c>
      <c r="F4" s="11" t="s">
        <v>10</v>
      </c>
      <c r="G4" s="12" t="s">
        <v>11</v>
      </c>
      <c r="H4" s="11" t="s">
        <v>10</v>
      </c>
      <c r="I4" s="12" t="s">
        <v>11</v>
      </c>
      <c r="J4" s="11" t="s">
        <v>10</v>
      </c>
      <c r="K4" s="12" t="s">
        <v>11</v>
      </c>
      <c r="L4" s="11" t="s">
        <v>10</v>
      </c>
      <c r="M4" s="12" t="s">
        <v>11</v>
      </c>
      <c r="N4" s="11" t="s">
        <v>10</v>
      </c>
      <c r="O4" s="12" t="s">
        <v>11</v>
      </c>
    </row>
    <row r="5">
      <c r="A5" s="13"/>
      <c r="B5" s="14"/>
      <c r="C5" s="15"/>
      <c r="D5" s="14"/>
      <c r="E5" s="15"/>
      <c r="F5" s="14"/>
      <c r="G5" s="15"/>
      <c r="H5" s="14"/>
      <c r="I5" s="15"/>
      <c r="J5" s="14"/>
      <c r="K5" s="15"/>
      <c r="L5" s="14"/>
      <c r="M5" s="15"/>
      <c r="N5" s="14"/>
      <c r="O5" s="15"/>
    </row>
    <row r="6">
      <c r="A6" s="13" t="s">
        <v>12</v>
      </c>
      <c r="B6" s="16" t="s">
        <v>13</v>
      </c>
      <c r="C6" s="17"/>
      <c r="D6" s="18" t="s">
        <v>14</v>
      </c>
      <c r="E6" s="17"/>
      <c r="F6" s="19" t="s">
        <v>13</v>
      </c>
      <c r="G6" s="17"/>
      <c r="H6" s="18" t="s">
        <v>15</v>
      </c>
      <c r="I6" s="17"/>
      <c r="J6" s="19" t="s">
        <v>13</v>
      </c>
      <c r="K6" s="17"/>
      <c r="L6" s="18" t="s">
        <v>16</v>
      </c>
      <c r="M6" s="17"/>
      <c r="N6" s="20" t="s">
        <v>17</v>
      </c>
      <c r="O6" s="17"/>
    </row>
    <row r="7">
      <c r="A7" s="13"/>
      <c r="B7" s="21">
        <v>40.0</v>
      </c>
      <c r="C7" s="22">
        <v>8.0</v>
      </c>
      <c r="D7" s="23" t="s">
        <v>18</v>
      </c>
      <c r="E7" s="24"/>
      <c r="F7" s="25">
        <v>40.0</v>
      </c>
      <c r="G7" s="22">
        <v>8.0</v>
      </c>
      <c r="H7" s="23"/>
      <c r="I7" s="26"/>
      <c r="J7" s="25">
        <v>40.0</v>
      </c>
      <c r="K7" s="22">
        <v>8.0</v>
      </c>
      <c r="L7" s="23" t="s">
        <v>19</v>
      </c>
      <c r="M7" s="24"/>
      <c r="N7" s="27"/>
      <c r="O7" s="24"/>
    </row>
    <row r="8">
      <c r="A8" s="28" t="s">
        <v>20</v>
      </c>
      <c r="B8" s="21">
        <v>40.0</v>
      </c>
      <c r="C8" s="22">
        <v>8.0</v>
      </c>
      <c r="D8" s="23" t="s">
        <v>21</v>
      </c>
      <c r="E8" s="26"/>
      <c r="F8" s="25">
        <v>42.5</v>
      </c>
      <c r="G8" s="22">
        <v>8.0</v>
      </c>
      <c r="H8" s="23"/>
      <c r="I8" s="26"/>
      <c r="J8" s="25">
        <v>42.5</v>
      </c>
      <c r="K8" s="22">
        <v>8.0</v>
      </c>
      <c r="L8" s="23"/>
      <c r="M8" s="24"/>
      <c r="N8" s="28"/>
      <c r="O8" s="24"/>
    </row>
    <row r="9">
      <c r="A9" s="29" t="s">
        <v>22</v>
      </c>
      <c r="B9" s="21">
        <v>42.5</v>
      </c>
      <c r="C9" s="22">
        <v>8.0</v>
      </c>
      <c r="D9" s="30"/>
      <c r="E9" s="26"/>
      <c r="F9" s="25">
        <v>42.5</v>
      </c>
      <c r="G9" s="22">
        <v>8.0</v>
      </c>
      <c r="H9" s="23"/>
      <c r="I9" s="26"/>
      <c r="J9" s="25">
        <v>42.5</v>
      </c>
      <c r="K9" s="22">
        <v>8.0</v>
      </c>
      <c r="L9" s="23"/>
      <c r="M9" s="24"/>
      <c r="N9" s="23"/>
      <c r="O9" s="24"/>
    </row>
    <row r="10">
      <c r="A10" s="28" t="s">
        <v>23</v>
      </c>
      <c r="B10" s="21">
        <v>45.0</v>
      </c>
      <c r="C10" s="22">
        <v>8.0</v>
      </c>
      <c r="D10" s="23"/>
      <c r="E10" s="26"/>
      <c r="F10" s="25">
        <v>45.0</v>
      </c>
      <c r="G10" s="22">
        <v>8.0</v>
      </c>
      <c r="H10" s="31"/>
      <c r="I10" s="24"/>
      <c r="J10" s="25">
        <v>45.0</v>
      </c>
      <c r="K10" s="22">
        <v>8.0</v>
      </c>
      <c r="L10" s="23"/>
      <c r="M10" s="26"/>
      <c r="N10" s="32"/>
      <c r="O10" s="26"/>
    </row>
    <row r="11">
      <c r="A11" s="13"/>
      <c r="B11" s="33"/>
      <c r="C11" s="26"/>
      <c r="D11" s="13"/>
      <c r="E11" s="24"/>
      <c r="F11" s="33"/>
      <c r="G11" s="26"/>
      <c r="H11" s="13"/>
      <c r="I11" s="34"/>
      <c r="J11" s="13"/>
      <c r="K11" s="24"/>
      <c r="L11" s="13"/>
      <c r="M11" s="24"/>
      <c r="N11" s="13"/>
      <c r="O11" s="24"/>
    </row>
    <row r="12">
      <c r="A12" s="28" t="s">
        <v>24</v>
      </c>
      <c r="B12" s="35" t="s">
        <v>25</v>
      </c>
      <c r="C12" s="36">
        <f>C7*B7 + B8*C8 + B9*C9 + B10*C10 + B11*C11</f>
        <v>1340</v>
      </c>
      <c r="D12" s="35" t="s">
        <v>25</v>
      </c>
      <c r="E12" s="36" t="str">
        <f>E7*D7 + D8*E8 + D9*E9 + D10*E10 + D11*E11</f>
        <v>#VALUE!</v>
      </c>
      <c r="F12" s="35" t="s">
        <v>25</v>
      </c>
      <c r="G12" s="36">
        <f>G7*F7 + F8*G8 + F9*G9 + F10*G10 + F11*G11</f>
        <v>1360</v>
      </c>
      <c r="H12" s="35" t="s">
        <v>25</v>
      </c>
      <c r="I12" s="36">
        <f>I7*H7 + H8*I8 + H9*I9 + H10*I10 + H11*I11</f>
        <v>0</v>
      </c>
      <c r="J12" s="35" t="s">
        <v>25</v>
      </c>
      <c r="K12" s="36">
        <f>K7*J7 + J8*K8 + J9*K9 + J10*K10 + J11*K11</f>
        <v>1360</v>
      </c>
      <c r="L12" s="35" t="s">
        <v>25</v>
      </c>
      <c r="M12" s="36" t="str">
        <f>M7*L7 + L8*M8 + L9*M9 + L10*M10 + L11*M11</f>
        <v>#VALUE!</v>
      </c>
      <c r="N12" s="35" t="s">
        <v>25</v>
      </c>
      <c r="O12" s="36">
        <f>O7*N7 + N8*O8 + N9*O9 + N10*O10 + N11*O11</f>
        <v>0</v>
      </c>
    </row>
    <row r="13">
      <c r="A13" s="37"/>
      <c r="B13" s="13" t="s">
        <v>26</v>
      </c>
      <c r="C13" s="38">
        <f>(B7*C7 + B8*C8 + B9*C9 + B10*C10 + B11*C11)/SUM(C7:C11)</f>
        <v>41.875</v>
      </c>
      <c r="D13" s="39" t="s">
        <v>26</v>
      </c>
      <c r="E13" s="40" t="str">
        <f>(D7*E7 + D8*E8 + D9*E9 + D10*E10 + D11*E11)/SUM(E7:E11)</f>
        <v>#VALUE!</v>
      </c>
      <c r="F13" s="13" t="s">
        <v>26</v>
      </c>
      <c r="G13" s="40">
        <f>(F7*G7 + F8*G8 + F9*G9 + F10*G10 + F11*G11)/SUM(G7:G11)</f>
        <v>42.5</v>
      </c>
      <c r="H13" s="13" t="s">
        <v>26</v>
      </c>
      <c r="I13" s="40" t="str">
        <f>(H7*I7 + H8*I8 + H9*I9 + H10*I10 + H11*I11)/SUM(I7:I11)</f>
        <v>#DIV/0!</v>
      </c>
      <c r="J13" s="39" t="s">
        <v>26</v>
      </c>
      <c r="K13" s="40">
        <f>(J7*K7 + J8*K8 + J9*K9 + J10*K10 + J11*K11)/SUM(K7:K11)</f>
        <v>42.5</v>
      </c>
      <c r="L13" s="13" t="s">
        <v>26</v>
      </c>
      <c r="M13" s="40" t="str">
        <f>(L7*M7 + L8*M8 + L9*M9 + L10*M10 + L11*M11)/SUM(M7:M11)</f>
        <v>#VALUE!</v>
      </c>
      <c r="N13" s="13" t="s">
        <v>26</v>
      </c>
      <c r="O13" s="40" t="str">
        <f>(N7*O7 + N8*O8 + N9*O9 + N10*O10 + N11*O11)/SUM(O7:O11)</f>
        <v>#DIV/0!</v>
      </c>
    </row>
    <row r="14">
      <c r="A14" s="28" t="s">
        <v>27</v>
      </c>
      <c r="B14" s="11" t="s">
        <v>10</v>
      </c>
      <c r="C14" s="12" t="s">
        <v>11</v>
      </c>
      <c r="D14" s="11" t="s">
        <v>10</v>
      </c>
      <c r="E14" s="12" t="s">
        <v>11</v>
      </c>
      <c r="F14" s="11" t="s">
        <v>10</v>
      </c>
      <c r="G14" s="12" t="s">
        <v>11</v>
      </c>
      <c r="H14" s="11" t="s">
        <v>10</v>
      </c>
      <c r="I14" s="12" t="s">
        <v>11</v>
      </c>
      <c r="J14" s="11" t="s">
        <v>10</v>
      </c>
      <c r="K14" s="12" t="s">
        <v>11</v>
      </c>
      <c r="L14" s="11" t="s">
        <v>10</v>
      </c>
      <c r="M14" s="12" t="s">
        <v>11</v>
      </c>
      <c r="N14" s="11" t="s">
        <v>10</v>
      </c>
      <c r="O14" s="12" t="s">
        <v>11</v>
      </c>
    </row>
    <row r="15">
      <c r="A15" s="41" t="s">
        <v>28</v>
      </c>
      <c r="B15" s="42" t="s">
        <v>29</v>
      </c>
      <c r="C15" s="17"/>
      <c r="D15" s="43" t="s">
        <v>30</v>
      </c>
      <c r="E15" s="44" t="s">
        <v>31</v>
      </c>
      <c r="F15" s="45" t="s">
        <v>32</v>
      </c>
      <c r="G15" s="17"/>
      <c r="H15" s="19" t="s">
        <v>33</v>
      </c>
      <c r="I15" s="44"/>
      <c r="J15" s="45" t="s">
        <v>34</v>
      </c>
      <c r="K15" s="17"/>
      <c r="L15" s="20"/>
      <c r="M15" s="17"/>
      <c r="N15" s="42"/>
      <c r="O15" s="44"/>
    </row>
    <row r="16">
      <c r="A16" s="28"/>
      <c r="B16" s="46">
        <v>85.0</v>
      </c>
      <c r="C16" s="22">
        <v>10.0</v>
      </c>
      <c r="D16" s="23" t="s">
        <v>35</v>
      </c>
      <c r="E16" s="24" t="s">
        <v>36</v>
      </c>
      <c r="F16" s="47">
        <v>50.0</v>
      </c>
      <c r="G16" s="22">
        <v>10.0</v>
      </c>
      <c r="H16" s="23"/>
      <c r="I16" s="24"/>
      <c r="J16" s="47">
        <v>60.0</v>
      </c>
      <c r="K16" s="22">
        <v>10.0</v>
      </c>
      <c r="L16" s="46"/>
      <c r="M16" s="48"/>
      <c r="N16" s="46"/>
      <c r="O16" s="26"/>
    </row>
    <row r="17">
      <c r="A17" s="28" t="s">
        <v>37</v>
      </c>
      <c r="B17" s="46">
        <v>90.0</v>
      </c>
      <c r="C17" s="22">
        <v>10.0</v>
      </c>
      <c r="D17" s="23" t="s">
        <v>35</v>
      </c>
      <c r="E17" s="26" t="s">
        <v>38</v>
      </c>
      <c r="F17" s="47">
        <v>60.0</v>
      </c>
      <c r="G17" s="22">
        <v>10.0</v>
      </c>
      <c r="H17" s="23"/>
      <c r="I17" s="24"/>
      <c r="J17" s="47">
        <v>62.5</v>
      </c>
      <c r="K17" s="22">
        <v>10.0</v>
      </c>
      <c r="L17" s="46"/>
      <c r="M17" s="48"/>
      <c r="N17" s="46"/>
      <c r="O17" s="26"/>
    </row>
    <row r="18">
      <c r="A18" s="28" t="s">
        <v>39</v>
      </c>
      <c r="B18" s="46">
        <v>95.0</v>
      </c>
      <c r="C18" s="22">
        <v>10.0</v>
      </c>
      <c r="D18" s="23" t="s">
        <v>40</v>
      </c>
      <c r="E18" s="24" t="s">
        <v>38</v>
      </c>
      <c r="F18" s="47">
        <v>65.0</v>
      </c>
      <c r="G18" s="22">
        <v>10.0</v>
      </c>
      <c r="H18" s="23"/>
      <c r="I18" s="24"/>
      <c r="J18" s="47">
        <v>65.0</v>
      </c>
      <c r="K18" s="22">
        <v>10.0</v>
      </c>
      <c r="L18" s="46"/>
      <c r="M18" s="48"/>
      <c r="N18" s="46"/>
      <c r="O18" s="26"/>
    </row>
    <row r="19">
      <c r="A19" s="28"/>
      <c r="B19" s="46">
        <v>97.5</v>
      </c>
      <c r="C19" s="22">
        <v>10.0</v>
      </c>
      <c r="D19" s="23" t="s">
        <v>35</v>
      </c>
      <c r="E19" s="26" t="s">
        <v>38</v>
      </c>
      <c r="F19" s="47">
        <v>67.5</v>
      </c>
      <c r="G19" s="22">
        <v>10.0</v>
      </c>
      <c r="H19" s="23"/>
      <c r="I19" s="24"/>
      <c r="J19" s="47">
        <v>67.5</v>
      </c>
      <c r="K19" s="22">
        <v>10.0</v>
      </c>
      <c r="L19" s="46"/>
      <c r="M19" s="26"/>
      <c r="N19" s="46"/>
      <c r="O19" s="26"/>
    </row>
    <row r="20">
      <c r="A20" s="28" t="s">
        <v>41</v>
      </c>
      <c r="B20" s="32"/>
      <c r="C20" s="24"/>
      <c r="D20" s="23" t="s">
        <v>35</v>
      </c>
      <c r="E20" s="24" t="s">
        <v>42</v>
      </c>
      <c r="F20" s="28"/>
      <c r="G20" s="24"/>
      <c r="H20" s="28"/>
      <c r="I20" s="24"/>
      <c r="J20" s="31"/>
      <c r="K20" s="24"/>
      <c r="L20" s="32"/>
      <c r="M20" s="24"/>
      <c r="N20" s="32"/>
      <c r="O20" s="24"/>
    </row>
    <row r="21">
      <c r="A21" s="28" t="s">
        <v>43</v>
      </c>
      <c r="B21" s="32"/>
      <c r="C21" s="26"/>
      <c r="D21" s="32"/>
      <c r="E21" s="26"/>
      <c r="F21" s="32"/>
      <c r="G21" s="26"/>
      <c r="H21" s="28"/>
      <c r="I21" s="24"/>
      <c r="J21" s="13"/>
      <c r="K21" s="24"/>
      <c r="L21" s="32"/>
      <c r="M21" s="26"/>
      <c r="N21" s="32"/>
      <c r="O21" s="26"/>
    </row>
    <row r="22">
      <c r="A22" s="28"/>
      <c r="B22" s="35" t="s">
        <v>25</v>
      </c>
      <c r="C22" s="36">
        <f>C16*B16 + B17*C17 + B18*C18 + B19*C19 + B21*C21</f>
        <v>3675</v>
      </c>
      <c r="D22" s="35" t="s">
        <v>25</v>
      </c>
      <c r="E22" s="36" t="str">
        <f>E16*D16 + D17*E17 + D18*E18 + D19*E19 + D21*E21</f>
        <v>#VALUE!</v>
      </c>
      <c r="F22" s="35" t="s">
        <v>25</v>
      </c>
      <c r="G22" s="36">
        <f>G16*F16 + F17*G17 + F18*G18 + F19*G19 + F21*G21</f>
        <v>2425</v>
      </c>
      <c r="H22" s="35" t="s">
        <v>25</v>
      </c>
      <c r="I22" s="36">
        <f>I16*H16 + H17*I17 + H18*I18 + H19*I19 + H21*I21</f>
        <v>0</v>
      </c>
      <c r="J22" s="35" t="s">
        <v>25</v>
      </c>
      <c r="K22" s="36">
        <f>K16*J16 + J17*K17 + J18*K18 + J19*K19 + J21*K21</f>
        <v>2550</v>
      </c>
      <c r="L22" s="35" t="s">
        <v>25</v>
      </c>
      <c r="M22" s="36">
        <f>M16*L16 + L17*M17 + L18*M18 + L19*M19 + L21*M21</f>
        <v>0</v>
      </c>
      <c r="N22" s="35" t="s">
        <v>25</v>
      </c>
      <c r="O22" s="36">
        <f>O16*N16 + N17*O17 + N18*O18 + N19*O19 + N21*O21</f>
        <v>0</v>
      </c>
    </row>
    <row r="23">
      <c r="A23" s="28"/>
      <c r="B23" s="39" t="s">
        <v>26</v>
      </c>
      <c r="C23" s="38">
        <f>(B17*C17 + B18*C18 + B19*C19 + B20*C20 + B21*C21)/SUM(C17:C21)</f>
        <v>94.16666667</v>
      </c>
      <c r="D23" s="39" t="s">
        <v>26</v>
      </c>
      <c r="E23" s="40" t="str">
        <f>(D17*E17 + D18*E18 + D19*E19 + D20*E20 + D21*E21)/SUM(E17:E21)</f>
        <v>#VALUE!</v>
      </c>
      <c r="F23" s="39" t="s">
        <v>26</v>
      </c>
      <c r="G23" s="38">
        <f>(F17*G17 + F18*G18 + F19*G19 + F20*G20 + F21*G21)/SUM(G17:G21)</f>
        <v>64.16666667</v>
      </c>
      <c r="H23" s="39" t="s">
        <v>26</v>
      </c>
      <c r="I23" s="40" t="str">
        <f>(H16*I16 + H17*I17 + H18*I18 + H19*I19 + H21*I21)/SUM(I16:I21)</f>
        <v>#DIV/0!</v>
      </c>
      <c r="J23" s="39" t="s">
        <v>26</v>
      </c>
      <c r="K23" s="40">
        <f>(J17*K17 + J18*K18 + J19*K19 + J20*K20 + J21*K21)/SUM(K17:K21)</f>
        <v>65</v>
      </c>
      <c r="L23" s="39" t="s">
        <v>26</v>
      </c>
      <c r="M23" s="40" t="str">
        <f>(L17*M17 + L18*M18 + L19*M19 + L20*M20 + L21*M21)/SUM(M17:M21)</f>
        <v>#DIV/0!</v>
      </c>
      <c r="N23" s="39" t="s">
        <v>26</v>
      </c>
      <c r="O23" s="40" t="str">
        <f>(N17*O17 + N18*O18 + N19*O19 + N20*O20 + N21*O21)/SUM(O17:O21)</f>
        <v>#DIV/0!</v>
      </c>
    </row>
    <row r="24">
      <c r="A24" s="28"/>
      <c r="B24" s="42" t="s">
        <v>44</v>
      </c>
      <c r="C24" s="17"/>
      <c r="D24" s="18"/>
      <c r="E24" s="17"/>
      <c r="F24" s="43" t="s">
        <v>44</v>
      </c>
      <c r="G24" s="17"/>
      <c r="H24" s="43"/>
      <c r="I24" s="17"/>
      <c r="J24" s="43" t="s">
        <v>44</v>
      </c>
      <c r="K24" s="17"/>
      <c r="L24" s="49"/>
      <c r="M24" s="50"/>
      <c r="N24" s="49"/>
      <c r="O24" s="50"/>
    </row>
    <row r="25">
      <c r="A25" s="28"/>
      <c r="B25" s="32" t="s">
        <v>45</v>
      </c>
      <c r="C25" s="26"/>
      <c r="D25" s="51" t="s">
        <v>46</v>
      </c>
      <c r="E25" s="24"/>
      <c r="F25" s="23" t="s">
        <v>45</v>
      </c>
      <c r="G25" s="24"/>
      <c r="H25" s="23"/>
      <c r="I25" s="24"/>
      <c r="J25" s="23" t="s">
        <v>45</v>
      </c>
      <c r="K25" s="26"/>
      <c r="L25" s="21"/>
      <c r="M25" s="24"/>
      <c r="N25" s="21"/>
      <c r="O25" s="24"/>
    </row>
    <row r="26">
      <c r="A26" s="28"/>
      <c r="B26" s="52" t="s">
        <v>47</v>
      </c>
      <c r="C26" s="26"/>
      <c r="D26" s="23"/>
      <c r="E26" s="26"/>
      <c r="F26" s="53" t="s">
        <v>47</v>
      </c>
      <c r="G26" s="26"/>
      <c r="H26" s="23"/>
      <c r="I26" s="24"/>
      <c r="J26" s="53" t="s">
        <v>47</v>
      </c>
      <c r="K26" s="26"/>
      <c r="L26" s="21"/>
      <c r="M26" s="26"/>
      <c r="N26" s="21"/>
      <c r="O26" s="26"/>
    </row>
    <row r="27">
      <c r="A27" s="28"/>
      <c r="B27" s="52" t="s">
        <v>48</v>
      </c>
      <c r="C27" s="26"/>
      <c r="D27" s="23"/>
      <c r="E27" s="24"/>
      <c r="F27" s="53" t="s">
        <v>48</v>
      </c>
      <c r="G27" s="24"/>
      <c r="H27" s="23"/>
      <c r="I27" s="24"/>
      <c r="J27" s="53" t="s">
        <v>48</v>
      </c>
      <c r="K27" s="26"/>
      <c r="L27" s="46"/>
      <c r="M27" s="24"/>
      <c r="N27" s="46"/>
      <c r="O27" s="24"/>
    </row>
    <row r="28">
      <c r="A28" s="28"/>
      <c r="B28" s="46"/>
      <c r="C28" s="54"/>
      <c r="D28" s="46"/>
      <c r="E28" s="54"/>
      <c r="F28" s="46"/>
      <c r="G28" s="54"/>
      <c r="H28" s="1"/>
      <c r="I28" s="26"/>
      <c r="J28" s="28"/>
      <c r="K28" s="54"/>
      <c r="L28" s="21"/>
      <c r="M28" s="24"/>
      <c r="N28" s="21"/>
      <c r="O28" s="24"/>
    </row>
    <row r="29">
      <c r="A29" s="28"/>
      <c r="B29" s="13"/>
      <c r="C29" s="34"/>
      <c r="D29" s="21"/>
      <c r="E29" s="34"/>
      <c r="F29" s="13"/>
      <c r="G29" s="24"/>
      <c r="H29" s="28"/>
      <c r="I29" s="34"/>
      <c r="J29" s="13"/>
      <c r="K29" s="24"/>
      <c r="L29" s="31"/>
      <c r="M29" s="24"/>
      <c r="N29" s="31"/>
      <c r="O29" s="24"/>
    </row>
    <row r="30">
      <c r="A30" s="28"/>
      <c r="B30" s="35" t="s">
        <v>25</v>
      </c>
      <c r="C30" s="55" t="str">
        <f>C25*B25 + B26*C26 + B27*C27 + B28*C28 + B29*C29</f>
        <v>#VALUE!</v>
      </c>
      <c r="D30" s="35" t="s">
        <v>25</v>
      </c>
      <c r="E30" s="55" t="str">
        <f>E25*D25 + D26*E26 + D27*E27 + D28*E28 + D29*E29</f>
        <v>#VALUE!</v>
      </c>
      <c r="F30" s="35" t="s">
        <v>25</v>
      </c>
      <c r="G30" s="55" t="str">
        <f>G25*F25 + F26*G26 + F27*G27 + F28*G28 + F29*G29</f>
        <v>#VALUE!</v>
      </c>
      <c r="H30" s="35" t="s">
        <v>25</v>
      </c>
      <c r="I30" s="56">
        <f>I25*H25 + H26*I26 + H27*I27 + H28*I28 + H29*I29</f>
        <v>0</v>
      </c>
      <c r="J30" s="35" t="s">
        <v>25</v>
      </c>
      <c r="K30" s="36" t="str">
        <f>K25*J25 + J26*K26 + J27*K27 + J28*K28 + J29*K29</f>
        <v>#VALUE!</v>
      </c>
      <c r="L30" s="57" t="s">
        <v>25</v>
      </c>
      <c r="M30" s="58">
        <f>M25*L25 + L26*M26 + L27*M27 + L28*M28 + L29*M29</f>
        <v>0</v>
      </c>
      <c r="N30" s="57" t="s">
        <v>25</v>
      </c>
      <c r="O30" s="58">
        <f>O25*N25 + N26*O26 + N27*O27 + N28*O28 + N29*O29</f>
        <v>0</v>
      </c>
    </row>
    <row r="31">
      <c r="A31" s="28"/>
      <c r="B31" s="39" t="s">
        <v>26</v>
      </c>
      <c r="C31" s="40" t="str">
        <f>(B25*C25 + B26*C26 + B27*C27 + B28*C28 + B29*C29)/SUM(C25:C29)</f>
        <v>#VALUE!</v>
      </c>
      <c r="D31" s="59" t="s">
        <v>26</v>
      </c>
      <c r="E31" s="40" t="str">
        <f>(D25*E25 + D26*E26 + D27*E27 + D28*E28 + D29*E29)/SUM(E25:E29)</f>
        <v>#VALUE!</v>
      </c>
      <c r="F31" s="39" t="s">
        <v>26</v>
      </c>
      <c r="G31" s="40" t="str">
        <f>(F25*G25 + F26*G26 + F27*G27 + F28*G28 + F29*G29)/SUM(G25:G29)</f>
        <v>#VALUE!</v>
      </c>
      <c r="H31" s="59" t="s">
        <v>26</v>
      </c>
      <c r="I31" s="40" t="str">
        <f>(H25*I25 + H26*I26 + H27*I27 + H28*I28 + H29*I29)/SUM(I25:I29)</f>
        <v>#DIV/0!</v>
      </c>
      <c r="J31" s="39" t="s">
        <v>26</v>
      </c>
      <c r="K31" s="40" t="str">
        <f>(J25*K25 + J26*K26 + J27*K27 + J28*K28 + J29*K29)/SUM(K25:K29)</f>
        <v>#VALUE!</v>
      </c>
      <c r="L31" s="59" t="s">
        <v>26</v>
      </c>
      <c r="M31" s="40" t="str">
        <f>(L25*M25 + L26*M26 + L27*M27 + L28*M28 + L29*M29)/SUM(M29)</f>
        <v>#DIV/0!</v>
      </c>
      <c r="N31" s="59" t="s">
        <v>26</v>
      </c>
      <c r="O31" s="40" t="str">
        <f>(N25*O25 + N26*O26 + N27*O27 + N28*O28 + N29*O29)/SUM(O29)</f>
        <v>#DIV/0!</v>
      </c>
    </row>
    <row r="32">
      <c r="A32" s="28"/>
      <c r="B32" s="28"/>
      <c r="C32" s="30" t="s">
        <v>49</v>
      </c>
      <c r="D32" s="28" t="s">
        <v>50</v>
      </c>
      <c r="E32" s="30" t="s">
        <v>49</v>
      </c>
      <c r="F32" s="28" t="s">
        <v>51</v>
      </c>
      <c r="G32" s="30" t="s">
        <v>49</v>
      </c>
      <c r="H32" s="28"/>
      <c r="I32" s="30" t="s">
        <v>49</v>
      </c>
      <c r="J32" s="28"/>
      <c r="K32" s="30" t="s">
        <v>49</v>
      </c>
      <c r="L32" s="28"/>
      <c r="M32" s="60" t="s">
        <v>49</v>
      </c>
      <c r="N32" s="28"/>
      <c r="O32" s="60" t="s">
        <v>49</v>
      </c>
    </row>
    <row r="33">
      <c r="A33" s="28"/>
      <c r="B33" s="52" t="s">
        <v>52</v>
      </c>
      <c r="C33" s="60"/>
      <c r="D33" s="23"/>
      <c r="E33" s="61"/>
      <c r="F33" s="62" t="s">
        <v>52</v>
      </c>
      <c r="G33" s="61"/>
      <c r="H33" s="30"/>
      <c r="I33" s="60"/>
      <c r="J33" s="62" t="s">
        <v>52</v>
      </c>
      <c r="K33" s="60"/>
      <c r="L33" s="27"/>
      <c r="M33" s="60"/>
      <c r="N33" s="27"/>
      <c r="O33" s="60"/>
    </row>
    <row r="34">
      <c r="A34" s="28"/>
      <c r="B34" s="52" t="s">
        <v>53</v>
      </c>
      <c r="C34" s="60"/>
      <c r="D34" s="23"/>
      <c r="E34" s="60"/>
      <c r="F34" s="53" t="s">
        <v>53</v>
      </c>
      <c r="G34" s="60"/>
      <c r="H34" s="30"/>
      <c r="I34" s="60"/>
      <c r="J34" s="53" t="s">
        <v>53</v>
      </c>
      <c r="K34" s="60"/>
      <c r="L34" s="27"/>
      <c r="M34" s="60"/>
      <c r="N34" s="27"/>
      <c r="O34" s="60"/>
    </row>
    <row r="35">
      <c r="A35" s="37"/>
      <c r="B35" s="32" t="s">
        <v>54</v>
      </c>
      <c r="C35" s="60"/>
      <c r="D35" s="23"/>
      <c r="E35" s="60"/>
      <c r="F35" s="23" t="s">
        <v>54</v>
      </c>
      <c r="G35" s="60"/>
      <c r="H35" s="30"/>
      <c r="I35" s="60"/>
      <c r="J35" s="30" t="s">
        <v>54</v>
      </c>
      <c r="K35" s="60"/>
      <c r="L35" s="1"/>
      <c r="M35" s="60"/>
      <c r="N35" s="30"/>
      <c r="O35" s="60"/>
    </row>
    <row r="36">
      <c r="A36" s="37"/>
      <c r="B36" s="28"/>
      <c r="C36" s="1"/>
      <c r="D36" s="28"/>
      <c r="E36" s="1"/>
      <c r="F36" s="28"/>
      <c r="G36" s="63"/>
      <c r="H36" s="30"/>
      <c r="I36" s="30"/>
      <c r="J36" s="28"/>
      <c r="K36" s="60"/>
      <c r="L36" s="30"/>
      <c r="M36" s="60"/>
      <c r="N36" s="30"/>
      <c r="O36" s="60"/>
    </row>
    <row r="37">
      <c r="A37" s="37"/>
      <c r="B37" s="28"/>
      <c r="C37" s="1"/>
      <c r="D37" s="28"/>
      <c r="E37" s="1"/>
      <c r="F37" s="28"/>
      <c r="G37" s="60"/>
      <c r="H37" s="28"/>
      <c r="I37" s="30"/>
      <c r="J37" s="28"/>
      <c r="K37" s="60"/>
      <c r="L37" s="30"/>
      <c r="M37" s="60"/>
      <c r="N37" s="30"/>
      <c r="O37" s="60"/>
    </row>
    <row r="38">
      <c r="A38" s="37"/>
      <c r="B38" s="28"/>
      <c r="C38" s="1"/>
      <c r="D38" s="28"/>
      <c r="E38" s="1"/>
      <c r="F38" s="28"/>
      <c r="G38" s="60"/>
      <c r="H38" s="30"/>
      <c r="I38" s="30"/>
      <c r="J38" s="37"/>
      <c r="K38" s="60"/>
      <c r="L38" s="30"/>
      <c r="M38" s="60"/>
      <c r="N38" s="30"/>
      <c r="O38" s="60"/>
    </row>
    <row r="39">
      <c r="A39" s="64"/>
      <c r="B39" s="65"/>
      <c r="C39" s="66"/>
      <c r="D39" s="65"/>
      <c r="E39" s="66"/>
      <c r="F39" s="64"/>
      <c r="G39" s="67"/>
      <c r="H39" s="66"/>
      <c r="I39" s="66"/>
      <c r="J39" s="64"/>
      <c r="K39" s="67"/>
      <c r="L39" s="66"/>
      <c r="M39" s="67"/>
      <c r="N39" s="66"/>
      <c r="O39" s="67"/>
    </row>
    <row r="41">
      <c r="A41" s="2" t="s">
        <v>2</v>
      </c>
      <c r="B41" s="3" t="s">
        <v>3</v>
      </c>
      <c r="C41" s="4">
        <f>O3+1</f>
        <v>45726</v>
      </c>
      <c r="D41" s="5" t="s">
        <v>4</v>
      </c>
      <c r="E41" s="6">
        <f>C41+1</f>
        <v>45727</v>
      </c>
      <c r="F41" s="3" t="s">
        <v>5</v>
      </c>
      <c r="G41" s="6">
        <f>E41+1</f>
        <v>45728</v>
      </c>
      <c r="H41" s="3" t="s">
        <v>6</v>
      </c>
      <c r="I41" s="6">
        <f>G41+1</f>
        <v>45729</v>
      </c>
      <c r="J41" s="3" t="s">
        <v>7</v>
      </c>
      <c r="K41" s="6">
        <f>I41+1</f>
        <v>45730</v>
      </c>
      <c r="L41" s="7" t="s">
        <v>8</v>
      </c>
      <c r="M41" s="8">
        <f>K41+1</f>
        <v>45731</v>
      </c>
      <c r="N41" s="9" t="s">
        <v>9</v>
      </c>
      <c r="O41" s="8">
        <f>M41+1</f>
        <v>45732</v>
      </c>
    </row>
    <row r="42">
      <c r="A42" s="10">
        <f>A4+1</f>
        <v>2</v>
      </c>
      <c r="B42" s="11" t="s">
        <v>10</v>
      </c>
      <c r="C42" s="12" t="s">
        <v>11</v>
      </c>
      <c r="D42" s="11" t="s">
        <v>10</v>
      </c>
      <c r="E42" s="12" t="s">
        <v>11</v>
      </c>
      <c r="F42" s="11" t="s">
        <v>10</v>
      </c>
      <c r="G42" s="12" t="s">
        <v>11</v>
      </c>
      <c r="H42" s="11" t="s">
        <v>10</v>
      </c>
      <c r="I42" s="12" t="s">
        <v>11</v>
      </c>
      <c r="J42" s="11" t="s">
        <v>10</v>
      </c>
      <c r="K42" s="12" t="s">
        <v>11</v>
      </c>
      <c r="L42" s="11" t="s">
        <v>10</v>
      </c>
      <c r="M42" s="12" t="s">
        <v>11</v>
      </c>
      <c r="N42" s="11" t="s">
        <v>10</v>
      </c>
      <c r="O42" s="12" t="s">
        <v>11</v>
      </c>
    </row>
    <row r="43">
      <c r="A43" s="13"/>
      <c r="B43" s="14"/>
      <c r="C43" s="15"/>
      <c r="D43" s="14"/>
      <c r="E43" s="15"/>
      <c r="F43" s="14"/>
      <c r="G43" s="15"/>
      <c r="H43" s="14"/>
      <c r="I43" s="15"/>
      <c r="J43" s="14"/>
      <c r="K43" s="15"/>
      <c r="L43" s="14"/>
      <c r="M43" s="15"/>
      <c r="N43" s="14"/>
      <c r="O43" s="15"/>
    </row>
    <row r="44">
      <c r="A44" s="13" t="s">
        <v>12</v>
      </c>
      <c r="B44" s="16" t="s">
        <v>13</v>
      </c>
      <c r="C44" s="17"/>
      <c r="D44" s="18" t="s">
        <v>14</v>
      </c>
      <c r="E44" s="17"/>
      <c r="F44" s="19" t="s">
        <v>13</v>
      </c>
      <c r="G44" s="17"/>
      <c r="H44" s="18" t="s">
        <v>15</v>
      </c>
      <c r="I44" s="17"/>
      <c r="J44" s="19" t="s">
        <v>13</v>
      </c>
      <c r="K44" s="17"/>
      <c r="L44" s="18" t="s">
        <v>16</v>
      </c>
      <c r="M44" s="17"/>
      <c r="N44" s="20" t="s">
        <v>17</v>
      </c>
      <c r="O44" s="17"/>
    </row>
    <row r="45">
      <c r="A45" s="13"/>
      <c r="B45" s="46">
        <v>42.5</v>
      </c>
      <c r="C45" s="22">
        <v>8.0</v>
      </c>
      <c r="D45" s="23" t="s">
        <v>18</v>
      </c>
      <c r="E45" s="24"/>
      <c r="F45" s="47">
        <v>45.0</v>
      </c>
      <c r="G45" s="22">
        <v>8.0</v>
      </c>
      <c r="H45" s="23"/>
      <c r="I45" s="26"/>
      <c r="J45" s="47">
        <v>45.0</v>
      </c>
      <c r="K45" s="22">
        <v>8.0</v>
      </c>
      <c r="L45" s="23" t="s">
        <v>19</v>
      </c>
      <c r="M45" s="24"/>
      <c r="N45" s="27"/>
      <c r="O45" s="24"/>
    </row>
    <row r="46">
      <c r="A46" s="28" t="s">
        <v>20</v>
      </c>
      <c r="B46" s="46">
        <v>42.5</v>
      </c>
      <c r="C46" s="22">
        <v>8.0</v>
      </c>
      <c r="D46" s="23" t="s">
        <v>21</v>
      </c>
      <c r="E46" s="26"/>
      <c r="F46" s="47">
        <v>45.0</v>
      </c>
      <c r="G46" s="22">
        <v>8.0</v>
      </c>
      <c r="H46" s="23"/>
      <c r="I46" s="26"/>
      <c r="J46" s="47">
        <v>47.5</v>
      </c>
      <c r="K46" s="22">
        <v>8.0</v>
      </c>
      <c r="L46" s="23"/>
      <c r="M46" s="24"/>
      <c r="N46" s="28"/>
      <c r="O46" s="24"/>
    </row>
    <row r="47">
      <c r="A47" s="29" t="s">
        <v>22</v>
      </c>
      <c r="B47" s="46">
        <v>45.0</v>
      </c>
      <c r="C47" s="22">
        <v>8.0</v>
      </c>
      <c r="D47" s="30"/>
      <c r="E47" s="26"/>
      <c r="F47" s="47">
        <v>47.5</v>
      </c>
      <c r="G47" s="22">
        <v>8.0</v>
      </c>
      <c r="H47" s="23"/>
      <c r="I47" s="26"/>
      <c r="J47" s="47">
        <v>50.0</v>
      </c>
      <c r="K47" s="22">
        <v>8.0</v>
      </c>
      <c r="L47" s="23"/>
      <c r="M47" s="24"/>
      <c r="N47" s="23"/>
      <c r="O47" s="24"/>
    </row>
    <row r="48">
      <c r="A48" s="28" t="s">
        <v>23</v>
      </c>
      <c r="B48" s="21">
        <v>45.0</v>
      </c>
      <c r="C48" s="22">
        <v>8.0</v>
      </c>
      <c r="D48" s="23"/>
      <c r="E48" s="26"/>
      <c r="F48" s="47">
        <v>47.5</v>
      </c>
      <c r="G48" s="22">
        <v>8.0</v>
      </c>
      <c r="H48" s="31"/>
      <c r="I48" s="24"/>
      <c r="J48" s="47">
        <v>52.5</v>
      </c>
      <c r="K48" s="22">
        <v>8.0</v>
      </c>
      <c r="L48" s="23"/>
      <c r="M48" s="26"/>
      <c r="N48" s="32"/>
      <c r="O48" s="26"/>
    </row>
    <row r="49">
      <c r="A49" s="13"/>
      <c r="B49" s="33"/>
      <c r="C49" s="26"/>
      <c r="D49" s="13"/>
      <c r="E49" s="24"/>
      <c r="F49" s="33"/>
      <c r="G49" s="26"/>
      <c r="H49" s="13"/>
      <c r="I49" s="34"/>
      <c r="J49" s="13"/>
      <c r="K49" s="24"/>
      <c r="L49" s="13"/>
      <c r="M49" s="24"/>
      <c r="N49" s="13"/>
      <c r="O49" s="24"/>
    </row>
    <row r="50">
      <c r="A50" s="28" t="s">
        <v>24</v>
      </c>
      <c r="B50" s="35" t="s">
        <v>25</v>
      </c>
      <c r="C50" s="36">
        <f>C45*B45 + B46*C46 + B47*C47 + B48*C48 + B49*C49</f>
        <v>1400</v>
      </c>
      <c r="D50" s="35" t="s">
        <v>25</v>
      </c>
      <c r="E50" s="36" t="str">
        <f>E45*D45 + D46*E46 + D47*E47 + D48*E48 + D49*E49</f>
        <v>#VALUE!</v>
      </c>
      <c r="F50" s="35" t="s">
        <v>25</v>
      </c>
      <c r="G50" s="36">
        <f>G45*F45 + F46*G46 + F47*G47 + F48*G48 + F49*G49</f>
        <v>1480</v>
      </c>
      <c r="H50" s="35" t="s">
        <v>25</v>
      </c>
      <c r="I50" s="36">
        <f>I45*H45 + H46*I46 + H47*I47 + H48*I48 + H49*I49</f>
        <v>0</v>
      </c>
      <c r="J50" s="35" t="s">
        <v>25</v>
      </c>
      <c r="K50" s="36">
        <f>K45*J45 + J46*K46 + J47*K47 + J48*K48 + J49*K49</f>
        <v>1560</v>
      </c>
      <c r="L50" s="35" t="s">
        <v>25</v>
      </c>
      <c r="M50" s="36" t="str">
        <f>M45*L45 + L46*M46 + L47*M47 + L48*M48 + L49*M49</f>
        <v>#VALUE!</v>
      </c>
      <c r="N50" s="35" t="s">
        <v>25</v>
      </c>
      <c r="O50" s="36">
        <f>O45*N45 + N46*O46 + N47*O47 + N48*O48 + N49*O49</f>
        <v>0</v>
      </c>
    </row>
    <row r="51">
      <c r="A51" s="37"/>
      <c r="B51" s="13" t="s">
        <v>26</v>
      </c>
      <c r="C51" s="38">
        <f>(B45*C45 + B46*C46 + B47*C47 + B48*C48 + B49*C49)/SUM(C45:C49)</f>
        <v>43.75</v>
      </c>
      <c r="D51" s="39" t="s">
        <v>26</v>
      </c>
      <c r="E51" s="40" t="str">
        <f>(D45*E45 + D46*E46 + D47*E47 + D48*E48 + D49*E49)/SUM(E45:E49)</f>
        <v>#VALUE!</v>
      </c>
      <c r="F51" s="13" t="s">
        <v>26</v>
      </c>
      <c r="G51" s="40">
        <f>(F45*G45 + F46*G46 + F47*G47 + F48*G48 + F49*G49)/SUM(G45:G49)</f>
        <v>46.25</v>
      </c>
      <c r="H51" s="13" t="s">
        <v>26</v>
      </c>
      <c r="I51" s="40" t="str">
        <f>(H45*I45 + H46*I46 + H47*I47 + H48*I48 + H49*I49)/SUM(I45:I49)</f>
        <v>#DIV/0!</v>
      </c>
      <c r="J51" s="39" t="s">
        <v>26</v>
      </c>
      <c r="K51" s="40">
        <f>(J45*K45 + J46*K46 + J47*K47 + J48*K48 + J49*K49)/SUM(K45:K49)</f>
        <v>48.75</v>
      </c>
      <c r="L51" s="13" t="s">
        <v>26</v>
      </c>
      <c r="M51" s="40" t="str">
        <f>(L45*M45 + L46*M46 + L47*M47 + L48*M48 + L49*M49)/SUM(M45:M49)</f>
        <v>#VALUE!</v>
      </c>
      <c r="N51" s="13" t="s">
        <v>26</v>
      </c>
      <c r="O51" s="40" t="str">
        <f>(N45*O45 + N46*O46 + N47*O47 + N48*O48 + N49*O49)/SUM(O45:O49)</f>
        <v>#DIV/0!</v>
      </c>
    </row>
    <row r="52">
      <c r="A52" s="28" t="s">
        <v>27</v>
      </c>
      <c r="B52" s="11" t="s">
        <v>10</v>
      </c>
      <c r="C52" s="12" t="s">
        <v>11</v>
      </c>
      <c r="D52" s="11" t="s">
        <v>10</v>
      </c>
      <c r="E52" s="12" t="s">
        <v>11</v>
      </c>
      <c r="F52" s="11" t="s">
        <v>10</v>
      </c>
      <c r="G52" s="12" t="s">
        <v>11</v>
      </c>
      <c r="H52" s="11" t="s">
        <v>10</v>
      </c>
      <c r="I52" s="12" t="s">
        <v>11</v>
      </c>
      <c r="J52" s="11" t="s">
        <v>10</v>
      </c>
      <c r="K52" s="12" t="s">
        <v>11</v>
      </c>
      <c r="L52" s="11" t="s">
        <v>10</v>
      </c>
      <c r="M52" s="12" t="s">
        <v>11</v>
      </c>
      <c r="N52" s="11" t="s">
        <v>10</v>
      </c>
      <c r="O52" s="12" t="s">
        <v>11</v>
      </c>
    </row>
    <row r="53">
      <c r="A53" s="41" t="s">
        <v>28</v>
      </c>
      <c r="B53" s="42" t="s">
        <v>29</v>
      </c>
      <c r="C53" s="17"/>
      <c r="D53" s="43" t="s">
        <v>30</v>
      </c>
      <c r="E53" s="44" t="s">
        <v>31</v>
      </c>
      <c r="F53" s="45" t="s">
        <v>32</v>
      </c>
      <c r="G53" s="17"/>
      <c r="H53" s="19" t="s">
        <v>33</v>
      </c>
      <c r="I53" s="44"/>
      <c r="J53" s="45" t="s">
        <v>34</v>
      </c>
      <c r="K53" s="17"/>
      <c r="L53" s="20"/>
      <c r="M53" s="17"/>
      <c r="N53" s="42"/>
      <c r="O53" s="44"/>
    </row>
    <row r="54">
      <c r="A54" s="28"/>
      <c r="B54" s="46">
        <v>85.0</v>
      </c>
      <c r="C54" s="22">
        <v>10.0</v>
      </c>
      <c r="D54" s="23" t="s">
        <v>35</v>
      </c>
      <c r="E54" s="24" t="s">
        <v>36</v>
      </c>
      <c r="F54" s="47">
        <v>50.0</v>
      </c>
      <c r="G54" s="22">
        <v>10.0</v>
      </c>
      <c r="H54" s="23"/>
      <c r="I54" s="24"/>
      <c r="J54" s="47">
        <v>60.0</v>
      </c>
      <c r="K54" s="22">
        <v>10.0</v>
      </c>
      <c r="L54" s="46"/>
      <c r="M54" s="48"/>
      <c r="N54" s="46"/>
      <c r="O54" s="26"/>
    </row>
    <row r="55">
      <c r="A55" s="28" t="s">
        <v>37</v>
      </c>
      <c r="B55" s="46">
        <v>90.0</v>
      </c>
      <c r="C55" s="22">
        <v>10.0</v>
      </c>
      <c r="D55" s="23" t="s">
        <v>35</v>
      </c>
      <c r="E55" s="26" t="s">
        <v>38</v>
      </c>
      <c r="F55" s="47">
        <v>60.0</v>
      </c>
      <c r="G55" s="22">
        <v>10.0</v>
      </c>
      <c r="H55" s="23"/>
      <c r="I55" s="24"/>
      <c r="J55" s="47">
        <v>62.5</v>
      </c>
      <c r="K55" s="22">
        <v>10.0</v>
      </c>
      <c r="L55" s="46"/>
      <c r="M55" s="48"/>
      <c r="N55" s="46"/>
      <c r="O55" s="26"/>
    </row>
    <row r="56">
      <c r="A56" s="28" t="s">
        <v>39</v>
      </c>
      <c r="B56" s="46">
        <v>95.0</v>
      </c>
      <c r="C56" s="22">
        <v>10.0</v>
      </c>
      <c r="D56" s="23" t="s">
        <v>40</v>
      </c>
      <c r="E56" s="24" t="s">
        <v>38</v>
      </c>
      <c r="F56" s="47">
        <v>65.0</v>
      </c>
      <c r="G56" s="22">
        <v>10.0</v>
      </c>
      <c r="H56" s="23"/>
      <c r="I56" s="24"/>
      <c r="J56" s="47">
        <v>65.0</v>
      </c>
      <c r="K56" s="22">
        <v>10.0</v>
      </c>
      <c r="L56" s="46"/>
      <c r="M56" s="48"/>
      <c r="N56" s="46"/>
      <c r="O56" s="26"/>
    </row>
    <row r="57">
      <c r="A57" s="28"/>
      <c r="B57" s="46">
        <v>97.5</v>
      </c>
      <c r="C57" s="22">
        <v>10.0</v>
      </c>
      <c r="D57" s="23" t="s">
        <v>35</v>
      </c>
      <c r="E57" s="26" t="s">
        <v>38</v>
      </c>
      <c r="F57" s="47">
        <v>67.5</v>
      </c>
      <c r="G57" s="22">
        <v>10.0</v>
      </c>
      <c r="H57" s="23"/>
      <c r="I57" s="24"/>
      <c r="J57" s="47">
        <v>67.5</v>
      </c>
      <c r="K57" s="22">
        <v>10.0</v>
      </c>
      <c r="L57" s="46"/>
      <c r="M57" s="26"/>
      <c r="N57" s="46"/>
      <c r="O57" s="26"/>
    </row>
    <row r="58">
      <c r="A58" s="28" t="s">
        <v>41</v>
      </c>
      <c r="B58" s="32"/>
      <c r="C58" s="24"/>
      <c r="D58" s="23" t="s">
        <v>35</v>
      </c>
      <c r="E58" s="24" t="s">
        <v>42</v>
      </c>
      <c r="F58" s="28"/>
      <c r="G58" s="24"/>
      <c r="H58" s="28"/>
      <c r="I58" s="24"/>
      <c r="J58" s="31"/>
      <c r="K58" s="24"/>
      <c r="L58" s="32"/>
      <c r="M58" s="24"/>
      <c r="N58" s="32"/>
      <c r="O58" s="24"/>
    </row>
    <row r="59">
      <c r="A59" s="28" t="s">
        <v>43</v>
      </c>
      <c r="B59" s="32"/>
      <c r="C59" s="26"/>
      <c r="D59" s="32"/>
      <c r="E59" s="26"/>
      <c r="F59" s="32"/>
      <c r="G59" s="26"/>
      <c r="H59" s="28"/>
      <c r="I59" s="24"/>
      <c r="J59" s="13"/>
      <c r="K59" s="24"/>
      <c r="L59" s="32"/>
      <c r="M59" s="26"/>
      <c r="N59" s="32"/>
      <c r="O59" s="26"/>
    </row>
    <row r="60">
      <c r="A60" s="28"/>
      <c r="B60" s="35" t="s">
        <v>25</v>
      </c>
      <c r="C60" s="36">
        <f>C54*B54 + B55*C55 + B56*C56 + B57*C57 + B59*C59</f>
        <v>3675</v>
      </c>
      <c r="D60" s="35" t="s">
        <v>25</v>
      </c>
      <c r="E60" s="36" t="str">
        <f>E54*D54 + D55*E55 + D56*E56 + D57*E57 + D59*E59</f>
        <v>#VALUE!</v>
      </c>
      <c r="F60" s="35" t="s">
        <v>25</v>
      </c>
      <c r="G60" s="36">
        <f>G54*F54 + F55*G55 + F56*G56 + F57*G57 + F59*G59</f>
        <v>2425</v>
      </c>
      <c r="H60" s="35" t="s">
        <v>25</v>
      </c>
      <c r="I60" s="36">
        <f>I54*H54 + H55*I55 + H56*I56 + H57*I57 + H59*I59</f>
        <v>0</v>
      </c>
      <c r="J60" s="35" t="s">
        <v>25</v>
      </c>
      <c r="K60" s="36">
        <f>K54*J54 + J55*K55 + J56*K56 + J57*K57 + J59*K59</f>
        <v>2550</v>
      </c>
      <c r="L60" s="35" t="s">
        <v>25</v>
      </c>
      <c r="M60" s="36">
        <f>M54*L54 + L55*M55 + L56*M56 + L57*M57 + L59*M59</f>
        <v>0</v>
      </c>
      <c r="N60" s="35" t="s">
        <v>25</v>
      </c>
      <c r="O60" s="36">
        <f>O54*N54 + N55*O55 + N56*O56 + N57*O57 + N59*O59</f>
        <v>0</v>
      </c>
    </row>
    <row r="61">
      <c r="A61" s="28"/>
      <c r="B61" s="39" t="s">
        <v>26</v>
      </c>
      <c r="C61" s="38">
        <f>(B55*C55 + B56*C56 + B57*C57 + B58*C58 + B59*C59)/SUM(C55:C59)</f>
        <v>94.16666667</v>
      </c>
      <c r="D61" s="39" t="s">
        <v>26</v>
      </c>
      <c r="E61" s="40" t="str">
        <f>(D55*E55 + D56*E56 + D57*E57 + D58*E58 + D59*E59)/SUM(E55:E59)</f>
        <v>#VALUE!</v>
      </c>
      <c r="F61" s="39" t="s">
        <v>26</v>
      </c>
      <c r="G61" s="38">
        <f>(F55*G55 + F56*G56 + F57*G57 + F58*G58 + F59*G59)/SUM(G55:G59)</f>
        <v>64.16666667</v>
      </c>
      <c r="H61" s="39" t="s">
        <v>26</v>
      </c>
      <c r="I61" s="40" t="str">
        <f>(H54*I54 + H55*I55 + H56*I56 + H57*I57 + H59*I59)/SUM(I54:I59)</f>
        <v>#DIV/0!</v>
      </c>
      <c r="J61" s="39" t="s">
        <v>26</v>
      </c>
      <c r="K61" s="40">
        <f>(J55*K55 + J56*K56 + J57*K57 + J58*K58 + J59*K59)/SUM(K55:K59)</f>
        <v>65</v>
      </c>
      <c r="L61" s="39" t="s">
        <v>26</v>
      </c>
      <c r="M61" s="40" t="str">
        <f>(L55*M55 + L56*M56 + L57*M57 + L58*M58 + L59*M59)/SUM(M55:M59)</f>
        <v>#DIV/0!</v>
      </c>
      <c r="N61" s="39" t="s">
        <v>26</v>
      </c>
      <c r="O61" s="40" t="str">
        <f>(N55*O55 + N56*O56 + N57*O57 + N58*O58 + N59*O59)/SUM(O55:O59)</f>
        <v>#DIV/0!</v>
      </c>
    </row>
    <row r="62">
      <c r="A62" s="28"/>
      <c r="B62" s="42" t="s">
        <v>44</v>
      </c>
      <c r="C62" s="17"/>
      <c r="D62" s="18"/>
      <c r="E62" s="17"/>
      <c r="F62" s="43" t="s">
        <v>44</v>
      </c>
      <c r="G62" s="17"/>
      <c r="H62" s="43"/>
      <c r="I62" s="17"/>
      <c r="J62" s="43" t="s">
        <v>44</v>
      </c>
      <c r="K62" s="17"/>
      <c r="L62" s="49"/>
      <c r="M62" s="50"/>
      <c r="N62" s="49"/>
      <c r="O62" s="50"/>
    </row>
    <row r="63">
      <c r="A63" s="28"/>
      <c r="B63" s="32" t="s">
        <v>45</v>
      </c>
      <c r="C63" s="26"/>
      <c r="D63" s="51" t="s">
        <v>46</v>
      </c>
      <c r="E63" s="24"/>
      <c r="F63" s="23" t="s">
        <v>45</v>
      </c>
      <c r="G63" s="24"/>
      <c r="H63" s="23"/>
      <c r="I63" s="24"/>
      <c r="J63" s="23" t="s">
        <v>45</v>
      </c>
      <c r="K63" s="26"/>
      <c r="L63" s="21"/>
      <c r="M63" s="24"/>
      <c r="N63" s="21"/>
      <c r="O63" s="24"/>
    </row>
    <row r="64">
      <c r="A64" s="28"/>
      <c r="B64" s="52" t="s">
        <v>47</v>
      </c>
      <c r="C64" s="26"/>
      <c r="D64" s="23"/>
      <c r="E64" s="26"/>
      <c r="F64" s="53" t="s">
        <v>47</v>
      </c>
      <c r="G64" s="26"/>
      <c r="H64" s="23"/>
      <c r="I64" s="24"/>
      <c r="J64" s="53" t="s">
        <v>47</v>
      </c>
      <c r="K64" s="26"/>
      <c r="L64" s="21"/>
      <c r="M64" s="26"/>
      <c r="N64" s="21"/>
      <c r="O64" s="26"/>
    </row>
    <row r="65">
      <c r="A65" s="28"/>
      <c r="B65" s="52" t="s">
        <v>48</v>
      </c>
      <c r="C65" s="26"/>
      <c r="D65" s="23"/>
      <c r="E65" s="24"/>
      <c r="F65" s="53" t="s">
        <v>48</v>
      </c>
      <c r="G65" s="24"/>
      <c r="H65" s="23"/>
      <c r="I65" s="24"/>
      <c r="J65" s="53" t="s">
        <v>48</v>
      </c>
      <c r="K65" s="26"/>
      <c r="L65" s="46"/>
      <c r="M65" s="24"/>
      <c r="N65" s="46"/>
      <c r="O65" s="24"/>
    </row>
    <row r="66">
      <c r="A66" s="28"/>
      <c r="B66" s="46"/>
      <c r="C66" s="54"/>
      <c r="D66" s="46"/>
      <c r="E66" s="54"/>
      <c r="F66" s="46"/>
      <c r="G66" s="54"/>
      <c r="H66" s="1"/>
      <c r="I66" s="26"/>
      <c r="J66" s="28"/>
      <c r="K66" s="54"/>
      <c r="L66" s="21"/>
      <c r="M66" s="24"/>
      <c r="N66" s="21"/>
      <c r="O66" s="24"/>
    </row>
    <row r="67">
      <c r="A67" s="28"/>
      <c r="B67" s="13"/>
      <c r="C67" s="34"/>
      <c r="D67" s="21"/>
      <c r="E67" s="34"/>
      <c r="F67" s="13"/>
      <c r="G67" s="24"/>
      <c r="H67" s="28"/>
      <c r="I67" s="34"/>
      <c r="J67" s="13"/>
      <c r="K67" s="24"/>
      <c r="L67" s="31"/>
      <c r="M67" s="24"/>
      <c r="N67" s="31"/>
      <c r="O67" s="24"/>
    </row>
    <row r="68">
      <c r="A68" s="28"/>
      <c r="B68" s="35" t="s">
        <v>25</v>
      </c>
      <c r="C68" s="55" t="str">
        <f>C63*B63 + B64*C64 + B65*C65 + B66*C66 + B67*C67</f>
        <v>#VALUE!</v>
      </c>
      <c r="D68" s="35" t="s">
        <v>25</v>
      </c>
      <c r="E68" s="55" t="str">
        <f>E63*D63 + D64*E64 + D65*E65 + D66*E66 + D67*E67</f>
        <v>#VALUE!</v>
      </c>
      <c r="F68" s="35" t="s">
        <v>25</v>
      </c>
      <c r="G68" s="55" t="str">
        <f>G63*F63 + F64*G64 + F65*G65 + F66*G66 + F67*G67</f>
        <v>#VALUE!</v>
      </c>
      <c r="H68" s="35" t="s">
        <v>25</v>
      </c>
      <c r="I68" s="56">
        <f>I63*H63 + H64*I64 + H65*I65 + H66*I66 + H67*I67</f>
        <v>0</v>
      </c>
      <c r="J68" s="35" t="s">
        <v>25</v>
      </c>
      <c r="K68" s="36" t="str">
        <f>K63*J63 + J64*K64 + J65*K65 + J66*K66 + J67*K67</f>
        <v>#VALUE!</v>
      </c>
      <c r="L68" s="57" t="s">
        <v>25</v>
      </c>
      <c r="M68" s="58">
        <f>M63*L63 + L64*M64 + L65*M65 + L66*M66 + L67*M67</f>
        <v>0</v>
      </c>
      <c r="N68" s="57" t="s">
        <v>25</v>
      </c>
      <c r="O68" s="58">
        <f>O63*N63 + N64*O64 + N65*O65 + N66*O66 + N67*O67</f>
        <v>0</v>
      </c>
    </row>
    <row r="69">
      <c r="A69" s="28"/>
      <c r="B69" s="39" t="s">
        <v>26</v>
      </c>
      <c r="C69" s="40" t="str">
        <f>(B63*C63 + B64*C64 + B65*C65 + B66*C66 + B67*C67)/SUM(C63:C67)</f>
        <v>#VALUE!</v>
      </c>
      <c r="D69" s="59" t="s">
        <v>26</v>
      </c>
      <c r="E69" s="40" t="str">
        <f>(D63*E63 + D64*E64 + D65*E65 + D66*E66 + D67*E67)/SUM(E63:E67)</f>
        <v>#VALUE!</v>
      </c>
      <c r="F69" s="39" t="s">
        <v>26</v>
      </c>
      <c r="G69" s="40" t="str">
        <f>(F63*G63 + F64*G64 + F65*G65 + F66*G66 + F67*G67)/SUM(G63:G67)</f>
        <v>#VALUE!</v>
      </c>
      <c r="H69" s="59" t="s">
        <v>26</v>
      </c>
      <c r="I69" s="40" t="str">
        <f>(H63*I63 + H64*I64 + H65*I65 + H66*I66 + H67*I67)/SUM(I63:I67)</f>
        <v>#DIV/0!</v>
      </c>
      <c r="J69" s="39" t="s">
        <v>26</v>
      </c>
      <c r="K69" s="40" t="str">
        <f>(J63*K63 + J64*K64 + J65*K65 + J66*K66 + J67*K67)/SUM(K63:K67)</f>
        <v>#VALUE!</v>
      </c>
      <c r="L69" s="59" t="s">
        <v>26</v>
      </c>
      <c r="M69" s="40" t="str">
        <f>(L63*M63 + L64*M64 + L65*M65 + L66*M66 + L67*M67)/SUM(M67)</f>
        <v>#DIV/0!</v>
      </c>
      <c r="N69" s="59" t="s">
        <v>26</v>
      </c>
      <c r="O69" s="40" t="str">
        <f>(N63*O63 + N64*O64 + N65*O65 + N66*O66 + N67*O67)/SUM(O67)</f>
        <v>#DIV/0!</v>
      </c>
    </row>
    <row r="70">
      <c r="A70" s="28"/>
      <c r="B70" s="28"/>
      <c r="C70" s="30" t="s">
        <v>49</v>
      </c>
      <c r="D70" s="28" t="s">
        <v>50</v>
      </c>
      <c r="E70" s="30" t="s">
        <v>49</v>
      </c>
      <c r="F70" s="28" t="s">
        <v>51</v>
      </c>
      <c r="G70" s="30" t="s">
        <v>49</v>
      </c>
      <c r="H70" s="28"/>
      <c r="I70" s="30" t="s">
        <v>49</v>
      </c>
      <c r="J70" s="28"/>
      <c r="K70" s="30" t="s">
        <v>49</v>
      </c>
      <c r="L70" s="28"/>
      <c r="M70" s="60" t="s">
        <v>49</v>
      </c>
      <c r="N70" s="28"/>
      <c r="O70" s="60" t="s">
        <v>49</v>
      </c>
    </row>
    <row r="71">
      <c r="A71" s="28"/>
      <c r="B71" s="52" t="s">
        <v>52</v>
      </c>
      <c r="C71" s="60"/>
      <c r="D71" s="23"/>
      <c r="E71" s="61"/>
      <c r="F71" s="62" t="s">
        <v>52</v>
      </c>
      <c r="G71" s="61"/>
      <c r="H71" s="30"/>
      <c r="I71" s="60"/>
      <c r="J71" s="62" t="s">
        <v>52</v>
      </c>
      <c r="K71" s="60"/>
      <c r="L71" s="27"/>
      <c r="M71" s="60"/>
      <c r="N71" s="27"/>
      <c r="O71" s="60"/>
    </row>
    <row r="72">
      <c r="A72" s="28"/>
      <c r="B72" s="52" t="s">
        <v>53</v>
      </c>
      <c r="C72" s="60"/>
      <c r="D72" s="23"/>
      <c r="E72" s="60"/>
      <c r="F72" s="53" t="s">
        <v>53</v>
      </c>
      <c r="G72" s="60"/>
      <c r="H72" s="30"/>
      <c r="I72" s="60"/>
      <c r="J72" s="53" t="s">
        <v>53</v>
      </c>
      <c r="K72" s="60"/>
      <c r="L72" s="27"/>
      <c r="M72" s="60"/>
      <c r="N72" s="27"/>
      <c r="O72" s="60"/>
    </row>
    <row r="73">
      <c r="A73" s="37"/>
      <c r="B73" s="32" t="s">
        <v>54</v>
      </c>
      <c r="C73" s="60"/>
      <c r="D73" s="23"/>
      <c r="E73" s="60"/>
      <c r="F73" s="23" t="s">
        <v>54</v>
      </c>
      <c r="G73" s="60"/>
      <c r="H73" s="30"/>
      <c r="I73" s="60"/>
      <c r="J73" s="30" t="s">
        <v>54</v>
      </c>
      <c r="K73" s="60"/>
      <c r="L73" s="1"/>
      <c r="M73" s="60"/>
      <c r="N73" s="30"/>
      <c r="O73" s="60"/>
    </row>
    <row r="74">
      <c r="A74" s="37"/>
      <c r="B74" s="28"/>
      <c r="C74" s="1"/>
      <c r="D74" s="28"/>
      <c r="E74" s="1"/>
      <c r="F74" s="28"/>
      <c r="G74" s="63"/>
      <c r="H74" s="30"/>
      <c r="I74" s="30"/>
      <c r="J74" s="28"/>
      <c r="K74" s="60"/>
      <c r="L74" s="30"/>
      <c r="M74" s="60"/>
      <c r="N74" s="30"/>
      <c r="O74" s="60"/>
    </row>
    <row r="75">
      <c r="A75" s="37"/>
      <c r="B75" s="28"/>
      <c r="C75" s="1"/>
      <c r="D75" s="28"/>
      <c r="E75" s="1"/>
      <c r="F75" s="28"/>
      <c r="G75" s="60"/>
      <c r="H75" s="28"/>
      <c r="I75" s="30"/>
      <c r="J75" s="28"/>
      <c r="K75" s="60"/>
      <c r="L75" s="30"/>
      <c r="M75" s="60"/>
      <c r="N75" s="30"/>
      <c r="O75" s="60"/>
    </row>
    <row r="76">
      <c r="A76" s="37"/>
      <c r="B76" s="28"/>
      <c r="C76" s="1"/>
      <c r="D76" s="28"/>
      <c r="E76" s="1"/>
      <c r="F76" s="28"/>
      <c r="G76" s="60"/>
      <c r="H76" s="30"/>
      <c r="I76" s="30"/>
      <c r="J76" s="37"/>
      <c r="K76" s="60"/>
      <c r="L76" s="30"/>
      <c r="M76" s="60"/>
      <c r="N76" s="30"/>
      <c r="O76" s="60"/>
    </row>
    <row r="77">
      <c r="A77" s="64"/>
      <c r="B77" s="65"/>
      <c r="C77" s="66"/>
      <c r="D77" s="65"/>
      <c r="E77" s="66"/>
      <c r="F77" s="64"/>
      <c r="G77" s="67"/>
      <c r="H77" s="66"/>
      <c r="I77" s="66"/>
      <c r="J77" s="64"/>
      <c r="K77" s="67"/>
      <c r="L77" s="66"/>
      <c r="M77" s="67"/>
      <c r="N77" s="66"/>
      <c r="O77" s="67"/>
    </row>
    <row r="79">
      <c r="A79" s="2" t="s">
        <v>2</v>
      </c>
      <c r="B79" s="3" t="s">
        <v>3</v>
      </c>
      <c r="C79" s="4">
        <f>O41+1</f>
        <v>45733</v>
      </c>
      <c r="D79" s="5" t="s">
        <v>4</v>
      </c>
      <c r="E79" s="6">
        <f>C79+1</f>
        <v>45734</v>
      </c>
      <c r="F79" s="3" t="s">
        <v>5</v>
      </c>
      <c r="G79" s="6">
        <f>E79+1</f>
        <v>45735</v>
      </c>
      <c r="H79" s="3" t="s">
        <v>6</v>
      </c>
      <c r="I79" s="6">
        <f>G79+1</f>
        <v>45736</v>
      </c>
      <c r="J79" s="3" t="s">
        <v>7</v>
      </c>
      <c r="K79" s="6">
        <f>I79+1</f>
        <v>45737</v>
      </c>
      <c r="L79" s="7" t="s">
        <v>8</v>
      </c>
      <c r="M79" s="8">
        <f>K79+1</f>
        <v>45738</v>
      </c>
      <c r="N79" s="9" t="s">
        <v>9</v>
      </c>
      <c r="O79" s="8">
        <f>M79+1</f>
        <v>45739</v>
      </c>
    </row>
    <row r="80">
      <c r="A80" s="10">
        <f>A42+1</f>
        <v>3</v>
      </c>
      <c r="B80" s="11" t="s">
        <v>10</v>
      </c>
      <c r="C80" s="12" t="s">
        <v>11</v>
      </c>
      <c r="D80" s="11" t="s">
        <v>10</v>
      </c>
      <c r="E80" s="12" t="s">
        <v>11</v>
      </c>
      <c r="F80" s="11" t="s">
        <v>10</v>
      </c>
      <c r="G80" s="12" t="s">
        <v>11</v>
      </c>
      <c r="H80" s="11" t="s">
        <v>10</v>
      </c>
      <c r="I80" s="12" t="s">
        <v>11</v>
      </c>
      <c r="J80" s="11" t="s">
        <v>10</v>
      </c>
      <c r="K80" s="12" t="s">
        <v>11</v>
      </c>
      <c r="L80" s="11" t="s">
        <v>10</v>
      </c>
      <c r="M80" s="12" t="s">
        <v>11</v>
      </c>
      <c r="N80" s="11" t="s">
        <v>10</v>
      </c>
      <c r="O80" s="12" t="s">
        <v>11</v>
      </c>
    </row>
    <row r="81">
      <c r="A81" s="13"/>
      <c r="B81" s="14"/>
      <c r="C81" s="15"/>
      <c r="D81" s="14"/>
      <c r="E81" s="15"/>
      <c r="F81" s="14"/>
      <c r="G81" s="15"/>
      <c r="H81" s="14"/>
      <c r="I81" s="15"/>
      <c r="J81" s="14"/>
      <c r="K81" s="15"/>
      <c r="L81" s="14"/>
      <c r="M81" s="15"/>
      <c r="N81" s="14"/>
      <c r="O81" s="15"/>
    </row>
    <row r="82">
      <c r="A82" s="13" t="s">
        <v>12</v>
      </c>
      <c r="B82" s="16" t="s">
        <v>13</v>
      </c>
      <c r="C82" s="17"/>
      <c r="D82" s="18" t="s">
        <v>14</v>
      </c>
      <c r="E82" s="17"/>
      <c r="F82" s="68" t="s">
        <v>55</v>
      </c>
      <c r="G82" s="17"/>
      <c r="H82" s="18" t="s">
        <v>15</v>
      </c>
      <c r="I82" s="17"/>
      <c r="J82" s="68" t="s">
        <v>56</v>
      </c>
      <c r="K82" s="17"/>
      <c r="L82" s="18" t="s">
        <v>16</v>
      </c>
      <c r="M82" s="17"/>
      <c r="N82" s="20" t="s">
        <v>17</v>
      </c>
      <c r="O82" s="17"/>
    </row>
    <row r="83">
      <c r="A83" s="13"/>
      <c r="B83" s="46">
        <v>42.5</v>
      </c>
      <c r="C83" s="22">
        <v>8.0</v>
      </c>
      <c r="D83" s="23" t="s">
        <v>18</v>
      </c>
      <c r="E83" s="24"/>
      <c r="F83" s="47">
        <v>20.0</v>
      </c>
      <c r="G83" s="22">
        <v>8.0</v>
      </c>
      <c r="H83" s="23"/>
      <c r="I83" s="26"/>
      <c r="J83" s="47">
        <v>42.5</v>
      </c>
      <c r="K83" s="22">
        <v>8.0</v>
      </c>
      <c r="L83" s="23" t="s">
        <v>19</v>
      </c>
      <c r="M83" s="24"/>
      <c r="N83" s="27"/>
      <c r="O83" s="24"/>
    </row>
    <row r="84">
      <c r="A84" s="28" t="s">
        <v>20</v>
      </c>
      <c r="B84" s="46">
        <v>45.0</v>
      </c>
      <c r="C84" s="22">
        <v>8.0</v>
      </c>
      <c r="D84" s="23" t="s">
        <v>21</v>
      </c>
      <c r="E84" s="26"/>
      <c r="F84" s="47">
        <v>22.5</v>
      </c>
      <c r="G84" s="22">
        <v>8.0</v>
      </c>
      <c r="H84" s="23"/>
      <c r="I84" s="26"/>
      <c r="J84" s="47">
        <v>45.0</v>
      </c>
      <c r="K84" s="22">
        <v>8.0</v>
      </c>
      <c r="L84" s="23"/>
      <c r="M84" s="24"/>
      <c r="N84" s="28"/>
      <c r="O84" s="24"/>
    </row>
    <row r="85">
      <c r="A85" s="29" t="s">
        <v>22</v>
      </c>
      <c r="B85" s="46">
        <v>47.5</v>
      </c>
      <c r="C85" s="22">
        <v>8.0</v>
      </c>
      <c r="D85" s="30"/>
      <c r="E85" s="26"/>
      <c r="F85" s="47">
        <v>22.5</v>
      </c>
      <c r="G85" s="22">
        <v>8.0</v>
      </c>
      <c r="H85" s="23"/>
      <c r="I85" s="26"/>
      <c r="J85" s="47">
        <v>45.0</v>
      </c>
      <c r="K85" s="22">
        <v>8.0</v>
      </c>
      <c r="L85" s="23"/>
      <c r="M85" s="24"/>
      <c r="N85" s="23"/>
      <c r="O85" s="24"/>
    </row>
    <row r="86">
      <c r="A86" s="28" t="s">
        <v>23</v>
      </c>
      <c r="B86" s="46">
        <v>50.0</v>
      </c>
      <c r="C86" s="22">
        <v>8.0</v>
      </c>
      <c r="D86" s="23"/>
      <c r="E86" s="26"/>
      <c r="F86" s="47">
        <v>25.0</v>
      </c>
      <c r="G86" s="22">
        <v>8.0</v>
      </c>
      <c r="H86" s="31"/>
      <c r="I86" s="24"/>
      <c r="J86" s="47">
        <v>47.5</v>
      </c>
      <c r="K86" s="22">
        <v>8.0</v>
      </c>
      <c r="L86" s="23"/>
      <c r="M86" s="26"/>
      <c r="N86" s="32"/>
      <c r="O86" s="26"/>
    </row>
    <row r="87">
      <c r="A87" s="13"/>
      <c r="B87" s="33"/>
      <c r="C87" s="26"/>
      <c r="D87" s="13"/>
      <c r="E87" s="24"/>
      <c r="F87" s="33"/>
      <c r="G87" s="26"/>
      <c r="H87" s="13"/>
      <c r="I87" s="34"/>
      <c r="J87" s="13"/>
      <c r="K87" s="24"/>
      <c r="L87" s="13"/>
      <c r="M87" s="24"/>
      <c r="N87" s="13"/>
      <c r="O87" s="24"/>
    </row>
    <row r="88">
      <c r="A88" s="28" t="s">
        <v>24</v>
      </c>
      <c r="B88" s="35" t="s">
        <v>25</v>
      </c>
      <c r="C88" s="36">
        <f>C83*B83 + B84*C84 + B85*C85 + B86*C86 + B87*C87</f>
        <v>1480</v>
      </c>
      <c r="D88" s="35" t="s">
        <v>25</v>
      </c>
      <c r="E88" s="36" t="str">
        <f>E83*D83 + D84*E84 + D85*E85 + D86*E86 + D87*E87</f>
        <v>#VALUE!</v>
      </c>
      <c r="F88" s="35" t="s">
        <v>25</v>
      </c>
      <c r="G88" s="36">
        <f>G83*F83 + F84*G84 + F85*G85 + F86*G86 + F87*G87</f>
        <v>720</v>
      </c>
      <c r="H88" s="35" t="s">
        <v>25</v>
      </c>
      <c r="I88" s="36">
        <f>I83*H83 + H84*I84 + H85*I85 + H86*I86 + H87*I87</f>
        <v>0</v>
      </c>
      <c r="J88" s="35" t="s">
        <v>25</v>
      </c>
      <c r="K88" s="36">
        <f>K83*J83 + J84*K84 + J85*K85 + J86*K86 + J87*K87</f>
        <v>1440</v>
      </c>
      <c r="L88" s="35" t="s">
        <v>25</v>
      </c>
      <c r="M88" s="36" t="str">
        <f>M83*L83 + L84*M84 + L85*M85 + L86*M86 + L87*M87</f>
        <v>#VALUE!</v>
      </c>
      <c r="N88" s="35" t="s">
        <v>25</v>
      </c>
      <c r="O88" s="36">
        <f>O83*N83 + N84*O84 + N85*O85 + N86*O86 + N87*O87</f>
        <v>0</v>
      </c>
    </row>
    <row r="89">
      <c r="A89" s="37"/>
      <c r="B89" s="13" t="s">
        <v>26</v>
      </c>
      <c r="C89" s="38">
        <f>(B83*C83 + B84*C84 + B85*C85 + B86*C86 + B87*C87)/SUM(C83:C87)</f>
        <v>46.25</v>
      </c>
      <c r="D89" s="39" t="s">
        <v>26</v>
      </c>
      <c r="E89" s="40" t="str">
        <f>(D83*E83 + D84*E84 + D85*E85 + D86*E86 + D87*E87)/SUM(E83:E87)</f>
        <v>#VALUE!</v>
      </c>
      <c r="F89" s="13" t="s">
        <v>26</v>
      </c>
      <c r="G89" s="40">
        <f>(F83*G83 + F84*G84 + F85*G85 + F86*G86 + F87*G87)/SUM(G83:G87)</f>
        <v>22.5</v>
      </c>
      <c r="H89" s="13" t="s">
        <v>26</v>
      </c>
      <c r="I89" s="40" t="str">
        <f>(H83*I83 + H84*I84 + H85*I85 + H86*I86 + H87*I87)/SUM(I83:I87)</f>
        <v>#DIV/0!</v>
      </c>
      <c r="J89" s="39" t="s">
        <v>26</v>
      </c>
      <c r="K89" s="40">
        <f>(J83*K83 + J84*K84 + J85*K85 + J86*K86 + J87*K87)/SUM(K83:K87)</f>
        <v>45</v>
      </c>
      <c r="L89" s="13" t="s">
        <v>26</v>
      </c>
      <c r="M89" s="40" t="str">
        <f>(L83*M83 + L84*M84 + L85*M85 + L86*M86 + L87*M87)/SUM(M83:M87)</f>
        <v>#VALUE!</v>
      </c>
      <c r="N89" s="13" t="s">
        <v>26</v>
      </c>
      <c r="O89" s="40" t="str">
        <f>(N83*O83 + N84*O84 + N85*O85 + N86*O86 + N87*O87)/SUM(O83:O87)</f>
        <v>#DIV/0!</v>
      </c>
    </row>
    <row r="90">
      <c r="A90" s="28" t="s">
        <v>27</v>
      </c>
      <c r="B90" s="11" t="s">
        <v>10</v>
      </c>
      <c r="C90" s="12" t="s">
        <v>11</v>
      </c>
      <c r="D90" s="11" t="s">
        <v>10</v>
      </c>
      <c r="E90" s="12" t="s">
        <v>11</v>
      </c>
      <c r="F90" s="11" t="s">
        <v>10</v>
      </c>
      <c r="G90" s="12" t="s">
        <v>11</v>
      </c>
      <c r="H90" s="11" t="s">
        <v>10</v>
      </c>
      <c r="I90" s="12" t="s">
        <v>11</v>
      </c>
      <c r="J90" s="11" t="s">
        <v>10</v>
      </c>
      <c r="K90" s="12" t="s">
        <v>11</v>
      </c>
      <c r="L90" s="11" t="s">
        <v>10</v>
      </c>
      <c r="M90" s="12" t="s">
        <v>11</v>
      </c>
      <c r="N90" s="11" t="s">
        <v>10</v>
      </c>
      <c r="O90" s="12" t="s">
        <v>11</v>
      </c>
    </row>
    <row r="91">
      <c r="A91" s="41" t="s">
        <v>28</v>
      </c>
      <c r="B91" s="42" t="s">
        <v>29</v>
      </c>
      <c r="C91" s="17"/>
      <c r="D91" s="43" t="s">
        <v>30</v>
      </c>
      <c r="E91" s="44" t="s">
        <v>31</v>
      </c>
      <c r="F91" s="45" t="s">
        <v>57</v>
      </c>
      <c r="G91" s="17"/>
      <c r="H91" s="19" t="s">
        <v>33</v>
      </c>
      <c r="I91" s="44"/>
      <c r="J91" s="45" t="s">
        <v>34</v>
      </c>
      <c r="K91" s="17"/>
      <c r="L91" s="43"/>
      <c r="M91" s="44"/>
      <c r="N91" s="42"/>
      <c r="O91" s="44"/>
    </row>
    <row r="92">
      <c r="A92" s="28"/>
      <c r="B92" s="46">
        <v>95.0</v>
      </c>
      <c r="C92" s="22">
        <v>10.0</v>
      </c>
      <c r="D92" s="1" t="s">
        <v>58</v>
      </c>
      <c r="E92" s="24" t="s">
        <v>36</v>
      </c>
      <c r="F92" s="47">
        <v>60.0</v>
      </c>
      <c r="G92" s="22">
        <v>10.0</v>
      </c>
      <c r="H92" s="23"/>
      <c r="I92" s="24"/>
      <c r="J92" s="47">
        <v>60.0</v>
      </c>
      <c r="K92" s="22">
        <v>10.0</v>
      </c>
      <c r="L92" s="23"/>
      <c r="M92" s="26"/>
      <c r="N92" s="46"/>
      <c r="O92" s="26"/>
    </row>
    <row r="93">
      <c r="A93" s="28" t="s">
        <v>37</v>
      </c>
      <c r="B93" s="46">
        <v>100.0</v>
      </c>
      <c r="C93" s="22">
        <v>10.0</v>
      </c>
      <c r="D93" s="1" t="s">
        <v>58</v>
      </c>
      <c r="E93" s="26" t="s">
        <v>38</v>
      </c>
      <c r="F93" s="47">
        <v>65.0</v>
      </c>
      <c r="G93" s="22">
        <v>10.0</v>
      </c>
      <c r="H93" s="23"/>
      <c r="I93" s="24"/>
      <c r="J93" s="47">
        <v>62.5</v>
      </c>
      <c r="K93" s="22">
        <v>10.0</v>
      </c>
      <c r="L93" s="23"/>
      <c r="M93" s="24"/>
      <c r="N93" s="46"/>
      <c r="O93" s="26"/>
    </row>
    <row r="94">
      <c r="A94" s="28" t="s">
        <v>39</v>
      </c>
      <c r="B94" s="46">
        <v>105.0</v>
      </c>
      <c r="C94" s="22">
        <v>10.0</v>
      </c>
      <c r="D94" s="1" t="s">
        <v>59</v>
      </c>
      <c r="E94" s="24" t="s">
        <v>38</v>
      </c>
      <c r="F94" s="47">
        <v>70.0</v>
      </c>
      <c r="G94" s="22">
        <v>10.0</v>
      </c>
      <c r="H94" s="23"/>
      <c r="I94" s="24"/>
      <c r="J94" s="47">
        <v>65.0</v>
      </c>
      <c r="K94" s="22">
        <v>10.0</v>
      </c>
      <c r="L94" s="23"/>
      <c r="M94" s="24"/>
      <c r="N94" s="46"/>
      <c r="O94" s="26"/>
    </row>
    <row r="95">
      <c r="A95" s="28"/>
      <c r="B95" s="46">
        <v>110.0</v>
      </c>
      <c r="C95" s="22">
        <v>10.0</v>
      </c>
      <c r="D95" s="1" t="s">
        <v>58</v>
      </c>
      <c r="E95" s="26" t="s">
        <v>38</v>
      </c>
      <c r="F95" s="47">
        <v>72.5</v>
      </c>
      <c r="G95" s="22">
        <v>10.0</v>
      </c>
      <c r="H95" s="23"/>
      <c r="I95" s="24"/>
      <c r="J95" s="47">
        <v>67.5</v>
      </c>
      <c r="K95" s="22">
        <v>10.0</v>
      </c>
      <c r="L95" s="23"/>
      <c r="M95" s="26"/>
      <c r="N95" s="46"/>
      <c r="O95" s="26"/>
    </row>
    <row r="96">
      <c r="A96" s="28" t="s">
        <v>41</v>
      </c>
      <c r="B96" s="13"/>
      <c r="C96" s="24"/>
      <c r="D96" s="1" t="s">
        <v>58</v>
      </c>
      <c r="E96" s="24" t="s">
        <v>42</v>
      </c>
      <c r="F96" s="31"/>
      <c r="G96" s="24"/>
      <c r="H96" s="23"/>
      <c r="I96" s="24"/>
      <c r="J96" s="31"/>
      <c r="K96" s="24"/>
      <c r="L96" s="23"/>
      <c r="M96" s="24"/>
      <c r="N96" s="32"/>
      <c r="O96" s="24"/>
    </row>
    <row r="97">
      <c r="A97" s="28" t="s">
        <v>43</v>
      </c>
      <c r="B97" s="32"/>
      <c r="C97" s="26"/>
      <c r="D97" s="32"/>
      <c r="E97" s="26"/>
      <c r="F97" s="32"/>
      <c r="G97" s="26"/>
      <c r="H97" s="28"/>
      <c r="I97" s="24"/>
      <c r="J97" s="13"/>
      <c r="K97" s="24"/>
      <c r="L97" s="32"/>
      <c r="M97" s="26"/>
      <c r="N97" s="32"/>
      <c r="O97" s="26"/>
    </row>
    <row r="98">
      <c r="A98" s="28"/>
      <c r="B98" s="35" t="s">
        <v>25</v>
      </c>
      <c r="C98" s="36">
        <f>C92*B92 + B93*C93 + B94*C94 + B95*C95 + B97*C97</f>
        <v>4100</v>
      </c>
      <c r="D98" s="35" t="s">
        <v>25</v>
      </c>
      <c r="E98" s="36" t="str">
        <f>E92*D92 + D93*E93 + D94*E94 + D95*E95 + D97*E97</f>
        <v>#VALUE!</v>
      </c>
      <c r="F98" s="35" t="s">
        <v>25</v>
      </c>
      <c r="G98" s="36">
        <f>G92*F92 + F93*G93 + F94*G94 + F95*G95 + F97*G97</f>
        <v>2675</v>
      </c>
      <c r="H98" s="35" t="s">
        <v>25</v>
      </c>
      <c r="I98" s="36">
        <f>I92*H92 + H93*I93 + H94*I94 + H95*I95 + H97*I97</f>
        <v>0</v>
      </c>
      <c r="J98" s="35" t="s">
        <v>25</v>
      </c>
      <c r="K98" s="36">
        <f>K92*J92 + J93*K93 + J94*K94 + J95*K95 + J97*K97</f>
        <v>2550</v>
      </c>
      <c r="L98" s="35" t="s">
        <v>25</v>
      </c>
      <c r="M98" s="36">
        <f>M92*L92 + L93*M93 + L94*M94 + L95*M95 + L97*M97</f>
        <v>0</v>
      </c>
      <c r="N98" s="35" t="s">
        <v>25</v>
      </c>
      <c r="O98" s="36">
        <f>O92*N92 + N93*O93 + N94*O94 + N95*O95 + N97*O97</f>
        <v>0</v>
      </c>
    </row>
    <row r="99">
      <c r="A99" s="28"/>
      <c r="B99" s="39" t="s">
        <v>26</v>
      </c>
      <c r="C99" s="38">
        <f>(B93*C93 + B94*C94 + B95*C95 + B96*C96 + B97*C97)/SUM(C93:C97)</f>
        <v>105</v>
      </c>
      <c r="D99" s="39" t="s">
        <v>26</v>
      </c>
      <c r="E99" s="40" t="str">
        <f>(D93*E93 + D94*E94 + D95*E95 + D96*E96 + D97*E97)/SUM(E93:E97)</f>
        <v>#VALUE!</v>
      </c>
      <c r="F99" s="39" t="s">
        <v>26</v>
      </c>
      <c r="G99" s="38">
        <f>(F93*G93 + F94*G94 + F95*G95 + F96*G96 + F97*G97)/SUM(G93:G97)</f>
        <v>69.16666667</v>
      </c>
      <c r="H99" s="39" t="s">
        <v>26</v>
      </c>
      <c r="I99" s="40" t="str">
        <f>(H92*I92 + H93*I93 + H94*I94 + H95*I95 + H97*I97)/SUM(I92:I97)</f>
        <v>#DIV/0!</v>
      </c>
      <c r="J99" s="39" t="s">
        <v>26</v>
      </c>
      <c r="K99" s="40">
        <f>(J93*K93 + J94*K94 + J95*K95 + J96*K96 + J97*K97)/SUM(K93:K97)</f>
        <v>65</v>
      </c>
      <c r="L99" s="39" t="s">
        <v>26</v>
      </c>
      <c r="M99" s="40" t="str">
        <f>(L93*M93 + L94*M94 + L95*M95 + L96*M96 + L97*M97)/SUM(M93:M97)</f>
        <v>#DIV/0!</v>
      </c>
      <c r="N99" s="39" t="s">
        <v>26</v>
      </c>
      <c r="O99" s="40" t="str">
        <f>(N93*O93 + N94*O94 + N95*O95 + N96*O96 + N97*O97)/SUM(O93:O97)</f>
        <v>#DIV/0!</v>
      </c>
    </row>
    <row r="100">
      <c r="A100" s="28"/>
      <c r="B100" s="42" t="s">
        <v>44</v>
      </c>
      <c r="C100" s="17"/>
      <c r="D100" s="18"/>
      <c r="E100" s="17"/>
      <c r="F100" s="43" t="s">
        <v>44</v>
      </c>
      <c r="G100" s="17"/>
      <c r="H100" s="43"/>
      <c r="I100" s="17"/>
      <c r="J100" s="43" t="s">
        <v>44</v>
      </c>
      <c r="K100" s="17"/>
      <c r="L100" s="49"/>
      <c r="M100" s="50"/>
      <c r="N100" s="49"/>
      <c r="O100" s="50"/>
    </row>
    <row r="101">
      <c r="A101" s="28"/>
      <c r="B101" s="32" t="s">
        <v>45</v>
      </c>
      <c r="C101" s="26"/>
      <c r="D101" s="51" t="s">
        <v>46</v>
      </c>
      <c r="E101" s="24"/>
      <c r="F101" s="23" t="s">
        <v>45</v>
      </c>
      <c r="G101" s="24"/>
      <c r="H101" s="23"/>
      <c r="I101" s="24"/>
      <c r="J101" s="23" t="s">
        <v>45</v>
      </c>
      <c r="K101" s="26"/>
      <c r="L101" s="21"/>
      <c r="M101" s="24"/>
      <c r="N101" s="21"/>
      <c r="O101" s="24"/>
    </row>
    <row r="102">
      <c r="A102" s="28"/>
      <c r="B102" s="52" t="s">
        <v>47</v>
      </c>
      <c r="C102" s="26"/>
      <c r="D102" s="23"/>
      <c r="E102" s="26"/>
      <c r="F102" s="69" t="s">
        <v>60</v>
      </c>
      <c r="G102" s="26"/>
      <c r="H102" s="23"/>
      <c r="I102" s="24"/>
      <c r="J102" s="53" t="s">
        <v>47</v>
      </c>
      <c r="K102" s="26"/>
      <c r="L102" s="21"/>
      <c r="M102" s="26"/>
      <c r="N102" s="21"/>
      <c r="O102" s="26"/>
    </row>
    <row r="103">
      <c r="A103" s="28"/>
      <c r="B103" s="52" t="s">
        <v>48</v>
      </c>
      <c r="C103" s="26"/>
      <c r="D103" s="23"/>
      <c r="E103" s="24"/>
      <c r="F103" s="53"/>
      <c r="G103" s="24"/>
      <c r="H103" s="23"/>
      <c r="I103" s="24"/>
      <c r="J103" s="53" t="s">
        <v>48</v>
      </c>
      <c r="K103" s="26"/>
      <c r="L103" s="46"/>
      <c r="M103" s="24"/>
      <c r="N103" s="46"/>
      <c r="O103" s="24"/>
    </row>
    <row r="104">
      <c r="A104" s="28"/>
      <c r="B104" s="46"/>
      <c r="C104" s="54"/>
      <c r="D104" s="46"/>
      <c r="E104" s="54"/>
      <c r="F104" s="46"/>
      <c r="G104" s="54"/>
      <c r="H104" s="1"/>
      <c r="I104" s="26"/>
      <c r="J104" s="28"/>
      <c r="K104" s="54"/>
      <c r="L104" s="21"/>
      <c r="M104" s="24"/>
      <c r="N104" s="21"/>
      <c r="O104" s="24"/>
    </row>
    <row r="105">
      <c r="A105" s="28"/>
      <c r="B105" s="13"/>
      <c r="C105" s="34"/>
      <c r="D105" s="21"/>
      <c r="E105" s="34"/>
      <c r="F105" s="13"/>
      <c r="G105" s="24"/>
      <c r="H105" s="28"/>
      <c r="I105" s="34"/>
      <c r="J105" s="13"/>
      <c r="K105" s="24"/>
      <c r="L105" s="31"/>
      <c r="M105" s="24"/>
      <c r="N105" s="31"/>
      <c r="O105" s="24"/>
    </row>
    <row r="106">
      <c r="A106" s="28"/>
      <c r="B106" s="35" t="s">
        <v>25</v>
      </c>
      <c r="C106" s="55" t="str">
        <f>C101*B101 + B102*C102 + B103*C103 + B104*C104 + B105*C105</f>
        <v>#VALUE!</v>
      </c>
      <c r="D106" s="35" t="s">
        <v>25</v>
      </c>
      <c r="E106" s="55" t="str">
        <f>E101*D101 + D102*E102 + D103*E103 + D104*E104 + D105*E105</f>
        <v>#VALUE!</v>
      </c>
      <c r="F106" s="35" t="s">
        <v>25</v>
      </c>
      <c r="G106" s="55" t="str">
        <f>G101*F101 + F102*G102 + F103*G103 + F104*G104 + F105*G105</f>
        <v>#VALUE!</v>
      </c>
      <c r="H106" s="35" t="s">
        <v>25</v>
      </c>
      <c r="I106" s="56">
        <f>I101*H101 + H102*I102 + H103*I103 + H104*I104 + H105*I105</f>
        <v>0</v>
      </c>
      <c r="J106" s="35" t="s">
        <v>25</v>
      </c>
      <c r="K106" s="36" t="str">
        <f>K101*J101 + J102*K102 + J103*K103 + J104*K104 + J105*K105</f>
        <v>#VALUE!</v>
      </c>
      <c r="L106" s="57" t="s">
        <v>25</v>
      </c>
      <c r="M106" s="58">
        <f>M101*L101 + L102*M102 + L103*M103 + L104*M104 + L105*M105</f>
        <v>0</v>
      </c>
      <c r="N106" s="57" t="s">
        <v>25</v>
      </c>
      <c r="O106" s="58">
        <f>O101*N101 + N102*O102 + N103*O103 + N104*O104 + N105*O105</f>
        <v>0</v>
      </c>
    </row>
    <row r="107">
      <c r="A107" s="28"/>
      <c r="B107" s="39" t="s">
        <v>26</v>
      </c>
      <c r="C107" s="40" t="str">
        <f>(B101*C101 + B102*C102 + B103*C103 + B104*C104 + B105*C105)/SUM(C101:C105)</f>
        <v>#VALUE!</v>
      </c>
      <c r="D107" s="59" t="s">
        <v>26</v>
      </c>
      <c r="E107" s="40" t="str">
        <f>(D101*E101 + D102*E102 + D103*E103 + D104*E104 + D105*E105)/SUM(E101:E105)</f>
        <v>#VALUE!</v>
      </c>
      <c r="F107" s="39" t="s">
        <v>26</v>
      </c>
      <c r="G107" s="40" t="str">
        <f>(F101*G101 + F102*G102 + F103*G103 + F104*G104 + F105*G105)/SUM(G101:G105)</f>
        <v>#VALUE!</v>
      </c>
      <c r="H107" s="59" t="s">
        <v>26</v>
      </c>
      <c r="I107" s="40" t="str">
        <f>(H101*I101 + H102*I102 + H103*I103 + H104*I104 + H105*I105)/SUM(I101:I105)</f>
        <v>#DIV/0!</v>
      </c>
      <c r="J107" s="39" t="s">
        <v>26</v>
      </c>
      <c r="K107" s="40" t="str">
        <f>(J101*K101 + J102*K102 + J103*K103 + J104*K104 + J105*K105)/SUM(K101:K105)</f>
        <v>#VALUE!</v>
      </c>
      <c r="L107" s="59" t="s">
        <v>26</v>
      </c>
      <c r="M107" s="40" t="str">
        <f>(L101*M101 + L102*M102 + L103*M103 + L104*M104 + L105*M105)/SUM(M105)</f>
        <v>#DIV/0!</v>
      </c>
      <c r="N107" s="59" t="s">
        <v>26</v>
      </c>
      <c r="O107" s="40" t="str">
        <f>(N101*O101 + N102*O102 + N103*O103 + N104*O104 + N105*O105)/SUM(O105)</f>
        <v>#DIV/0!</v>
      </c>
    </row>
    <row r="108">
      <c r="A108" s="28"/>
      <c r="B108" s="28"/>
      <c r="C108" s="30" t="s">
        <v>49</v>
      </c>
      <c r="D108" s="28" t="s">
        <v>50</v>
      </c>
      <c r="E108" s="30" t="s">
        <v>49</v>
      </c>
      <c r="F108" s="28" t="s">
        <v>51</v>
      </c>
      <c r="G108" s="30" t="s">
        <v>49</v>
      </c>
      <c r="H108" s="28"/>
      <c r="I108" s="30" t="s">
        <v>49</v>
      </c>
      <c r="J108" s="28"/>
      <c r="K108" s="30" t="s">
        <v>49</v>
      </c>
      <c r="L108" s="28"/>
      <c r="M108" s="60" t="s">
        <v>49</v>
      </c>
      <c r="N108" s="28"/>
      <c r="O108" s="60" t="s">
        <v>49</v>
      </c>
    </row>
    <row r="109">
      <c r="A109" s="28"/>
      <c r="B109" s="52" t="s">
        <v>52</v>
      </c>
      <c r="C109" s="60"/>
      <c r="D109" s="23"/>
      <c r="E109" s="61"/>
      <c r="F109" s="62" t="s">
        <v>52</v>
      </c>
      <c r="G109" s="61"/>
      <c r="H109" s="30"/>
      <c r="I109" s="60"/>
      <c r="J109" s="62" t="s">
        <v>52</v>
      </c>
      <c r="K109" s="60"/>
      <c r="L109" s="27"/>
      <c r="M109" s="60"/>
      <c r="N109" s="27"/>
      <c r="O109" s="60"/>
    </row>
    <row r="110">
      <c r="A110" s="28"/>
      <c r="B110" s="52" t="s">
        <v>53</v>
      </c>
      <c r="C110" s="60"/>
      <c r="D110" s="23"/>
      <c r="E110" s="60"/>
      <c r="F110" s="53" t="s">
        <v>53</v>
      </c>
      <c r="G110" s="60"/>
      <c r="H110" s="30"/>
      <c r="I110" s="60"/>
      <c r="J110" s="53" t="s">
        <v>53</v>
      </c>
      <c r="K110" s="60"/>
      <c r="L110" s="27"/>
      <c r="M110" s="60"/>
      <c r="N110" s="27"/>
      <c r="O110" s="60"/>
    </row>
    <row r="111">
      <c r="A111" s="37"/>
      <c r="B111" s="32" t="s">
        <v>54</v>
      </c>
      <c r="C111" s="60"/>
      <c r="D111" s="23"/>
      <c r="E111" s="60"/>
      <c r="F111" s="23" t="s">
        <v>54</v>
      </c>
      <c r="G111" s="60"/>
      <c r="H111" s="30"/>
      <c r="I111" s="60"/>
      <c r="J111" s="30" t="s">
        <v>54</v>
      </c>
      <c r="K111" s="60"/>
      <c r="L111" s="1"/>
      <c r="M111" s="60"/>
      <c r="N111" s="30"/>
      <c r="O111" s="60"/>
    </row>
    <row r="112">
      <c r="A112" s="37"/>
      <c r="B112" s="28"/>
      <c r="C112" s="1"/>
      <c r="D112" s="28"/>
      <c r="E112" s="1"/>
      <c r="F112" s="28"/>
      <c r="G112" s="63"/>
      <c r="H112" s="30"/>
      <c r="I112" s="30"/>
      <c r="J112" s="28"/>
      <c r="K112" s="60"/>
      <c r="L112" s="30"/>
      <c r="M112" s="60"/>
      <c r="N112" s="30"/>
      <c r="O112" s="60"/>
    </row>
    <row r="113">
      <c r="A113" s="37"/>
      <c r="B113" s="28"/>
      <c r="C113" s="1"/>
      <c r="D113" s="28"/>
      <c r="E113" s="1"/>
      <c r="F113" s="28"/>
      <c r="G113" s="60"/>
      <c r="H113" s="28"/>
      <c r="I113" s="30"/>
      <c r="J113" s="28"/>
      <c r="K113" s="60"/>
      <c r="L113" s="30"/>
      <c r="M113" s="60"/>
      <c r="N113" s="30"/>
      <c r="O113" s="60"/>
    </row>
    <row r="114">
      <c r="A114" s="37"/>
      <c r="B114" s="28"/>
      <c r="C114" s="1"/>
      <c r="D114" s="28"/>
      <c r="E114" s="1"/>
      <c r="F114" s="28"/>
      <c r="G114" s="60"/>
      <c r="H114" s="30"/>
      <c r="I114" s="30"/>
      <c r="J114" s="37"/>
      <c r="K114" s="60"/>
      <c r="L114" s="30"/>
      <c r="M114" s="60"/>
      <c r="N114" s="30"/>
      <c r="O114" s="60"/>
    </row>
    <row r="115">
      <c r="A115" s="64"/>
      <c r="B115" s="65"/>
      <c r="C115" s="66"/>
      <c r="D115" s="65"/>
      <c r="E115" s="66"/>
      <c r="F115" s="64"/>
      <c r="G115" s="67"/>
      <c r="H115" s="66"/>
      <c r="I115" s="66"/>
      <c r="J115" s="64"/>
      <c r="K115" s="67"/>
      <c r="L115" s="66"/>
      <c r="M115" s="67"/>
      <c r="N115" s="66"/>
      <c r="O115" s="67"/>
    </row>
    <row r="117">
      <c r="A117" s="2" t="s">
        <v>2</v>
      </c>
      <c r="B117" s="3" t="s">
        <v>3</v>
      </c>
      <c r="C117" s="4">
        <f>O79+1</f>
        <v>45740</v>
      </c>
      <c r="D117" s="5" t="s">
        <v>4</v>
      </c>
      <c r="E117" s="6">
        <f>C117+1</f>
        <v>45741</v>
      </c>
      <c r="F117" s="3" t="s">
        <v>5</v>
      </c>
      <c r="G117" s="6">
        <f>E117+1</f>
        <v>45742</v>
      </c>
      <c r="H117" s="3" t="s">
        <v>6</v>
      </c>
      <c r="I117" s="6">
        <f>G117+1</f>
        <v>45743</v>
      </c>
      <c r="J117" s="3" t="s">
        <v>7</v>
      </c>
      <c r="K117" s="6">
        <f>I117+1</f>
        <v>45744</v>
      </c>
      <c r="L117" s="7" t="s">
        <v>8</v>
      </c>
      <c r="M117" s="8">
        <f>K117+1</f>
        <v>45745</v>
      </c>
      <c r="N117" s="9" t="s">
        <v>9</v>
      </c>
      <c r="O117" s="8">
        <f>M117+1</f>
        <v>45746</v>
      </c>
    </row>
    <row r="118">
      <c r="A118" s="10">
        <f>A80+1</f>
        <v>4</v>
      </c>
      <c r="B118" s="11" t="s">
        <v>10</v>
      </c>
      <c r="C118" s="12" t="s">
        <v>11</v>
      </c>
      <c r="D118" s="11" t="s">
        <v>10</v>
      </c>
      <c r="E118" s="12" t="s">
        <v>11</v>
      </c>
      <c r="F118" s="11" t="s">
        <v>10</v>
      </c>
      <c r="G118" s="12" t="s">
        <v>11</v>
      </c>
      <c r="H118" s="11" t="s">
        <v>10</v>
      </c>
      <c r="I118" s="12" t="s">
        <v>11</v>
      </c>
      <c r="J118" s="11" t="s">
        <v>10</v>
      </c>
      <c r="K118" s="12" t="s">
        <v>11</v>
      </c>
      <c r="L118" s="11" t="s">
        <v>10</v>
      </c>
      <c r="M118" s="12" t="s">
        <v>11</v>
      </c>
      <c r="N118" s="11" t="s">
        <v>10</v>
      </c>
      <c r="O118" s="12" t="s">
        <v>11</v>
      </c>
    </row>
    <row r="119">
      <c r="A119" s="13"/>
      <c r="B119" s="14"/>
      <c r="C119" s="15"/>
      <c r="D119" s="14"/>
      <c r="E119" s="15"/>
      <c r="F119" s="14"/>
      <c r="G119" s="15"/>
      <c r="H119" s="14"/>
      <c r="I119" s="15"/>
      <c r="J119" s="14"/>
      <c r="K119" s="15"/>
      <c r="L119" s="14"/>
      <c r="M119" s="15"/>
      <c r="N119" s="14"/>
      <c r="O119" s="15"/>
    </row>
    <row r="120">
      <c r="A120" s="13" t="s">
        <v>12</v>
      </c>
      <c r="B120" s="16" t="s">
        <v>13</v>
      </c>
      <c r="C120" s="17"/>
      <c r="D120" s="18" t="s">
        <v>14</v>
      </c>
      <c r="E120" s="17"/>
      <c r="F120" s="68" t="s">
        <v>55</v>
      </c>
      <c r="G120" s="17"/>
      <c r="H120" s="18" t="s">
        <v>15</v>
      </c>
      <c r="I120" s="17"/>
      <c r="J120" s="68" t="s">
        <v>56</v>
      </c>
      <c r="K120" s="17"/>
      <c r="L120" s="18"/>
      <c r="M120" s="17"/>
      <c r="N120" s="20" t="s">
        <v>17</v>
      </c>
      <c r="O120" s="17"/>
    </row>
    <row r="121">
      <c r="A121" s="13"/>
      <c r="B121" s="46">
        <v>45.0</v>
      </c>
      <c r="C121" s="22">
        <v>8.0</v>
      </c>
      <c r="D121" s="23" t="s">
        <v>18</v>
      </c>
      <c r="E121" s="24"/>
      <c r="F121" s="47">
        <v>22.5</v>
      </c>
      <c r="G121" s="22">
        <v>8.0</v>
      </c>
      <c r="H121" s="23"/>
      <c r="I121" s="26"/>
      <c r="J121" s="47">
        <v>45.0</v>
      </c>
      <c r="K121" s="22">
        <v>8.0</v>
      </c>
      <c r="L121" s="23"/>
      <c r="M121" s="24"/>
      <c r="N121" s="27"/>
      <c r="O121" s="24"/>
    </row>
    <row r="122">
      <c r="A122" s="28" t="s">
        <v>20</v>
      </c>
      <c r="B122" s="46">
        <v>47.5</v>
      </c>
      <c r="C122" s="22">
        <v>8.0</v>
      </c>
      <c r="D122" s="23" t="s">
        <v>21</v>
      </c>
      <c r="E122" s="26"/>
      <c r="F122" s="47">
        <v>25.0</v>
      </c>
      <c r="G122" s="22">
        <v>8.0</v>
      </c>
      <c r="H122" s="23"/>
      <c r="I122" s="26"/>
      <c r="J122" s="47">
        <v>47.5</v>
      </c>
      <c r="K122" s="22">
        <v>8.0</v>
      </c>
      <c r="L122" s="23"/>
      <c r="M122" s="24"/>
      <c r="N122" s="28"/>
      <c r="O122" s="24"/>
    </row>
    <row r="123">
      <c r="A123" s="29" t="s">
        <v>22</v>
      </c>
      <c r="B123" s="46">
        <v>50.0</v>
      </c>
      <c r="C123" s="22">
        <v>8.0</v>
      </c>
      <c r="D123" s="30"/>
      <c r="E123" s="26"/>
      <c r="F123" s="47">
        <v>25.0</v>
      </c>
      <c r="G123" s="22">
        <v>8.0</v>
      </c>
      <c r="H123" s="23"/>
      <c r="I123" s="26"/>
      <c r="J123" s="47">
        <v>47.5</v>
      </c>
      <c r="K123" s="22">
        <v>8.0</v>
      </c>
      <c r="L123" s="23"/>
      <c r="M123" s="24"/>
      <c r="N123" s="23"/>
      <c r="O123" s="24"/>
    </row>
    <row r="124">
      <c r="A124" s="28" t="s">
        <v>23</v>
      </c>
      <c r="B124" s="46">
        <v>52.5</v>
      </c>
      <c r="C124" s="22">
        <v>8.0</v>
      </c>
      <c r="D124" s="23"/>
      <c r="E124" s="26"/>
      <c r="F124" s="47">
        <v>27.5</v>
      </c>
      <c r="G124" s="22">
        <v>8.0</v>
      </c>
      <c r="H124" s="31"/>
      <c r="I124" s="24"/>
      <c r="J124" s="47">
        <v>50.0</v>
      </c>
      <c r="K124" s="22">
        <v>8.0</v>
      </c>
      <c r="L124" s="23"/>
      <c r="M124" s="26"/>
      <c r="N124" s="32"/>
      <c r="O124" s="26"/>
    </row>
    <row r="125">
      <c r="A125" s="13"/>
      <c r="B125" s="33"/>
      <c r="C125" s="26"/>
      <c r="D125" s="13"/>
      <c r="E125" s="24"/>
      <c r="F125" s="33"/>
      <c r="G125" s="26"/>
      <c r="H125" s="13"/>
      <c r="I125" s="34"/>
      <c r="J125" s="13"/>
      <c r="K125" s="24"/>
      <c r="L125" s="13"/>
      <c r="M125" s="24"/>
      <c r="N125" s="13"/>
      <c r="O125" s="24"/>
    </row>
    <row r="126">
      <c r="A126" s="28" t="s">
        <v>24</v>
      </c>
      <c r="B126" s="35" t="s">
        <v>25</v>
      </c>
      <c r="C126" s="36">
        <f>C121*B121 + B122*C122 + B123*C123 + B124*C124 + B125*C125</f>
        <v>1560</v>
      </c>
      <c r="D126" s="35" t="s">
        <v>25</v>
      </c>
      <c r="E126" s="36" t="str">
        <f>E121*D121 + D122*E122 + D123*E123 + D124*E124 + D125*E125</f>
        <v>#VALUE!</v>
      </c>
      <c r="F126" s="35" t="s">
        <v>25</v>
      </c>
      <c r="G126" s="36">
        <f>G121*F121 + F122*G122 + F123*G123 + F124*G124 + F125*G125</f>
        <v>800</v>
      </c>
      <c r="H126" s="35" t="s">
        <v>25</v>
      </c>
      <c r="I126" s="36">
        <f>I121*H121 + H122*I122 + H123*I123 + H124*I124 + H125*I125</f>
        <v>0</v>
      </c>
      <c r="J126" s="35" t="s">
        <v>25</v>
      </c>
      <c r="K126" s="36">
        <f>K121*J121 + J122*K122 + J123*K123 + J124*K124 + J125*K125</f>
        <v>1520</v>
      </c>
      <c r="L126" s="35" t="s">
        <v>25</v>
      </c>
      <c r="M126" s="36">
        <f>M121*L121 + L122*M122 + L123*M123 + L124*M124 + L125*M125</f>
        <v>0</v>
      </c>
      <c r="N126" s="35" t="s">
        <v>25</v>
      </c>
      <c r="O126" s="36">
        <f>O121*N121 + N122*O122 + N123*O123 + N124*O124 + N125*O125</f>
        <v>0</v>
      </c>
    </row>
    <row r="127">
      <c r="A127" s="37"/>
      <c r="B127" s="13" t="s">
        <v>26</v>
      </c>
      <c r="C127" s="38">
        <f>(B121*C121 + B122*C122 + B123*C123 + B124*C124 + B125*C125)/SUM(C121:C125)</f>
        <v>48.75</v>
      </c>
      <c r="D127" s="39" t="s">
        <v>26</v>
      </c>
      <c r="E127" s="40" t="str">
        <f>(D121*E121 + D122*E122 + D123*E123 + D124*E124 + D125*E125)/SUM(E121:E125)</f>
        <v>#VALUE!</v>
      </c>
      <c r="F127" s="13" t="s">
        <v>26</v>
      </c>
      <c r="G127" s="40">
        <f>(F121*G121 + F122*G122 + F123*G123 + F124*G124 + F125*G125)/SUM(G121:G125)</f>
        <v>25</v>
      </c>
      <c r="H127" s="13" t="s">
        <v>26</v>
      </c>
      <c r="I127" s="40" t="str">
        <f>(H121*I121 + H122*I122 + H123*I123 + H124*I124 + H125*I125)/SUM(I121:I125)</f>
        <v>#DIV/0!</v>
      </c>
      <c r="J127" s="39" t="s">
        <v>26</v>
      </c>
      <c r="K127" s="40">
        <f>(J121*K121 + J122*K122 + J123*K123 + J124*K124 + J125*K125)/SUM(K121:K125)</f>
        <v>47.5</v>
      </c>
      <c r="L127" s="13" t="s">
        <v>26</v>
      </c>
      <c r="M127" s="40" t="str">
        <f>(L121*M121 + L122*M122 + L123*M123 + L124*M124 + L125*M125)/SUM(M121:M125)</f>
        <v>#DIV/0!</v>
      </c>
      <c r="N127" s="13" t="s">
        <v>26</v>
      </c>
      <c r="O127" s="40" t="str">
        <f>(N121*O121 + N122*O122 + N123*O123 + N124*O124 + N125*O125)/SUM(O121:O125)</f>
        <v>#DIV/0!</v>
      </c>
    </row>
    <row r="128">
      <c r="A128" s="28" t="s">
        <v>27</v>
      </c>
      <c r="B128" s="11" t="s">
        <v>10</v>
      </c>
      <c r="C128" s="12" t="s">
        <v>11</v>
      </c>
      <c r="D128" s="11" t="s">
        <v>10</v>
      </c>
      <c r="E128" s="12" t="s">
        <v>11</v>
      </c>
      <c r="F128" s="11" t="s">
        <v>10</v>
      </c>
      <c r="G128" s="12" t="s">
        <v>11</v>
      </c>
      <c r="H128" s="11" t="s">
        <v>10</v>
      </c>
      <c r="I128" s="12" t="s">
        <v>11</v>
      </c>
      <c r="J128" s="11" t="s">
        <v>10</v>
      </c>
      <c r="K128" s="12" t="s">
        <v>11</v>
      </c>
      <c r="L128" s="11" t="s">
        <v>10</v>
      </c>
      <c r="M128" s="12" t="s">
        <v>11</v>
      </c>
      <c r="N128" s="11" t="s">
        <v>10</v>
      </c>
      <c r="O128" s="12" t="s">
        <v>11</v>
      </c>
    </row>
    <row r="129">
      <c r="A129" s="41" t="s">
        <v>28</v>
      </c>
      <c r="B129" s="70" t="s">
        <v>61</v>
      </c>
      <c r="C129" s="17"/>
      <c r="D129" s="45" t="s">
        <v>62</v>
      </c>
      <c r="E129" s="44" t="s">
        <v>31</v>
      </c>
      <c r="F129" s="45" t="s">
        <v>57</v>
      </c>
      <c r="G129" s="17"/>
      <c r="H129" s="19" t="s">
        <v>33</v>
      </c>
      <c r="I129" s="44"/>
      <c r="J129" s="45" t="s">
        <v>34</v>
      </c>
      <c r="K129" s="17"/>
      <c r="L129" s="45" t="s">
        <v>62</v>
      </c>
      <c r="M129" s="44" t="s">
        <v>31</v>
      </c>
      <c r="N129" s="42"/>
      <c r="O129" s="44"/>
    </row>
    <row r="130">
      <c r="A130" s="28"/>
      <c r="B130" s="46">
        <v>65.0</v>
      </c>
      <c r="C130" s="22">
        <v>10.0</v>
      </c>
      <c r="D130" s="1" t="s">
        <v>58</v>
      </c>
      <c r="E130" s="24" t="s">
        <v>36</v>
      </c>
      <c r="F130" s="47">
        <v>65.0</v>
      </c>
      <c r="G130" s="22">
        <v>10.0</v>
      </c>
      <c r="H130" s="23"/>
      <c r="I130" s="24"/>
      <c r="J130" s="47">
        <v>65.0</v>
      </c>
      <c r="K130" s="22">
        <v>10.0</v>
      </c>
      <c r="L130" s="1" t="s">
        <v>58</v>
      </c>
      <c r="M130" s="24" t="s">
        <v>36</v>
      </c>
      <c r="N130" s="46"/>
      <c r="O130" s="26"/>
    </row>
    <row r="131">
      <c r="A131" s="28" t="s">
        <v>37</v>
      </c>
      <c r="B131" s="46">
        <v>67.5</v>
      </c>
      <c r="C131" s="22">
        <v>10.0</v>
      </c>
      <c r="D131" s="1" t="s">
        <v>58</v>
      </c>
      <c r="E131" s="26" t="s">
        <v>38</v>
      </c>
      <c r="F131" s="47">
        <v>67.5</v>
      </c>
      <c r="G131" s="22">
        <v>10.0</v>
      </c>
      <c r="H131" s="23"/>
      <c r="I131" s="24"/>
      <c r="J131" s="47">
        <v>65.0</v>
      </c>
      <c r="K131" s="22">
        <v>10.0</v>
      </c>
      <c r="L131" s="1" t="s">
        <v>58</v>
      </c>
      <c r="M131" s="26" t="s">
        <v>38</v>
      </c>
      <c r="N131" s="46"/>
      <c r="O131" s="26"/>
    </row>
    <row r="132">
      <c r="A132" s="28" t="s">
        <v>39</v>
      </c>
      <c r="B132" s="46">
        <v>70.0</v>
      </c>
      <c r="C132" s="22">
        <v>10.0</v>
      </c>
      <c r="D132" s="1" t="s">
        <v>59</v>
      </c>
      <c r="E132" s="24" t="s">
        <v>38</v>
      </c>
      <c r="F132" s="47">
        <v>72.5</v>
      </c>
      <c r="G132" s="22">
        <v>10.0</v>
      </c>
      <c r="H132" s="23"/>
      <c r="I132" s="24"/>
      <c r="J132" s="47">
        <v>67.5</v>
      </c>
      <c r="K132" s="22">
        <v>10.0</v>
      </c>
      <c r="L132" s="1" t="s">
        <v>59</v>
      </c>
      <c r="M132" s="24" t="s">
        <v>38</v>
      </c>
      <c r="N132" s="46"/>
      <c r="O132" s="26"/>
    </row>
    <row r="133">
      <c r="A133" s="28"/>
      <c r="B133" s="46">
        <v>72.5</v>
      </c>
      <c r="C133" s="22">
        <v>10.0</v>
      </c>
      <c r="D133" s="1" t="s">
        <v>58</v>
      </c>
      <c r="E133" s="26" t="s">
        <v>38</v>
      </c>
      <c r="F133" s="47">
        <v>75.0</v>
      </c>
      <c r="G133" s="22">
        <v>10.0</v>
      </c>
      <c r="H133" s="23"/>
      <c r="I133" s="24"/>
      <c r="J133" s="47">
        <v>70.0</v>
      </c>
      <c r="K133" s="22">
        <v>10.0</v>
      </c>
      <c r="L133" s="1" t="s">
        <v>58</v>
      </c>
      <c r="M133" s="26" t="s">
        <v>38</v>
      </c>
      <c r="N133" s="46"/>
      <c r="O133" s="26"/>
    </row>
    <row r="134">
      <c r="A134" s="28" t="s">
        <v>41</v>
      </c>
      <c r="B134" s="13"/>
      <c r="C134" s="24"/>
      <c r="D134" s="1" t="s">
        <v>58</v>
      </c>
      <c r="E134" s="24" t="s">
        <v>42</v>
      </c>
      <c r="F134" s="31"/>
      <c r="G134" s="24"/>
      <c r="H134" s="23"/>
      <c r="I134" s="24"/>
      <c r="J134" s="31"/>
      <c r="K134" s="24"/>
      <c r="L134" s="1" t="s">
        <v>58</v>
      </c>
      <c r="M134" s="24" t="s">
        <v>42</v>
      </c>
      <c r="N134" s="32"/>
      <c r="O134" s="24"/>
    </row>
    <row r="135">
      <c r="A135" s="28" t="s">
        <v>43</v>
      </c>
      <c r="B135" s="32"/>
      <c r="C135" s="26"/>
      <c r="D135" s="32"/>
      <c r="E135" s="26"/>
      <c r="F135" s="32"/>
      <c r="G135" s="26"/>
      <c r="H135" s="28"/>
      <c r="I135" s="24"/>
      <c r="J135" s="13"/>
      <c r="K135" s="24"/>
      <c r="L135" s="32"/>
      <c r="M135" s="26"/>
      <c r="N135" s="32"/>
      <c r="O135" s="26"/>
    </row>
    <row r="136">
      <c r="A136" s="28"/>
      <c r="B136" s="35" t="s">
        <v>25</v>
      </c>
      <c r="C136" s="36">
        <f>C130*B130 + B131*C131 + B132*C132 + B133*C133 + B135*C135</f>
        <v>2750</v>
      </c>
      <c r="D136" s="35" t="s">
        <v>25</v>
      </c>
      <c r="E136" s="36" t="str">
        <f>E130*D130 + D131*E131 + D132*E132 + D133*E133 + D135*E135</f>
        <v>#VALUE!</v>
      </c>
      <c r="F136" s="35" t="s">
        <v>25</v>
      </c>
      <c r="G136" s="36">
        <f>G130*F130 + F131*G131 + F132*G132 + F133*G133 + F135*G135</f>
        <v>2800</v>
      </c>
      <c r="H136" s="35" t="s">
        <v>25</v>
      </c>
      <c r="I136" s="36">
        <f>I130*H130 + H131*I131 + H132*I132 + H133*I133 + H135*I135</f>
        <v>0</v>
      </c>
      <c r="J136" s="35" t="s">
        <v>25</v>
      </c>
      <c r="K136" s="36">
        <f>K130*J130 + J131*K131 + J132*K132 + J133*K133 + J135*K135</f>
        <v>2675</v>
      </c>
      <c r="L136" s="35" t="s">
        <v>25</v>
      </c>
      <c r="M136" s="36" t="str">
        <f>M130*L130 + L131*M131 + L132*M132 + L133*M133 + L135*M135</f>
        <v>#VALUE!</v>
      </c>
      <c r="N136" s="35" t="s">
        <v>25</v>
      </c>
      <c r="O136" s="36">
        <f>O130*N130 + N131*O131 + N132*O132 + N133*O133 + N135*O135</f>
        <v>0</v>
      </c>
    </row>
    <row r="137">
      <c r="A137" s="28"/>
      <c r="B137" s="39" t="s">
        <v>26</v>
      </c>
      <c r="C137" s="38">
        <f>(B131*C131 + B132*C132 + B133*C133 + B134*C134 + B135*C135)/SUM(C131:C135)</f>
        <v>70</v>
      </c>
      <c r="D137" s="39" t="s">
        <v>26</v>
      </c>
      <c r="E137" s="40" t="str">
        <f>(D131*E131 + D132*E132 + D133*E133 + D134*E134 + D135*E135)/SUM(E131:E135)</f>
        <v>#VALUE!</v>
      </c>
      <c r="F137" s="39" t="s">
        <v>26</v>
      </c>
      <c r="G137" s="38">
        <f>(F131*G131 + F132*G132 + F133*G133 + F134*G134 + F135*G135)/SUM(G131:G135)</f>
        <v>71.66666667</v>
      </c>
      <c r="H137" s="39" t="s">
        <v>26</v>
      </c>
      <c r="I137" s="40" t="str">
        <f>(H130*I130 + H131*I131 + H132*I132 + H133*I133 + H135*I135)/SUM(I130:I135)</f>
        <v>#DIV/0!</v>
      </c>
      <c r="J137" s="39" t="s">
        <v>26</v>
      </c>
      <c r="K137" s="40">
        <f>(J131*K131 + J132*K132 + J133*K133 + J134*K134 + J135*K135)/SUM(K131:K135)</f>
        <v>67.5</v>
      </c>
      <c r="L137" s="39" t="s">
        <v>26</v>
      </c>
      <c r="M137" s="40" t="str">
        <f>(L131*M131 + L132*M132 + L133*M133 + L134*M134 + L135*M135)/SUM(M131:M135)</f>
        <v>#VALUE!</v>
      </c>
      <c r="N137" s="39" t="s">
        <v>26</v>
      </c>
      <c r="O137" s="40" t="str">
        <f>(N131*O131 + N132*O132 + N133*O133 + N134*O134 + N135*O135)/SUM(O131:O135)</f>
        <v>#DIV/0!</v>
      </c>
    </row>
    <row r="138">
      <c r="A138" s="28"/>
      <c r="B138" s="42" t="s">
        <v>44</v>
      </c>
      <c r="C138" s="17"/>
      <c r="D138" s="18"/>
      <c r="E138" s="17"/>
      <c r="F138" s="43" t="s">
        <v>44</v>
      </c>
      <c r="G138" s="17"/>
      <c r="H138" s="43"/>
      <c r="I138" s="17"/>
      <c r="J138" s="43" t="s">
        <v>44</v>
      </c>
      <c r="K138" s="17"/>
      <c r="L138" s="49"/>
      <c r="M138" s="50"/>
      <c r="N138" s="49"/>
      <c r="O138" s="50"/>
    </row>
    <row r="139">
      <c r="A139" s="28"/>
      <c r="B139" s="32" t="s">
        <v>45</v>
      </c>
      <c r="C139" s="26"/>
      <c r="D139" s="51" t="s">
        <v>46</v>
      </c>
      <c r="E139" s="24"/>
      <c r="F139" s="23" t="s">
        <v>45</v>
      </c>
      <c r="G139" s="24"/>
      <c r="H139" s="23"/>
      <c r="I139" s="24"/>
      <c r="J139" s="23" t="s">
        <v>45</v>
      </c>
      <c r="K139" s="26"/>
      <c r="L139" s="21"/>
      <c r="M139" s="24"/>
      <c r="N139" s="21"/>
      <c r="O139" s="24"/>
    </row>
    <row r="140">
      <c r="A140" s="28"/>
      <c r="B140" s="52" t="s">
        <v>47</v>
      </c>
      <c r="C140" s="26"/>
      <c r="D140" s="23"/>
      <c r="E140" s="26"/>
      <c r="F140" s="69" t="s">
        <v>60</v>
      </c>
      <c r="G140" s="26"/>
      <c r="H140" s="23"/>
      <c r="I140" s="24"/>
      <c r="J140" s="53" t="s">
        <v>47</v>
      </c>
      <c r="K140" s="26"/>
      <c r="L140" s="21"/>
      <c r="M140" s="26"/>
      <c r="N140" s="21"/>
      <c r="O140" s="26"/>
    </row>
    <row r="141">
      <c r="A141" s="28"/>
      <c r="B141" s="52" t="s">
        <v>48</v>
      </c>
      <c r="C141" s="26"/>
      <c r="D141" s="23"/>
      <c r="E141" s="24"/>
      <c r="F141" s="53"/>
      <c r="G141" s="24"/>
      <c r="H141" s="23"/>
      <c r="I141" s="24"/>
      <c r="J141" s="53" t="s">
        <v>48</v>
      </c>
      <c r="K141" s="26"/>
      <c r="L141" s="46"/>
      <c r="M141" s="24"/>
      <c r="N141" s="46"/>
      <c r="O141" s="24"/>
    </row>
    <row r="142">
      <c r="A142" s="28"/>
      <c r="B142" s="46"/>
      <c r="C142" s="54"/>
      <c r="D142" s="46"/>
      <c r="E142" s="54"/>
      <c r="F142" s="46"/>
      <c r="G142" s="54"/>
      <c r="H142" s="1"/>
      <c r="I142" s="26"/>
      <c r="J142" s="28"/>
      <c r="K142" s="54"/>
      <c r="L142" s="21"/>
      <c r="M142" s="24"/>
      <c r="N142" s="21"/>
      <c r="O142" s="24"/>
    </row>
    <row r="143">
      <c r="A143" s="28"/>
      <c r="B143" s="13"/>
      <c r="C143" s="34"/>
      <c r="D143" s="21"/>
      <c r="E143" s="34"/>
      <c r="F143" s="13"/>
      <c r="G143" s="24"/>
      <c r="H143" s="28"/>
      <c r="I143" s="34"/>
      <c r="J143" s="13"/>
      <c r="K143" s="24"/>
      <c r="L143" s="31"/>
      <c r="M143" s="24"/>
      <c r="N143" s="31"/>
      <c r="O143" s="24"/>
    </row>
    <row r="144">
      <c r="A144" s="28"/>
      <c r="B144" s="35" t="s">
        <v>25</v>
      </c>
      <c r="C144" s="55" t="str">
        <f>C139*B139 + B140*C140 + B141*C141 + B142*C142 + B143*C143</f>
        <v>#VALUE!</v>
      </c>
      <c r="D144" s="35" t="s">
        <v>25</v>
      </c>
      <c r="E144" s="55" t="str">
        <f>E139*D139 + D140*E140 + D141*E141 + D142*E142 + D143*E143</f>
        <v>#VALUE!</v>
      </c>
      <c r="F144" s="35" t="s">
        <v>25</v>
      </c>
      <c r="G144" s="55" t="str">
        <f>G139*F139 + F140*G140 + F141*G141 + F142*G142 + F143*G143</f>
        <v>#VALUE!</v>
      </c>
      <c r="H144" s="35" t="s">
        <v>25</v>
      </c>
      <c r="I144" s="56">
        <f>I139*H139 + H140*I140 + H141*I141 + H142*I142 + H143*I143</f>
        <v>0</v>
      </c>
      <c r="J144" s="35" t="s">
        <v>25</v>
      </c>
      <c r="K144" s="36" t="str">
        <f>K139*J139 + J140*K140 + J141*K141 + J142*K142 + J143*K143</f>
        <v>#VALUE!</v>
      </c>
      <c r="L144" s="57" t="s">
        <v>25</v>
      </c>
      <c r="M144" s="58">
        <f>M139*L139 + L140*M140 + L141*M141 + L142*M142 + L143*M143</f>
        <v>0</v>
      </c>
      <c r="N144" s="57" t="s">
        <v>25</v>
      </c>
      <c r="O144" s="58">
        <f>O139*N139 + N140*O140 + N141*O141 + N142*O142 + N143*O143</f>
        <v>0</v>
      </c>
    </row>
    <row r="145">
      <c r="A145" s="28"/>
      <c r="B145" s="39" t="s">
        <v>26</v>
      </c>
      <c r="C145" s="40" t="str">
        <f>(B139*C139 + B140*C140 + B141*C141 + B142*C142 + B143*C143)/SUM(C139:C143)</f>
        <v>#VALUE!</v>
      </c>
      <c r="D145" s="59" t="s">
        <v>26</v>
      </c>
      <c r="E145" s="40" t="str">
        <f>(D139*E139 + D140*E140 + D141*E141 + D142*E142 + D143*E143)/SUM(E139:E143)</f>
        <v>#VALUE!</v>
      </c>
      <c r="F145" s="39" t="s">
        <v>26</v>
      </c>
      <c r="G145" s="40" t="str">
        <f>(F139*G139 + F140*G140 + F141*G141 + F142*G142 + F143*G143)/SUM(G139:G143)</f>
        <v>#VALUE!</v>
      </c>
      <c r="H145" s="59" t="s">
        <v>26</v>
      </c>
      <c r="I145" s="40" t="str">
        <f>(H139*I139 + H140*I140 + H141*I141 + H142*I142 + H143*I143)/SUM(I139:I143)</f>
        <v>#DIV/0!</v>
      </c>
      <c r="J145" s="39" t="s">
        <v>26</v>
      </c>
      <c r="K145" s="40" t="str">
        <f>(J139*K139 + J140*K140 + J141*K141 + J142*K142 + J143*K143)/SUM(K139:K143)</f>
        <v>#VALUE!</v>
      </c>
      <c r="L145" s="59" t="s">
        <v>26</v>
      </c>
      <c r="M145" s="40" t="str">
        <f>(L139*M139 + L140*M140 + L141*M141 + L142*M142 + L143*M143)/SUM(M143)</f>
        <v>#DIV/0!</v>
      </c>
      <c r="N145" s="59" t="s">
        <v>26</v>
      </c>
      <c r="O145" s="40" t="str">
        <f>(N139*O139 + N140*O140 + N141*O141 + N142*O142 + N143*O143)/SUM(O143)</f>
        <v>#DIV/0!</v>
      </c>
    </row>
    <row r="146">
      <c r="A146" s="28"/>
      <c r="B146" s="28"/>
      <c r="C146" s="30" t="s">
        <v>49</v>
      </c>
      <c r="D146" s="28" t="s">
        <v>50</v>
      </c>
      <c r="E146" s="30" t="s">
        <v>49</v>
      </c>
      <c r="F146" s="28" t="s">
        <v>51</v>
      </c>
      <c r="G146" s="30" t="s">
        <v>49</v>
      </c>
      <c r="H146" s="28"/>
      <c r="I146" s="30" t="s">
        <v>49</v>
      </c>
      <c r="J146" s="28"/>
      <c r="K146" s="30" t="s">
        <v>49</v>
      </c>
      <c r="L146" s="28"/>
      <c r="M146" s="60" t="s">
        <v>49</v>
      </c>
      <c r="N146" s="28"/>
      <c r="O146" s="60" t="s">
        <v>49</v>
      </c>
    </row>
    <row r="147">
      <c r="A147" s="28"/>
      <c r="B147" s="52" t="s">
        <v>52</v>
      </c>
      <c r="C147" s="60"/>
      <c r="D147" s="23"/>
      <c r="E147" s="61"/>
      <c r="F147" s="62" t="s">
        <v>52</v>
      </c>
      <c r="G147" s="61"/>
      <c r="H147" s="30"/>
      <c r="I147" s="60"/>
      <c r="J147" s="62" t="s">
        <v>52</v>
      </c>
      <c r="K147" s="60"/>
      <c r="L147" s="27"/>
      <c r="M147" s="60"/>
      <c r="N147" s="27"/>
      <c r="O147" s="60"/>
    </row>
    <row r="148">
      <c r="A148" s="28"/>
      <c r="B148" s="52" t="s">
        <v>53</v>
      </c>
      <c r="C148" s="60"/>
      <c r="D148" s="23"/>
      <c r="E148" s="60"/>
      <c r="F148" s="53" t="s">
        <v>53</v>
      </c>
      <c r="G148" s="60"/>
      <c r="H148" s="30"/>
      <c r="I148" s="60"/>
      <c r="J148" s="53" t="s">
        <v>53</v>
      </c>
      <c r="K148" s="60"/>
      <c r="L148" s="27"/>
      <c r="M148" s="60"/>
      <c r="N148" s="27"/>
      <c r="O148" s="60"/>
    </row>
    <row r="149">
      <c r="A149" s="37"/>
      <c r="B149" s="32" t="s">
        <v>54</v>
      </c>
      <c r="C149" s="60"/>
      <c r="D149" s="23"/>
      <c r="E149" s="60"/>
      <c r="F149" s="23" t="s">
        <v>54</v>
      </c>
      <c r="G149" s="60"/>
      <c r="H149" s="30"/>
      <c r="I149" s="60"/>
      <c r="J149" s="30" t="s">
        <v>54</v>
      </c>
      <c r="K149" s="60"/>
      <c r="L149" s="1"/>
      <c r="M149" s="60"/>
      <c r="N149" s="30"/>
      <c r="O149" s="60"/>
    </row>
    <row r="150">
      <c r="A150" s="37"/>
      <c r="B150" s="28"/>
      <c r="C150" s="1"/>
      <c r="D150" s="28"/>
      <c r="E150" s="1"/>
      <c r="F150" s="28"/>
      <c r="G150" s="63"/>
      <c r="H150" s="30"/>
      <c r="I150" s="30"/>
      <c r="J150" s="28"/>
      <c r="K150" s="60"/>
      <c r="L150" s="30"/>
      <c r="M150" s="60"/>
      <c r="N150" s="30"/>
      <c r="O150" s="60"/>
    </row>
    <row r="151">
      <c r="A151" s="37"/>
      <c r="B151" s="28"/>
      <c r="C151" s="1"/>
      <c r="D151" s="28"/>
      <c r="E151" s="1"/>
      <c r="F151" s="28"/>
      <c r="G151" s="60"/>
      <c r="H151" s="28"/>
      <c r="I151" s="30"/>
      <c r="J151" s="28"/>
      <c r="K151" s="60"/>
      <c r="L151" s="30"/>
      <c r="M151" s="60"/>
      <c r="N151" s="30"/>
      <c r="O151" s="60"/>
    </row>
    <row r="152">
      <c r="A152" s="37"/>
      <c r="B152" s="28"/>
      <c r="C152" s="1"/>
      <c r="D152" s="28"/>
      <c r="E152" s="1"/>
      <c r="F152" s="28"/>
      <c r="G152" s="60"/>
      <c r="H152" s="30"/>
      <c r="I152" s="30"/>
      <c r="J152" s="37"/>
      <c r="K152" s="60"/>
      <c r="L152" s="30"/>
      <c r="M152" s="60"/>
      <c r="N152" s="30"/>
      <c r="O152" s="60"/>
    </row>
    <row r="153">
      <c r="A153" s="64"/>
      <c r="B153" s="65"/>
      <c r="C153" s="66"/>
      <c r="D153" s="65"/>
      <c r="E153" s="66"/>
      <c r="F153" s="64"/>
      <c r="G153" s="67"/>
      <c r="H153" s="66"/>
      <c r="I153" s="66"/>
      <c r="J153" s="64"/>
      <c r="K153" s="67"/>
      <c r="L153" s="66"/>
      <c r="M153" s="67"/>
      <c r="N153" s="66"/>
      <c r="O153" s="67"/>
    </row>
    <row r="155">
      <c r="A155" s="2" t="s">
        <v>2</v>
      </c>
      <c r="B155" s="3" t="s">
        <v>3</v>
      </c>
      <c r="C155" s="4">
        <f>O117+1</f>
        <v>45747</v>
      </c>
      <c r="D155" s="5" t="s">
        <v>4</v>
      </c>
      <c r="E155" s="6">
        <f>C155+1</f>
        <v>45748</v>
      </c>
      <c r="F155" s="3" t="s">
        <v>5</v>
      </c>
      <c r="G155" s="6">
        <f>E155+1</f>
        <v>45749</v>
      </c>
      <c r="H155" s="3" t="s">
        <v>6</v>
      </c>
      <c r="I155" s="6">
        <f>G155+1</f>
        <v>45750</v>
      </c>
      <c r="J155" s="3" t="s">
        <v>7</v>
      </c>
      <c r="K155" s="6">
        <f>I155+1</f>
        <v>45751</v>
      </c>
      <c r="L155" s="7" t="s">
        <v>8</v>
      </c>
      <c r="M155" s="8">
        <f>K155+1</f>
        <v>45752</v>
      </c>
      <c r="N155" s="9" t="s">
        <v>9</v>
      </c>
      <c r="O155" s="8">
        <f>M155+1</f>
        <v>45753</v>
      </c>
    </row>
    <row r="156">
      <c r="A156" s="10">
        <f>A118+1</f>
        <v>5</v>
      </c>
      <c r="B156" s="11" t="s">
        <v>10</v>
      </c>
      <c r="C156" s="12" t="s">
        <v>11</v>
      </c>
      <c r="D156" s="11" t="s">
        <v>10</v>
      </c>
      <c r="E156" s="12" t="s">
        <v>11</v>
      </c>
      <c r="F156" s="11" t="s">
        <v>10</v>
      </c>
      <c r="G156" s="12" t="s">
        <v>11</v>
      </c>
      <c r="H156" s="11" t="s">
        <v>10</v>
      </c>
      <c r="I156" s="12" t="s">
        <v>11</v>
      </c>
      <c r="J156" s="11" t="s">
        <v>10</v>
      </c>
      <c r="K156" s="12" t="s">
        <v>11</v>
      </c>
      <c r="L156" s="11" t="s">
        <v>10</v>
      </c>
      <c r="M156" s="12" t="s">
        <v>11</v>
      </c>
      <c r="N156" s="11" t="s">
        <v>10</v>
      </c>
      <c r="O156" s="12" t="s">
        <v>11</v>
      </c>
    </row>
    <row r="157">
      <c r="A157" s="13"/>
      <c r="B157" s="14"/>
      <c r="C157" s="15"/>
      <c r="D157" s="14"/>
      <c r="E157" s="15"/>
      <c r="F157" s="14"/>
      <c r="G157" s="15"/>
      <c r="H157" s="14"/>
      <c r="I157" s="15"/>
      <c r="J157" s="14"/>
      <c r="K157" s="15"/>
      <c r="L157" s="14"/>
      <c r="M157" s="15"/>
      <c r="N157" s="14"/>
      <c r="O157" s="15"/>
    </row>
    <row r="158">
      <c r="A158" s="13" t="s">
        <v>12</v>
      </c>
      <c r="B158" s="42" t="s">
        <v>63</v>
      </c>
      <c r="C158" s="17"/>
      <c r="D158" s="18" t="s">
        <v>14</v>
      </c>
      <c r="E158" s="17"/>
      <c r="F158" s="42" t="s">
        <v>63</v>
      </c>
      <c r="G158" s="17"/>
      <c r="H158" s="18" t="s">
        <v>15</v>
      </c>
      <c r="I158" s="17"/>
      <c r="J158" s="42" t="s">
        <v>63</v>
      </c>
      <c r="K158" s="17"/>
      <c r="L158" s="18"/>
      <c r="M158" s="17"/>
      <c r="N158" s="20" t="s">
        <v>17</v>
      </c>
      <c r="O158" s="17"/>
    </row>
    <row r="159">
      <c r="A159" s="13"/>
      <c r="B159" s="21">
        <v>50.0</v>
      </c>
      <c r="C159" s="22">
        <v>10.0</v>
      </c>
      <c r="D159" s="23" t="s">
        <v>18</v>
      </c>
      <c r="E159" s="24"/>
      <c r="F159" s="21">
        <v>52.5</v>
      </c>
      <c r="G159" s="22">
        <v>10.0</v>
      </c>
      <c r="H159" s="23"/>
      <c r="I159" s="26"/>
      <c r="J159" s="21">
        <v>50.0</v>
      </c>
      <c r="K159" s="22">
        <v>10.0</v>
      </c>
      <c r="L159" s="23"/>
      <c r="M159" s="24"/>
      <c r="N159" s="27"/>
      <c r="O159" s="24"/>
    </row>
    <row r="160">
      <c r="A160" s="28" t="s">
        <v>20</v>
      </c>
      <c r="B160" s="21">
        <v>55.0</v>
      </c>
      <c r="C160" s="22">
        <v>10.0</v>
      </c>
      <c r="D160" s="23" t="s">
        <v>21</v>
      </c>
      <c r="E160" s="26"/>
      <c r="F160" s="21">
        <v>55.0</v>
      </c>
      <c r="G160" s="22">
        <v>10.0</v>
      </c>
      <c r="H160" s="23"/>
      <c r="I160" s="26"/>
      <c r="J160" s="21">
        <v>55.0</v>
      </c>
      <c r="K160" s="22">
        <v>10.0</v>
      </c>
      <c r="L160" s="23"/>
      <c r="M160" s="24"/>
      <c r="N160" s="28"/>
      <c r="O160" s="24"/>
    </row>
    <row r="161">
      <c r="A161" s="29" t="s">
        <v>22</v>
      </c>
      <c r="B161" s="21">
        <v>60.0</v>
      </c>
      <c r="C161" s="22">
        <v>10.0</v>
      </c>
      <c r="D161" s="1" t="s">
        <v>64</v>
      </c>
      <c r="E161" s="54" t="s">
        <v>65</v>
      </c>
      <c r="F161" s="21">
        <v>60.0</v>
      </c>
      <c r="G161" s="22">
        <v>10.0</v>
      </c>
      <c r="H161" s="23"/>
      <c r="I161" s="26"/>
      <c r="J161" s="21">
        <v>60.0</v>
      </c>
      <c r="K161" s="22">
        <v>10.0</v>
      </c>
      <c r="L161" s="23"/>
      <c r="M161" s="24"/>
      <c r="N161" s="23"/>
      <c r="O161" s="24"/>
    </row>
    <row r="162">
      <c r="A162" s="28" t="s">
        <v>23</v>
      </c>
      <c r="B162" s="46"/>
      <c r="C162" s="22"/>
      <c r="D162" s="23"/>
      <c r="E162" s="26"/>
      <c r="F162" s="47"/>
      <c r="G162" s="22"/>
      <c r="H162" s="31"/>
      <c r="I162" s="24"/>
      <c r="J162" s="47"/>
      <c r="K162" s="22"/>
      <c r="L162" s="23"/>
      <c r="M162" s="26"/>
      <c r="N162" s="32"/>
      <c r="O162" s="26"/>
    </row>
    <row r="163">
      <c r="A163" s="13"/>
      <c r="B163" s="33"/>
      <c r="C163" s="26"/>
      <c r="D163" s="13"/>
      <c r="E163" s="24"/>
      <c r="F163" s="33"/>
      <c r="G163" s="26"/>
      <c r="H163" s="13"/>
      <c r="I163" s="34"/>
      <c r="J163" s="13"/>
      <c r="K163" s="24"/>
      <c r="L163" s="13"/>
      <c r="M163" s="24"/>
      <c r="N163" s="13"/>
      <c r="O163" s="24"/>
    </row>
    <row r="164">
      <c r="A164" s="28" t="s">
        <v>24</v>
      </c>
      <c r="B164" s="35" t="s">
        <v>25</v>
      </c>
      <c r="C164" s="36">
        <f>C159*B159 + B160*C160 + B161*C161 + B162*C162 + B163*C163</f>
        <v>1650</v>
      </c>
      <c r="D164" s="35" t="s">
        <v>25</v>
      </c>
      <c r="E164" s="36" t="str">
        <f>E159*D159 + D160*E160 + D161*E161 + D162*E162 + D163*E163</f>
        <v>#VALUE!</v>
      </c>
      <c r="F164" s="35" t="s">
        <v>25</v>
      </c>
      <c r="G164" s="36">
        <f>G159*F159 + F160*G160 + F161*G161 + F162*G162 + F163*G163</f>
        <v>1675</v>
      </c>
      <c r="H164" s="35" t="s">
        <v>25</v>
      </c>
      <c r="I164" s="36">
        <f>I159*H159 + H160*I160 + H161*I161 + H162*I162 + H163*I163</f>
        <v>0</v>
      </c>
      <c r="J164" s="35" t="s">
        <v>25</v>
      </c>
      <c r="K164" s="36">
        <f>K159*J159 + J160*K160 + J161*K161 + J162*K162 + J163*K163</f>
        <v>1650</v>
      </c>
      <c r="L164" s="35" t="s">
        <v>25</v>
      </c>
      <c r="M164" s="36">
        <f>M159*L159 + L160*M160 + L161*M161 + L162*M162 + L163*M163</f>
        <v>0</v>
      </c>
      <c r="N164" s="35" t="s">
        <v>25</v>
      </c>
      <c r="O164" s="36">
        <f>O159*N159 + N160*O160 + N161*O161 + N162*O162 + N163*O163</f>
        <v>0</v>
      </c>
    </row>
    <row r="165">
      <c r="A165" s="37"/>
      <c r="B165" s="13" t="s">
        <v>26</v>
      </c>
      <c r="C165" s="38">
        <f>(B159*C159 + B160*C160 + B161*C161 + B162*C162 + B163*C163)/SUM(C159:C163)</f>
        <v>55</v>
      </c>
      <c r="D165" s="39" t="s">
        <v>26</v>
      </c>
      <c r="E165" s="40" t="str">
        <f>(D159*E159 + D160*E160 + D161*E161 + D162*E162 + D163*E163)/SUM(E159:E163)</f>
        <v>#VALUE!</v>
      </c>
      <c r="F165" s="13" t="s">
        <v>26</v>
      </c>
      <c r="G165" s="38">
        <f>(F159*G159 + F160*G160 + F161*G161 + F162*G162 + F163*G163)/SUM(G159:G163)</f>
        <v>55.83333333</v>
      </c>
      <c r="H165" s="13" t="s">
        <v>26</v>
      </c>
      <c r="I165" s="40" t="str">
        <f>(H159*I159 + H160*I160 + H161*I161 + H162*I162 + H163*I163)/SUM(I159:I163)</f>
        <v>#DIV/0!</v>
      </c>
      <c r="J165" s="39" t="s">
        <v>26</v>
      </c>
      <c r="K165" s="40">
        <f>(J159*K159 + J160*K160 + J161*K161 + J162*K162 + J163*K163)/SUM(K159:K163)</f>
        <v>55</v>
      </c>
      <c r="L165" s="13" t="s">
        <v>26</v>
      </c>
      <c r="M165" s="40" t="str">
        <f>(L159*M159 + L160*M160 + L161*M161 + L162*M162 + L163*M163)/SUM(M159:M163)</f>
        <v>#DIV/0!</v>
      </c>
      <c r="N165" s="13" t="s">
        <v>26</v>
      </c>
      <c r="O165" s="40" t="str">
        <f>(N159*O159 + N160*O160 + N161*O161 + N162*O162 + N163*O163)/SUM(O159:O163)</f>
        <v>#DIV/0!</v>
      </c>
    </row>
    <row r="166">
      <c r="A166" s="28" t="s">
        <v>27</v>
      </c>
      <c r="B166" s="11" t="s">
        <v>10</v>
      </c>
      <c r="C166" s="12" t="s">
        <v>11</v>
      </c>
      <c r="D166" s="11" t="s">
        <v>10</v>
      </c>
      <c r="E166" s="12" t="s">
        <v>11</v>
      </c>
      <c r="F166" s="11" t="s">
        <v>10</v>
      </c>
      <c r="G166" s="12" t="s">
        <v>11</v>
      </c>
      <c r="H166" s="11" t="s">
        <v>10</v>
      </c>
      <c r="I166" s="12" t="s">
        <v>11</v>
      </c>
      <c r="J166" s="11" t="s">
        <v>10</v>
      </c>
      <c r="K166" s="12" t="s">
        <v>11</v>
      </c>
      <c r="L166" s="11" t="s">
        <v>10</v>
      </c>
      <c r="M166" s="12" t="s">
        <v>11</v>
      </c>
      <c r="N166" s="11" t="s">
        <v>10</v>
      </c>
      <c r="O166" s="12" t="s">
        <v>11</v>
      </c>
    </row>
    <row r="167">
      <c r="A167" s="41" t="s">
        <v>28</v>
      </c>
      <c r="B167" s="70" t="s">
        <v>66</v>
      </c>
      <c r="C167" s="17"/>
      <c r="D167" s="43" t="s">
        <v>30</v>
      </c>
      <c r="E167" s="44" t="s">
        <v>31</v>
      </c>
      <c r="F167" s="45" t="s">
        <v>67</v>
      </c>
      <c r="G167" s="17"/>
      <c r="H167" s="19" t="s">
        <v>33</v>
      </c>
      <c r="I167" s="44"/>
      <c r="J167" s="42" t="s">
        <v>68</v>
      </c>
      <c r="K167" s="17"/>
      <c r="L167" s="43" t="s">
        <v>30</v>
      </c>
      <c r="M167" s="44" t="s">
        <v>31</v>
      </c>
      <c r="N167" s="42"/>
      <c r="O167" s="44"/>
    </row>
    <row r="168">
      <c r="A168" s="28"/>
      <c r="B168" s="46">
        <v>60.0</v>
      </c>
      <c r="C168" s="22">
        <v>10.0</v>
      </c>
      <c r="D168" s="1" t="s">
        <v>35</v>
      </c>
      <c r="E168" s="24" t="s">
        <v>36</v>
      </c>
      <c r="F168" s="25">
        <v>40.0</v>
      </c>
      <c r="G168" s="22">
        <v>8.0</v>
      </c>
      <c r="H168" s="23"/>
      <c r="I168" s="24"/>
      <c r="J168" s="21">
        <v>50.0</v>
      </c>
      <c r="K168" s="22">
        <v>8.0</v>
      </c>
      <c r="L168" s="1" t="s">
        <v>35</v>
      </c>
      <c r="M168" s="24" t="s">
        <v>36</v>
      </c>
      <c r="N168" s="46"/>
      <c r="O168" s="26"/>
    </row>
    <row r="169">
      <c r="A169" s="28" t="s">
        <v>37</v>
      </c>
      <c r="B169" s="46">
        <v>65.0</v>
      </c>
      <c r="C169" s="22">
        <v>10.0</v>
      </c>
      <c r="D169" s="1" t="s">
        <v>35</v>
      </c>
      <c r="E169" s="26" t="s">
        <v>38</v>
      </c>
      <c r="F169" s="25">
        <v>45.0</v>
      </c>
      <c r="G169" s="22">
        <v>8.0</v>
      </c>
      <c r="H169" s="23"/>
      <c r="I169" s="24"/>
      <c r="J169" s="21">
        <v>55.0</v>
      </c>
      <c r="K169" s="22">
        <v>8.0</v>
      </c>
      <c r="L169" s="1" t="s">
        <v>35</v>
      </c>
      <c r="M169" s="26" t="s">
        <v>38</v>
      </c>
      <c r="N169" s="46"/>
      <c r="O169" s="26"/>
    </row>
    <row r="170">
      <c r="A170" s="28" t="s">
        <v>39</v>
      </c>
      <c r="B170" s="46">
        <v>70.0</v>
      </c>
      <c r="C170" s="22">
        <v>10.0</v>
      </c>
      <c r="D170" s="1" t="s">
        <v>40</v>
      </c>
      <c r="E170" s="24" t="s">
        <v>38</v>
      </c>
      <c r="F170" s="25">
        <v>50.0</v>
      </c>
      <c r="G170" s="22">
        <v>8.0</v>
      </c>
      <c r="H170" s="23"/>
      <c r="I170" s="24"/>
      <c r="J170" s="21">
        <v>60.0</v>
      </c>
      <c r="K170" s="22">
        <v>8.0</v>
      </c>
      <c r="L170" s="1" t="s">
        <v>40</v>
      </c>
      <c r="M170" s="24" t="s">
        <v>38</v>
      </c>
      <c r="N170" s="46"/>
      <c r="O170" s="26"/>
    </row>
    <row r="171">
      <c r="A171" s="28"/>
      <c r="B171" s="46">
        <v>72.5</v>
      </c>
      <c r="C171" s="22">
        <v>10.0</v>
      </c>
      <c r="D171" s="1" t="s">
        <v>35</v>
      </c>
      <c r="E171" s="26" t="s">
        <v>38</v>
      </c>
      <c r="F171" s="25">
        <v>55.0</v>
      </c>
      <c r="G171" s="22">
        <v>8.0</v>
      </c>
      <c r="H171" s="23"/>
      <c r="I171" s="24"/>
      <c r="J171" s="47"/>
      <c r="K171" s="22"/>
      <c r="L171" s="1" t="s">
        <v>35</v>
      </c>
      <c r="M171" s="26" t="s">
        <v>38</v>
      </c>
      <c r="N171" s="46"/>
      <c r="O171" s="26"/>
    </row>
    <row r="172">
      <c r="A172" s="28" t="s">
        <v>41</v>
      </c>
      <c r="B172" s="13"/>
      <c r="C172" s="24"/>
      <c r="D172" s="1" t="s">
        <v>35</v>
      </c>
      <c r="E172" s="24" t="s">
        <v>42</v>
      </c>
      <c r="F172" s="31"/>
      <c r="G172" s="24"/>
      <c r="H172" s="23"/>
      <c r="I172" s="24"/>
      <c r="J172" s="31"/>
      <c r="K172" s="24"/>
      <c r="L172" s="1" t="s">
        <v>35</v>
      </c>
      <c r="M172" s="24" t="s">
        <v>42</v>
      </c>
      <c r="N172" s="32"/>
      <c r="O172" s="24"/>
    </row>
    <row r="173">
      <c r="A173" s="28" t="s">
        <v>43</v>
      </c>
      <c r="B173" s="32"/>
      <c r="C173" s="26"/>
      <c r="D173" s="32"/>
      <c r="E173" s="26"/>
      <c r="F173" s="32"/>
      <c r="G173" s="26"/>
      <c r="H173" s="28"/>
      <c r="I173" s="24"/>
      <c r="J173" s="13"/>
      <c r="K173" s="24"/>
      <c r="L173" s="32"/>
      <c r="M173" s="26"/>
      <c r="N173" s="32"/>
      <c r="O173" s="26"/>
    </row>
    <row r="174">
      <c r="A174" s="28"/>
      <c r="B174" s="35" t="s">
        <v>25</v>
      </c>
      <c r="C174" s="36">
        <f>C168*B168 + B169*C169 + B170*C170 + B171*C171 + B173*C173</f>
        <v>2675</v>
      </c>
      <c r="D174" s="35" t="s">
        <v>25</v>
      </c>
      <c r="E174" s="36" t="str">
        <f>E168*D168 + D169*E169 + D170*E170 + D171*E171 + D173*E173</f>
        <v>#VALUE!</v>
      </c>
      <c r="F174" s="35" t="s">
        <v>25</v>
      </c>
      <c r="G174" s="36">
        <f>G168*F168 + F169*G169 + F170*G170 + F171*G171 + F173*G173</f>
        <v>1520</v>
      </c>
      <c r="H174" s="35" t="s">
        <v>25</v>
      </c>
      <c r="I174" s="36">
        <f>I168*H168 + H169*I169 + H170*I170 + H171*I171 + H173*I173</f>
        <v>0</v>
      </c>
      <c r="J174" s="35" t="s">
        <v>25</v>
      </c>
      <c r="K174" s="36">
        <f>K168*J168 + J169*K169 + J170*K170 + J171*K171 + J173*K173</f>
        <v>1320</v>
      </c>
      <c r="L174" s="35" t="s">
        <v>25</v>
      </c>
      <c r="M174" s="36" t="str">
        <f>M168*L168 + L169*M169 + L170*M170 + L171*M171 + L173*M173</f>
        <v>#VALUE!</v>
      </c>
      <c r="N174" s="35" t="s">
        <v>25</v>
      </c>
      <c r="O174" s="36">
        <f>O168*N168 + N169*O169 + N170*O170 + N171*O171 + N173*O173</f>
        <v>0</v>
      </c>
    </row>
    <row r="175">
      <c r="A175" s="28" t="s">
        <v>69</v>
      </c>
      <c r="B175" s="39" t="s">
        <v>26</v>
      </c>
      <c r="C175" s="38">
        <f>(B169*C169 + B170*C170 + B171*C171 + B172*C172 + B173*C173)/SUM(C169:C173)</f>
        <v>69.16666667</v>
      </c>
      <c r="D175" s="39" t="s">
        <v>26</v>
      </c>
      <c r="E175" s="40" t="str">
        <f>(D169*E169 + D170*E170 + D171*E171 + D172*E172 + D173*E173)/SUM(E169:E173)</f>
        <v>#VALUE!</v>
      </c>
      <c r="F175" s="39" t="s">
        <v>26</v>
      </c>
      <c r="G175" s="38">
        <f>(F169*G169 + F170*G170 + F171*G171 + F172*G172 + F173*G173)/SUM(G169:G173)</f>
        <v>50</v>
      </c>
      <c r="H175" s="39" t="s">
        <v>26</v>
      </c>
      <c r="I175" s="40" t="str">
        <f>(H168*I168 + H169*I169 + H170*I170 + H171*I171 + H173*I173)/SUM(I168:I173)</f>
        <v>#DIV/0!</v>
      </c>
      <c r="J175" s="39" t="s">
        <v>26</v>
      </c>
      <c r="K175" s="40">
        <f>(J169*K169 + J170*K170 + J171*K171 + J172*K172 + J173*K173)/SUM(K169:K173)</f>
        <v>57.5</v>
      </c>
      <c r="L175" s="39" t="s">
        <v>26</v>
      </c>
      <c r="M175" s="40" t="str">
        <f>(L169*M169 + L170*M170 + L171*M171 + L172*M172 + L173*M173)/SUM(M169:M173)</f>
        <v>#VALUE!</v>
      </c>
      <c r="N175" s="39" t="s">
        <v>26</v>
      </c>
      <c r="O175" s="40" t="str">
        <f>(N169*O169 + N170*O170 + N171*O171 + N172*O172 + N173*O173)/SUM(O169:O173)</f>
        <v>#DIV/0!</v>
      </c>
    </row>
    <row r="176">
      <c r="A176" s="28" t="s">
        <v>70</v>
      </c>
      <c r="B176" s="42" t="s">
        <v>71</v>
      </c>
      <c r="C176" s="17"/>
      <c r="D176" s="18"/>
      <c r="E176" s="17"/>
      <c r="F176" s="42" t="s">
        <v>71</v>
      </c>
      <c r="G176" s="17"/>
      <c r="H176" s="43"/>
      <c r="I176" s="17"/>
      <c r="J176" s="42" t="s">
        <v>71</v>
      </c>
      <c r="K176" s="17"/>
      <c r="L176" s="49"/>
      <c r="M176" s="50"/>
      <c r="N176" s="49"/>
      <c r="O176" s="50"/>
    </row>
    <row r="177">
      <c r="A177" s="28"/>
      <c r="B177" s="21">
        <v>50.0</v>
      </c>
      <c r="C177" s="22">
        <v>8.0</v>
      </c>
      <c r="D177" s="51" t="s">
        <v>46</v>
      </c>
      <c r="E177" s="24"/>
      <c r="F177" s="21">
        <v>52.5</v>
      </c>
      <c r="G177" s="71">
        <v>8.0</v>
      </c>
      <c r="H177" s="23"/>
      <c r="I177" s="24"/>
      <c r="J177" s="21">
        <v>50.0</v>
      </c>
      <c r="K177" s="22">
        <v>8.0</v>
      </c>
      <c r="L177" s="21"/>
      <c r="M177" s="24"/>
      <c r="N177" s="21"/>
      <c r="O177" s="24"/>
    </row>
    <row r="178">
      <c r="A178" s="28"/>
      <c r="B178" s="21">
        <v>55.0</v>
      </c>
      <c r="C178" s="22">
        <v>8.0</v>
      </c>
      <c r="D178" s="23"/>
      <c r="E178" s="26"/>
      <c r="F178" s="21">
        <v>57.5</v>
      </c>
      <c r="G178" s="22">
        <v>8.0</v>
      </c>
      <c r="H178" s="23"/>
      <c r="I178" s="24"/>
      <c r="J178" s="21">
        <v>55.0</v>
      </c>
      <c r="K178" s="22">
        <v>8.0</v>
      </c>
      <c r="L178" s="21"/>
      <c r="M178" s="26"/>
      <c r="N178" s="21"/>
      <c r="O178" s="26"/>
    </row>
    <row r="179">
      <c r="A179" s="28"/>
      <c r="B179" s="21">
        <v>60.0</v>
      </c>
      <c r="C179" s="22">
        <v>8.0</v>
      </c>
      <c r="D179" s="23"/>
      <c r="E179" s="24"/>
      <c r="F179" s="21">
        <v>60.0</v>
      </c>
      <c r="G179" s="71">
        <v>8.0</v>
      </c>
      <c r="H179" s="23"/>
      <c r="I179" s="24"/>
      <c r="J179" s="21">
        <v>60.0</v>
      </c>
      <c r="K179" s="22">
        <v>8.0</v>
      </c>
      <c r="L179" s="46"/>
      <c r="M179" s="24"/>
      <c r="N179" s="46"/>
      <c r="O179" s="24"/>
    </row>
    <row r="180">
      <c r="A180" s="28"/>
      <c r="B180" s="46"/>
      <c r="C180" s="54"/>
      <c r="D180" s="46"/>
      <c r="E180" s="54"/>
      <c r="F180" s="46"/>
      <c r="G180" s="54"/>
      <c r="H180" s="1"/>
      <c r="I180" s="26"/>
      <c r="J180" s="28"/>
      <c r="K180" s="54"/>
      <c r="L180" s="21"/>
      <c r="M180" s="24"/>
      <c r="N180" s="21"/>
      <c r="O180" s="24"/>
    </row>
    <row r="181">
      <c r="A181" s="28"/>
      <c r="B181" s="13"/>
      <c r="C181" s="34"/>
      <c r="D181" s="21"/>
      <c r="E181" s="34"/>
      <c r="F181" s="13"/>
      <c r="G181" s="24"/>
      <c r="H181" s="28"/>
      <c r="I181" s="34"/>
      <c r="J181" s="13"/>
      <c r="K181" s="24"/>
      <c r="L181" s="31"/>
      <c r="M181" s="24"/>
      <c r="N181" s="31"/>
      <c r="O181" s="24"/>
    </row>
    <row r="182">
      <c r="A182" s="28"/>
      <c r="B182" s="35" t="s">
        <v>25</v>
      </c>
      <c r="C182" s="55">
        <f>C177*B177 + B178*C178 + B179*C179 + B180*C180 + B181*C181</f>
        <v>1320</v>
      </c>
      <c r="D182" s="35" t="s">
        <v>25</v>
      </c>
      <c r="E182" s="55" t="str">
        <f>E177*D177 + D178*E178 + D179*E179 + D180*E180 + D181*E181</f>
        <v>#VALUE!</v>
      </c>
      <c r="F182" s="35" t="s">
        <v>25</v>
      </c>
      <c r="G182" s="55">
        <f>G177*F177 + F178*G178 + F179*G179 + F180*G180 + F181*G181</f>
        <v>1360</v>
      </c>
      <c r="H182" s="35" t="s">
        <v>25</v>
      </c>
      <c r="I182" s="56">
        <f>I177*H177 + H178*I178 + H179*I179 + H180*I180 + H181*I181</f>
        <v>0</v>
      </c>
      <c r="J182" s="35" t="s">
        <v>25</v>
      </c>
      <c r="K182" s="36">
        <f>K177*J177 + J178*K178 + J179*K179 + J180*K180 + J181*K181</f>
        <v>1320</v>
      </c>
      <c r="L182" s="57" t="s">
        <v>25</v>
      </c>
      <c r="M182" s="58">
        <f>M177*L177 + L178*M178 + L179*M179 + L180*M180 + L181*M181</f>
        <v>0</v>
      </c>
      <c r="N182" s="57" t="s">
        <v>25</v>
      </c>
      <c r="O182" s="58">
        <f>O177*N177 + N178*O178 + N179*O179 + N180*O180 + N181*O181</f>
        <v>0</v>
      </c>
    </row>
    <row r="183">
      <c r="A183" s="28"/>
      <c r="B183" s="39" t="s">
        <v>26</v>
      </c>
      <c r="C183" s="40">
        <f>(B177*C177 + B178*C178 + B179*C179 + B180*C180 + B181*C181)/SUM(C177:C181)</f>
        <v>55</v>
      </c>
      <c r="D183" s="59" t="s">
        <v>26</v>
      </c>
      <c r="E183" s="40" t="str">
        <f>(D177*E177 + D178*E178 + D179*E179 + D180*E180 + D181*E181)/SUM(E177:E181)</f>
        <v>#VALUE!</v>
      </c>
      <c r="F183" s="39" t="s">
        <v>26</v>
      </c>
      <c r="G183" s="40">
        <f>(F177*G177 + F178*G178 + F179*G179 + F180*G180 + F181*G181)/SUM(G177:G181)</f>
        <v>56.66666667</v>
      </c>
      <c r="H183" s="59" t="s">
        <v>26</v>
      </c>
      <c r="I183" s="40" t="str">
        <f>(H177*I177 + H178*I178 + H179*I179 + H180*I180 + H181*I181)/SUM(I177:I181)</f>
        <v>#DIV/0!</v>
      </c>
      <c r="J183" s="39" t="s">
        <v>26</v>
      </c>
      <c r="K183" s="40">
        <f>(J177*K177 + J178*K178 + J179*K179 + J180*K180 + J181*K181)/SUM(K177:K181)</f>
        <v>55</v>
      </c>
      <c r="L183" s="59" t="s">
        <v>26</v>
      </c>
      <c r="M183" s="40" t="str">
        <f>(L177*M177 + L178*M178 + L179*M179 + L180*M180 + L181*M181)/SUM(M181)</f>
        <v>#DIV/0!</v>
      </c>
      <c r="N183" s="59" t="s">
        <v>26</v>
      </c>
      <c r="O183" s="40" t="str">
        <f>(N177*O177 + N178*O178 + N179*O179 + N180*O180 + N181*O181)/SUM(O181)</f>
        <v>#DIV/0!</v>
      </c>
    </row>
    <row r="184">
      <c r="A184" s="28"/>
      <c r="B184" s="28"/>
      <c r="C184" s="30" t="s">
        <v>49</v>
      </c>
      <c r="D184" s="28" t="s">
        <v>50</v>
      </c>
      <c r="E184" s="30" t="s">
        <v>49</v>
      </c>
      <c r="F184" s="28" t="s">
        <v>51</v>
      </c>
      <c r="G184" s="30" t="s">
        <v>49</v>
      </c>
      <c r="H184" s="28"/>
      <c r="I184" s="30" t="s">
        <v>49</v>
      </c>
      <c r="J184" s="28"/>
      <c r="K184" s="30" t="s">
        <v>49</v>
      </c>
      <c r="L184" s="28"/>
      <c r="M184" s="60" t="s">
        <v>49</v>
      </c>
      <c r="N184" s="28"/>
      <c r="O184" s="60" t="s">
        <v>49</v>
      </c>
    </row>
    <row r="185">
      <c r="A185" s="28"/>
      <c r="B185" s="52" t="s">
        <v>52</v>
      </c>
      <c r="C185" s="60"/>
      <c r="D185" s="23"/>
      <c r="E185" s="61"/>
      <c r="F185" s="62" t="s">
        <v>52</v>
      </c>
      <c r="G185" s="61"/>
      <c r="H185" s="30"/>
      <c r="I185" s="60"/>
      <c r="J185" s="62" t="s">
        <v>52</v>
      </c>
      <c r="K185" s="60"/>
      <c r="L185" s="27"/>
      <c r="M185" s="60"/>
      <c r="N185" s="27"/>
      <c r="O185" s="60"/>
    </row>
    <row r="186">
      <c r="A186" s="28"/>
      <c r="B186" s="52" t="s">
        <v>53</v>
      </c>
      <c r="C186" s="60"/>
      <c r="D186" s="23"/>
      <c r="E186" s="60"/>
      <c r="F186" s="53" t="s">
        <v>53</v>
      </c>
      <c r="G186" s="60"/>
      <c r="H186" s="30"/>
      <c r="I186" s="60"/>
      <c r="J186" s="53" t="s">
        <v>53</v>
      </c>
      <c r="K186" s="60"/>
      <c r="L186" s="27"/>
      <c r="M186" s="60"/>
      <c r="N186" s="27"/>
      <c r="O186" s="60"/>
    </row>
    <row r="187">
      <c r="A187" s="37"/>
      <c r="B187" s="32" t="s">
        <v>54</v>
      </c>
      <c r="C187" s="60"/>
      <c r="D187" s="23"/>
      <c r="E187" s="60"/>
      <c r="F187" s="23" t="s">
        <v>54</v>
      </c>
      <c r="G187" s="60"/>
      <c r="H187" s="30"/>
      <c r="I187" s="60"/>
      <c r="J187" s="30" t="s">
        <v>54</v>
      </c>
      <c r="K187" s="60"/>
      <c r="L187" s="1"/>
      <c r="M187" s="60"/>
      <c r="N187" s="30"/>
      <c r="O187" s="60"/>
    </row>
    <row r="188">
      <c r="A188" s="37"/>
      <c r="B188" s="28"/>
      <c r="C188" s="1"/>
      <c r="D188" s="28"/>
      <c r="E188" s="1"/>
      <c r="F188" s="28"/>
      <c r="G188" s="63"/>
      <c r="H188" s="30"/>
      <c r="I188" s="30"/>
      <c r="J188" s="28"/>
      <c r="K188" s="60"/>
      <c r="L188" s="30"/>
      <c r="M188" s="60"/>
      <c r="N188" s="30"/>
      <c r="O188" s="60"/>
    </row>
    <row r="189">
      <c r="A189" s="37"/>
      <c r="B189" s="28"/>
      <c r="C189" s="1"/>
      <c r="D189" s="28"/>
      <c r="E189" s="1"/>
      <c r="F189" s="28"/>
      <c r="G189" s="60"/>
      <c r="H189" s="28"/>
      <c r="I189" s="30"/>
      <c r="J189" s="28"/>
      <c r="K189" s="60"/>
      <c r="L189" s="30"/>
      <c r="M189" s="60"/>
      <c r="N189" s="30"/>
      <c r="O189" s="60"/>
    </row>
    <row r="190">
      <c r="A190" s="37"/>
      <c r="B190" s="28"/>
      <c r="C190" s="1"/>
      <c r="D190" s="28"/>
      <c r="E190" s="1"/>
      <c r="F190" s="28"/>
      <c r="G190" s="60"/>
      <c r="H190" s="30"/>
      <c r="I190" s="30"/>
      <c r="J190" s="37"/>
      <c r="K190" s="60"/>
      <c r="L190" s="30"/>
      <c r="M190" s="60"/>
      <c r="N190" s="30"/>
      <c r="O190" s="60"/>
    </row>
    <row r="191">
      <c r="A191" s="64"/>
      <c r="B191" s="65"/>
      <c r="C191" s="66"/>
      <c r="D191" s="65"/>
      <c r="E191" s="66"/>
      <c r="F191" s="64"/>
      <c r="G191" s="67"/>
      <c r="H191" s="66"/>
      <c r="I191" s="66"/>
      <c r="J191" s="64"/>
      <c r="K191" s="67"/>
      <c r="L191" s="66"/>
      <c r="M191" s="67"/>
      <c r="N191" s="66"/>
      <c r="O191" s="67"/>
    </row>
    <row r="193">
      <c r="A193" s="2" t="s">
        <v>2</v>
      </c>
      <c r="B193" s="3" t="s">
        <v>3</v>
      </c>
      <c r="C193" s="4">
        <f>O155+1</f>
        <v>45754</v>
      </c>
      <c r="D193" s="5" t="s">
        <v>4</v>
      </c>
      <c r="E193" s="6">
        <f>C193+1</f>
        <v>45755</v>
      </c>
      <c r="F193" s="3" t="s">
        <v>5</v>
      </c>
      <c r="G193" s="6">
        <f>E193+1</f>
        <v>45756</v>
      </c>
      <c r="H193" s="3" t="s">
        <v>6</v>
      </c>
      <c r="I193" s="6">
        <f>G193+1</f>
        <v>45757</v>
      </c>
      <c r="J193" s="3" t="s">
        <v>7</v>
      </c>
      <c r="K193" s="6">
        <f>I193+1</f>
        <v>45758</v>
      </c>
      <c r="L193" s="7" t="s">
        <v>8</v>
      </c>
      <c r="M193" s="8">
        <f>K193+1</f>
        <v>45759</v>
      </c>
      <c r="N193" s="9" t="s">
        <v>9</v>
      </c>
      <c r="O193" s="8">
        <f>M193+1</f>
        <v>45760</v>
      </c>
    </row>
    <row r="194">
      <c r="A194" s="10">
        <f>A156+1</f>
        <v>6</v>
      </c>
      <c r="B194" s="11" t="s">
        <v>10</v>
      </c>
      <c r="C194" s="12" t="s">
        <v>11</v>
      </c>
      <c r="D194" s="11" t="s">
        <v>10</v>
      </c>
      <c r="E194" s="12" t="s">
        <v>11</v>
      </c>
      <c r="F194" s="11" t="s">
        <v>10</v>
      </c>
      <c r="G194" s="12" t="s">
        <v>11</v>
      </c>
      <c r="H194" s="11" t="s">
        <v>10</v>
      </c>
      <c r="I194" s="12" t="s">
        <v>11</v>
      </c>
      <c r="J194" s="11" t="s">
        <v>10</v>
      </c>
      <c r="K194" s="12" t="s">
        <v>11</v>
      </c>
      <c r="L194" s="11" t="s">
        <v>10</v>
      </c>
      <c r="M194" s="12" t="s">
        <v>11</v>
      </c>
      <c r="N194" s="11" t="s">
        <v>10</v>
      </c>
      <c r="O194" s="12" t="s">
        <v>11</v>
      </c>
    </row>
    <row r="195">
      <c r="A195" s="13"/>
      <c r="B195" s="14"/>
      <c r="C195" s="15"/>
      <c r="D195" s="14"/>
      <c r="E195" s="15"/>
      <c r="F195" s="14"/>
      <c r="G195" s="15"/>
      <c r="H195" s="14"/>
      <c r="I195" s="15"/>
      <c r="J195" s="14"/>
      <c r="K195" s="15"/>
      <c r="L195" s="14"/>
      <c r="M195" s="15"/>
      <c r="N195" s="14"/>
      <c r="O195" s="15"/>
    </row>
    <row r="196">
      <c r="A196" s="13" t="s">
        <v>12</v>
      </c>
      <c r="B196" s="42" t="s">
        <v>63</v>
      </c>
      <c r="C196" s="17"/>
      <c r="D196" s="18" t="s">
        <v>14</v>
      </c>
      <c r="E196" s="17"/>
      <c r="F196" s="42" t="s">
        <v>63</v>
      </c>
      <c r="G196" s="17"/>
      <c r="H196" s="18" t="s">
        <v>15</v>
      </c>
      <c r="I196" s="17"/>
      <c r="J196" s="42" t="s">
        <v>63</v>
      </c>
      <c r="K196" s="17"/>
      <c r="L196" s="18"/>
      <c r="M196" s="17"/>
      <c r="N196" s="20" t="s">
        <v>17</v>
      </c>
      <c r="O196" s="17"/>
    </row>
    <row r="197">
      <c r="A197" s="13"/>
      <c r="B197" s="46">
        <v>55.0</v>
      </c>
      <c r="C197" s="22">
        <v>10.0</v>
      </c>
      <c r="D197" s="23" t="s">
        <v>18</v>
      </c>
      <c r="E197" s="24"/>
      <c r="F197" s="46">
        <v>60.0</v>
      </c>
      <c r="G197" s="22">
        <v>10.0</v>
      </c>
      <c r="H197" s="23"/>
      <c r="I197" s="26"/>
      <c r="J197" s="46">
        <v>65.0</v>
      </c>
      <c r="K197" s="22">
        <v>10.0</v>
      </c>
      <c r="L197" s="23"/>
      <c r="M197" s="24"/>
      <c r="N197" s="27"/>
      <c r="O197" s="24"/>
    </row>
    <row r="198">
      <c r="A198" s="28" t="s">
        <v>20</v>
      </c>
      <c r="B198" s="46">
        <v>60.0</v>
      </c>
      <c r="C198" s="22">
        <v>10.0</v>
      </c>
      <c r="D198" s="23" t="s">
        <v>21</v>
      </c>
      <c r="E198" s="26"/>
      <c r="F198" s="46">
        <v>65.0</v>
      </c>
      <c r="G198" s="22">
        <v>10.0</v>
      </c>
      <c r="H198" s="23"/>
      <c r="I198" s="26"/>
      <c r="J198" s="46">
        <v>70.0</v>
      </c>
      <c r="K198" s="22">
        <v>10.0</v>
      </c>
      <c r="L198" s="23"/>
      <c r="M198" s="24"/>
      <c r="N198" s="28"/>
      <c r="O198" s="24"/>
    </row>
    <row r="199">
      <c r="A199" s="29" t="s">
        <v>22</v>
      </c>
      <c r="B199" s="46">
        <v>65.0</v>
      </c>
      <c r="C199" s="22">
        <v>10.0</v>
      </c>
      <c r="D199" s="1" t="s">
        <v>64</v>
      </c>
      <c r="E199" s="54" t="s">
        <v>65</v>
      </c>
      <c r="F199" s="46">
        <v>70.0</v>
      </c>
      <c r="G199" s="22">
        <v>10.0</v>
      </c>
      <c r="H199" s="23"/>
      <c r="I199" s="26"/>
      <c r="J199" s="46">
        <v>72.5</v>
      </c>
      <c r="K199" s="22">
        <v>10.0</v>
      </c>
      <c r="L199" s="23"/>
      <c r="M199" s="24"/>
      <c r="N199" s="23"/>
      <c r="O199" s="24"/>
    </row>
    <row r="200">
      <c r="A200" s="28" t="s">
        <v>23</v>
      </c>
      <c r="B200" s="46"/>
      <c r="C200" s="22"/>
      <c r="D200" s="23"/>
      <c r="E200" s="26"/>
      <c r="F200" s="47"/>
      <c r="G200" s="22"/>
      <c r="H200" s="31"/>
      <c r="I200" s="24"/>
      <c r="J200" s="47"/>
      <c r="K200" s="22"/>
      <c r="L200" s="23"/>
      <c r="M200" s="26"/>
      <c r="N200" s="32"/>
      <c r="O200" s="26"/>
    </row>
    <row r="201">
      <c r="A201" s="13"/>
      <c r="B201" s="33"/>
      <c r="C201" s="26"/>
      <c r="D201" s="13"/>
      <c r="E201" s="24"/>
      <c r="F201" s="33"/>
      <c r="G201" s="26"/>
      <c r="H201" s="13"/>
      <c r="I201" s="34"/>
      <c r="J201" s="13"/>
      <c r="K201" s="24"/>
      <c r="L201" s="13"/>
      <c r="M201" s="24"/>
      <c r="N201" s="13"/>
      <c r="O201" s="24"/>
    </row>
    <row r="202">
      <c r="A202" s="28" t="s">
        <v>24</v>
      </c>
      <c r="B202" s="35" t="s">
        <v>25</v>
      </c>
      <c r="C202" s="36">
        <f>C197*B197 + B198*C198 + B199*C199 + B200*C200 + B201*C201</f>
        <v>1800</v>
      </c>
      <c r="D202" s="35" t="s">
        <v>25</v>
      </c>
      <c r="E202" s="36" t="str">
        <f>E197*D197 + D198*E198 + D199*E199 + D200*E200 + D201*E201</f>
        <v>#VALUE!</v>
      </c>
      <c r="F202" s="35" t="s">
        <v>25</v>
      </c>
      <c r="G202" s="36">
        <f>G197*F197 + F198*G198 + F199*G199 + F200*G200 + F201*G201</f>
        <v>1950</v>
      </c>
      <c r="H202" s="35" t="s">
        <v>25</v>
      </c>
      <c r="I202" s="36">
        <f>I197*H197 + H198*I198 + H199*I199 + H200*I200 + H201*I201</f>
        <v>0</v>
      </c>
      <c r="J202" s="35" t="s">
        <v>25</v>
      </c>
      <c r="K202" s="36">
        <f>K197*J197 + J198*K198 + J199*K199 + J200*K200 + J201*K201</f>
        <v>2075</v>
      </c>
      <c r="L202" s="35" t="s">
        <v>25</v>
      </c>
      <c r="M202" s="36">
        <f>M197*L197 + L198*M198 + L199*M199 + L200*M200 + L201*M201</f>
        <v>0</v>
      </c>
      <c r="N202" s="35" t="s">
        <v>25</v>
      </c>
      <c r="O202" s="36">
        <f>O197*N197 + N198*O198 + N199*O199 + N200*O200 + N201*O201</f>
        <v>0</v>
      </c>
    </row>
    <row r="203">
      <c r="A203" s="37"/>
      <c r="B203" s="13" t="s">
        <v>26</v>
      </c>
      <c r="C203" s="38">
        <f>(B197*C197 + B198*C198 + B199*C199 + B200*C200 + B201*C201)/SUM(C197:C201)</f>
        <v>60</v>
      </c>
      <c r="D203" s="39" t="s">
        <v>26</v>
      </c>
      <c r="E203" s="40" t="str">
        <f>(D197*E197 + D198*E198 + D199*E199 + D200*E200 + D201*E201)/SUM(E197:E201)</f>
        <v>#VALUE!</v>
      </c>
      <c r="F203" s="13" t="s">
        <v>26</v>
      </c>
      <c r="G203" s="40">
        <f>(F197*G197 + F198*G198 + F199*G199 + F200*G200 + F201*G201)/SUM(G197:G201)</f>
        <v>65</v>
      </c>
      <c r="H203" s="13" t="s">
        <v>26</v>
      </c>
      <c r="I203" s="40" t="str">
        <f>(H197*I197 + H198*I198 + H199*I199 + H200*I200 + H201*I201)/SUM(I197:I201)</f>
        <v>#DIV/0!</v>
      </c>
      <c r="J203" s="39" t="s">
        <v>26</v>
      </c>
      <c r="K203" s="38">
        <f>(J197*K197 + J198*K198 + J199*K199 + J200*K200 + J201*K201)/SUM(K197:K201)</f>
        <v>69.16666667</v>
      </c>
      <c r="L203" s="13" t="s">
        <v>26</v>
      </c>
      <c r="M203" s="40" t="str">
        <f>(L197*M197 + L198*M198 + L199*M199 + L200*M200 + L201*M201)/SUM(M197:M201)</f>
        <v>#DIV/0!</v>
      </c>
      <c r="N203" s="13" t="s">
        <v>26</v>
      </c>
      <c r="O203" s="40" t="str">
        <f>(N197*O197 + N198*O198 + N199*O199 + N200*O200 + N201*O201)/SUM(O197:O201)</f>
        <v>#DIV/0!</v>
      </c>
    </row>
    <row r="204">
      <c r="A204" s="28" t="s">
        <v>27</v>
      </c>
      <c r="B204" s="11" t="s">
        <v>10</v>
      </c>
      <c r="C204" s="12" t="s">
        <v>11</v>
      </c>
      <c r="D204" s="11" t="s">
        <v>10</v>
      </c>
      <c r="E204" s="12" t="s">
        <v>11</v>
      </c>
      <c r="F204" s="11" t="s">
        <v>10</v>
      </c>
      <c r="G204" s="12" t="s">
        <v>11</v>
      </c>
      <c r="H204" s="11" t="s">
        <v>10</v>
      </c>
      <c r="I204" s="12" t="s">
        <v>11</v>
      </c>
      <c r="J204" s="11" t="s">
        <v>10</v>
      </c>
      <c r="K204" s="12" t="s">
        <v>11</v>
      </c>
      <c r="L204" s="11" t="s">
        <v>10</v>
      </c>
      <c r="M204" s="12" t="s">
        <v>11</v>
      </c>
      <c r="N204" s="11" t="s">
        <v>10</v>
      </c>
      <c r="O204" s="12" t="s">
        <v>11</v>
      </c>
    </row>
    <row r="205">
      <c r="A205" s="41" t="s">
        <v>28</v>
      </c>
      <c r="B205" s="70" t="s">
        <v>66</v>
      </c>
      <c r="C205" s="17"/>
      <c r="D205" s="43" t="s">
        <v>30</v>
      </c>
      <c r="E205" s="44" t="s">
        <v>31</v>
      </c>
      <c r="F205" s="45" t="s">
        <v>67</v>
      </c>
      <c r="G205" s="17"/>
      <c r="H205" s="19" t="s">
        <v>33</v>
      </c>
      <c r="I205" s="44"/>
      <c r="J205" s="42" t="s">
        <v>68</v>
      </c>
      <c r="K205" s="17"/>
      <c r="L205" s="43" t="s">
        <v>30</v>
      </c>
      <c r="M205" s="44" t="s">
        <v>31</v>
      </c>
      <c r="N205" s="42"/>
      <c r="O205" s="44"/>
    </row>
    <row r="206">
      <c r="A206" s="28"/>
      <c r="B206" s="46">
        <v>65.0</v>
      </c>
      <c r="C206" s="22">
        <v>10.0</v>
      </c>
      <c r="D206" s="1" t="s">
        <v>35</v>
      </c>
      <c r="E206" s="24" t="s">
        <v>36</v>
      </c>
      <c r="F206" s="47">
        <v>45.0</v>
      </c>
      <c r="G206" s="22">
        <v>8.0</v>
      </c>
      <c r="H206" s="23"/>
      <c r="I206" s="24"/>
      <c r="J206" s="46">
        <v>55.0</v>
      </c>
      <c r="K206" s="22">
        <v>8.0</v>
      </c>
      <c r="L206" s="1" t="s">
        <v>35</v>
      </c>
      <c r="M206" s="24" t="s">
        <v>36</v>
      </c>
      <c r="N206" s="46"/>
      <c r="O206" s="26"/>
    </row>
    <row r="207">
      <c r="A207" s="28" t="s">
        <v>37</v>
      </c>
      <c r="B207" s="46">
        <v>70.0</v>
      </c>
      <c r="C207" s="22">
        <v>10.0</v>
      </c>
      <c r="D207" s="1" t="s">
        <v>35</v>
      </c>
      <c r="E207" s="26" t="s">
        <v>38</v>
      </c>
      <c r="F207" s="47">
        <v>50.0</v>
      </c>
      <c r="G207" s="22">
        <v>8.0</v>
      </c>
      <c r="H207" s="23"/>
      <c r="I207" s="24"/>
      <c r="J207" s="46">
        <v>60.0</v>
      </c>
      <c r="K207" s="22">
        <v>8.0</v>
      </c>
      <c r="L207" s="1" t="s">
        <v>35</v>
      </c>
      <c r="M207" s="26" t="s">
        <v>38</v>
      </c>
      <c r="N207" s="46"/>
      <c r="O207" s="26"/>
    </row>
    <row r="208">
      <c r="A208" s="28" t="s">
        <v>39</v>
      </c>
      <c r="B208" s="46">
        <v>72.5</v>
      </c>
      <c r="C208" s="22">
        <v>10.0</v>
      </c>
      <c r="D208" s="1" t="s">
        <v>40</v>
      </c>
      <c r="E208" s="24" t="s">
        <v>38</v>
      </c>
      <c r="F208" s="47">
        <v>55.0</v>
      </c>
      <c r="G208" s="22">
        <v>8.0</v>
      </c>
      <c r="H208" s="23"/>
      <c r="I208" s="24"/>
      <c r="J208" s="46">
        <v>65.0</v>
      </c>
      <c r="K208" s="22">
        <v>8.0</v>
      </c>
      <c r="L208" s="1" t="s">
        <v>40</v>
      </c>
      <c r="M208" s="24" t="s">
        <v>38</v>
      </c>
      <c r="N208" s="46"/>
      <c r="O208" s="26"/>
    </row>
    <row r="209">
      <c r="A209" s="28"/>
      <c r="B209" s="46">
        <v>75.0</v>
      </c>
      <c r="C209" s="22">
        <v>10.0</v>
      </c>
      <c r="D209" s="1" t="s">
        <v>35</v>
      </c>
      <c r="E209" s="26" t="s">
        <v>38</v>
      </c>
      <c r="F209" s="47">
        <v>60.0</v>
      </c>
      <c r="G209" s="22">
        <v>8.0</v>
      </c>
      <c r="H209" s="23"/>
      <c r="I209" s="24"/>
      <c r="J209" s="47"/>
      <c r="K209" s="22"/>
      <c r="L209" s="1" t="s">
        <v>35</v>
      </c>
      <c r="M209" s="26" t="s">
        <v>38</v>
      </c>
      <c r="N209" s="46"/>
      <c r="O209" s="26"/>
    </row>
    <row r="210">
      <c r="A210" s="28" t="s">
        <v>41</v>
      </c>
      <c r="B210" s="13"/>
      <c r="C210" s="24"/>
      <c r="D210" s="1" t="s">
        <v>35</v>
      </c>
      <c r="E210" s="24" t="s">
        <v>42</v>
      </c>
      <c r="F210" s="31"/>
      <c r="G210" s="24"/>
      <c r="H210" s="23"/>
      <c r="I210" s="24"/>
      <c r="J210" s="31"/>
      <c r="K210" s="24"/>
      <c r="L210" s="1" t="s">
        <v>35</v>
      </c>
      <c r="M210" s="24" t="s">
        <v>42</v>
      </c>
      <c r="N210" s="32"/>
      <c r="O210" s="24"/>
    </row>
    <row r="211">
      <c r="A211" s="28" t="s">
        <v>43</v>
      </c>
      <c r="B211" s="32"/>
      <c r="C211" s="26"/>
      <c r="D211" s="32"/>
      <c r="E211" s="26"/>
      <c r="F211" s="32"/>
      <c r="G211" s="26"/>
      <c r="H211" s="28"/>
      <c r="I211" s="24"/>
      <c r="J211" s="13"/>
      <c r="K211" s="24"/>
      <c r="L211" s="32"/>
      <c r="M211" s="26"/>
      <c r="N211" s="32"/>
      <c r="O211" s="26"/>
    </row>
    <row r="212">
      <c r="A212" s="28"/>
      <c r="B212" s="35" t="s">
        <v>25</v>
      </c>
      <c r="C212" s="36">
        <f>C206*B206 + B207*C207 + B208*C208 + B209*C209 + B211*C211</f>
        <v>2825</v>
      </c>
      <c r="D212" s="35" t="s">
        <v>25</v>
      </c>
      <c r="E212" s="36" t="str">
        <f>E206*D206 + D207*E207 + D208*E208 + D209*E209 + D211*E211</f>
        <v>#VALUE!</v>
      </c>
      <c r="F212" s="35" t="s">
        <v>25</v>
      </c>
      <c r="G212" s="36">
        <f>G206*F206 + F207*G207 + F208*G208 + F209*G209 + F211*G211</f>
        <v>1680</v>
      </c>
      <c r="H212" s="35" t="s">
        <v>25</v>
      </c>
      <c r="I212" s="36">
        <f>I206*H206 + H207*I207 + H208*I208 + H209*I209 + H211*I211</f>
        <v>0</v>
      </c>
      <c r="J212" s="35" t="s">
        <v>25</v>
      </c>
      <c r="K212" s="36">
        <f>K206*J206 + J207*K207 + J208*K208 + J209*K209 + J211*K211</f>
        <v>1440</v>
      </c>
      <c r="L212" s="35" t="s">
        <v>25</v>
      </c>
      <c r="M212" s="36" t="str">
        <f>M206*L206 + L207*M207 + L208*M208 + L209*M209 + L211*M211</f>
        <v>#VALUE!</v>
      </c>
      <c r="N212" s="35" t="s">
        <v>25</v>
      </c>
      <c r="O212" s="36">
        <f>O206*N206 + N207*O207 + N208*O208 + N209*O209 + N211*O211</f>
        <v>0</v>
      </c>
    </row>
    <row r="213">
      <c r="A213" s="28" t="s">
        <v>69</v>
      </c>
      <c r="B213" s="39" t="s">
        <v>26</v>
      </c>
      <c r="C213" s="38">
        <f>(B207*C207 + B208*C208 + B209*C209 + B210*C210 + B211*C211)/SUM(C207:C211)</f>
        <v>72.5</v>
      </c>
      <c r="D213" s="39" t="s">
        <v>26</v>
      </c>
      <c r="E213" s="40" t="str">
        <f>(D207*E207 + D208*E208 + D209*E209 + D210*E210 + D211*E211)/SUM(E207:E211)</f>
        <v>#VALUE!</v>
      </c>
      <c r="F213" s="39" t="s">
        <v>26</v>
      </c>
      <c r="G213" s="38">
        <f>(F207*G207 + F208*G208 + F209*G209 + F210*G210 + F211*G211)/SUM(G207:G211)</f>
        <v>55</v>
      </c>
      <c r="H213" s="39" t="s">
        <v>26</v>
      </c>
      <c r="I213" s="40" t="str">
        <f>(H206*I206 + H207*I207 + H208*I208 + H209*I209 + H211*I211)/SUM(I206:I211)</f>
        <v>#DIV/0!</v>
      </c>
      <c r="J213" s="39" t="s">
        <v>26</v>
      </c>
      <c r="K213" s="40">
        <f>(J207*K207 + J208*K208 + J209*K209 + J210*K210 + J211*K211)/SUM(K207:K211)</f>
        <v>62.5</v>
      </c>
      <c r="L213" s="39" t="s">
        <v>26</v>
      </c>
      <c r="M213" s="40" t="str">
        <f>(L207*M207 + L208*M208 + L209*M209 + L210*M210 + L211*M211)/SUM(M207:M211)</f>
        <v>#VALUE!</v>
      </c>
      <c r="N213" s="39" t="s">
        <v>26</v>
      </c>
      <c r="O213" s="40" t="str">
        <f>(N207*O207 + N208*O208 + N209*O209 + N210*O210 + N211*O211)/SUM(O207:O211)</f>
        <v>#DIV/0!</v>
      </c>
    </row>
    <row r="214">
      <c r="A214" s="28" t="s">
        <v>70</v>
      </c>
      <c r="B214" s="42" t="s">
        <v>71</v>
      </c>
      <c r="C214" s="17"/>
      <c r="D214" s="18"/>
      <c r="E214" s="17"/>
      <c r="F214" s="42" t="s">
        <v>71</v>
      </c>
      <c r="G214" s="17"/>
      <c r="H214" s="43"/>
      <c r="I214" s="17"/>
      <c r="J214" s="42" t="s">
        <v>71</v>
      </c>
      <c r="K214" s="17"/>
      <c r="L214" s="49"/>
      <c r="M214" s="50"/>
      <c r="N214" s="49"/>
      <c r="O214" s="50"/>
    </row>
    <row r="215">
      <c r="A215" s="28"/>
      <c r="B215" s="46">
        <v>55.0</v>
      </c>
      <c r="C215" s="22">
        <v>8.0</v>
      </c>
      <c r="D215" s="51" t="s">
        <v>46</v>
      </c>
      <c r="E215" s="24"/>
      <c r="F215" s="46">
        <v>60.0</v>
      </c>
      <c r="G215" s="71">
        <v>8.0</v>
      </c>
      <c r="H215" s="23"/>
      <c r="I215" s="24"/>
      <c r="J215" s="46">
        <v>60.0</v>
      </c>
      <c r="K215" s="22">
        <v>8.0</v>
      </c>
      <c r="L215" s="21"/>
      <c r="M215" s="24"/>
      <c r="N215" s="21"/>
      <c r="O215" s="24"/>
    </row>
    <row r="216">
      <c r="A216" s="28"/>
      <c r="B216" s="46">
        <v>60.0</v>
      </c>
      <c r="C216" s="22">
        <v>8.0</v>
      </c>
      <c r="D216" s="23"/>
      <c r="E216" s="26"/>
      <c r="F216" s="46">
        <v>65.0</v>
      </c>
      <c r="G216" s="22">
        <v>8.0</v>
      </c>
      <c r="H216" s="23"/>
      <c r="I216" s="24"/>
      <c r="J216" s="46">
        <v>65.0</v>
      </c>
      <c r="K216" s="22">
        <v>8.0</v>
      </c>
      <c r="L216" s="21"/>
      <c r="M216" s="26"/>
      <c r="N216" s="21"/>
      <c r="O216" s="26"/>
    </row>
    <row r="217">
      <c r="A217" s="28"/>
      <c r="B217" s="46">
        <v>65.0</v>
      </c>
      <c r="C217" s="22">
        <v>8.0</v>
      </c>
      <c r="D217" s="23"/>
      <c r="E217" s="24"/>
      <c r="F217" s="46">
        <v>67.5</v>
      </c>
      <c r="G217" s="71">
        <v>8.0</v>
      </c>
      <c r="H217" s="23"/>
      <c r="I217" s="24"/>
      <c r="J217" s="46">
        <v>70.0</v>
      </c>
      <c r="K217" s="22">
        <v>8.0</v>
      </c>
      <c r="L217" s="46"/>
      <c r="M217" s="24"/>
      <c r="N217" s="46"/>
      <c r="O217" s="24"/>
    </row>
    <row r="218">
      <c r="A218" s="28"/>
      <c r="B218" s="46"/>
      <c r="C218" s="54"/>
      <c r="D218" s="46"/>
      <c r="E218" s="54"/>
      <c r="F218" s="46"/>
      <c r="G218" s="54"/>
      <c r="H218" s="1"/>
      <c r="I218" s="26"/>
      <c r="J218" s="28"/>
      <c r="K218" s="54"/>
      <c r="L218" s="21"/>
      <c r="M218" s="24"/>
      <c r="N218" s="21"/>
      <c r="O218" s="24"/>
    </row>
    <row r="219">
      <c r="A219" s="28"/>
      <c r="B219" s="13"/>
      <c r="C219" s="34"/>
      <c r="D219" s="21"/>
      <c r="E219" s="34"/>
      <c r="F219" s="13"/>
      <c r="G219" s="24"/>
      <c r="H219" s="28"/>
      <c r="I219" s="34"/>
      <c r="J219" s="13"/>
      <c r="K219" s="24"/>
      <c r="L219" s="31"/>
      <c r="M219" s="24"/>
      <c r="N219" s="31"/>
      <c r="O219" s="24"/>
    </row>
    <row r="220">
      <c r="A220" s="28"/>
      <c r="B220" s="35" t="s">
        <v>25</v>
      </c>
      <c r="C220" s="55">
        <f>C215*B215 + B216*C216 + B217*C217 + B218*C218 + B219*C219</f>
        <v>1440</v>
      </c>
      <c r="D220" s="35" t="s">
        <v>25</v>
      </c>
      <c r="E220" s="55" t="str">
        <f>E215*D215 + D216*E216 + D217*E217 + D218*E218 + D219*E219</f>
        <v>#VALUE!</v>
      </c>
      <c r="F220" s="35" t="s">
        <v>25</v>
      </c>
      <c r="G220" s="55">
        <f>G215*F215 + F216*G216 + F217*G217 + F218*G218 + F219*G219</f>
        <v>1540</v>
      </c>
      <c r="H220" s="35" t="s">
        <v>25</v>
      </c>
      <c r="I220" s="56">
        <f>I215*H215 + H216*I216 + H217*I217 + H218*I218 + H219*I219</f>
        <v>0</v>
      </c>
      <c r="J220" s="35" t="s">
        <v>25</v>
      </c>
      <c r="K220" s="36">
        <f>K215*J215 + J216*K216 + J217*K217 + J218*K218 + J219*K219</f>
        <v>1560</v>
      </c>
      <c r="L220" s="57" t="s">
        <v>25</v>
      </c>
      <c r="M220" s="58">
        <f>M215*L215 + L216*M216 + L217*M217 + L218*M218 + L219*M219</f>
        <v>0</v>
      </c>
      <c r="N220" s="57" t="s">
        <v>25</v>
      </c>
      <c r="O220" s="58">
        <f>O215*N215 + N216*O216 + N217*O217 + N218*O218 + N219*O219</f>
        <v>0</v>
      </c>
    </row>
    <row r="221">
      <c r="A221" s="28"/>
      <c r="B221" s="39" t="s">
        <v>26</v>
      </c>
      <c r="C221" s="40">
        <f>(B215*C215 + B216*C216 + B217*C217 + B218*C218 + B219*C219)/SUM(C215:C219)</f>
        <v>60</v>
      </c>
      <c r="D221" s="59" t="s">
        <v>26</v>
      </c>
      <c r="E221" s="40" t="str">
        <f>(D215*E215 + D216*E216 + D217*E217 + D218*E218 + D219*E219)/SUM(E215:E219)</f>
        <v>#VALUE!</v>
      </c>
      <c r="F221" s="39" t="s">
        <v>26</v>
      </c>
      <c r="G221" s="40">
        <f>(F215*G215 + F216*G216 + F217*G217 + F218*G218 + F219*G219)/SUM(G215:G219)</f>
        <v>64.16666667</v>
      </c>
      <c r="H221" s="59" t="s">
        <v>26</v>
      </c>
      <c r="I221" s="40" t="str">
        <f>(H215*I215 + H216*I216 + H217*I217 + H218*I218 + H219*I219)/SUM(I215:I219)</f>
        <v>#DIV/0!</v>
      </c>
      <c r="J221" s="39" t="s">
        <v>26</v>
      </c>
      <c r="K221" s="40">
        <f>(J215*K215 + J216*K216 + J217*K217 + J218*K218 + J219*K219)/SUM(K215:K219)</f>
        <v>65</v>
      </c>
      <c r="L221" s="59" t="s">
        <v>26</v>
      </c>
      <c r="M221" s="40" t="str">
        <f>(L215*M215 + L216*M216 + L217*M217 + L218*M218 + L219*M219)/SUM(M219)</f>
        <v>#DIV/0!</v>
      </c>
      <c r="N221" s="59" t="s">
        <v>26</v>
      </c>
      <c r="O221" s="40" t="str">
        <f>(N215*O215 + N216*O216 + N217*O217 + N218*O218 + N219*O219)/SUM(O219)</f>
        <v>#DIV/0!</v>
      </c>
    </row>
    <row r="222">
      <c r="A222" s="28"/>
      <c r="B222" s="28"/>
      <c r="C222" s="30" t="s">
        <v>49</v>
      </c>
      <c r="D222" s="28" t="s">
        <v>50</v>
      </c>
      <c r="E222" s="30" t="s">
        <v>49</v>
      </c>
      <c r="F222" s="28" t="s">
        <v>51</v>
      </c>
      <c r="G222" s="30" t="s">
        <v>49</v>
      </c>
      <c r="H222" s="28"/>
      <c r="I222" s="30" t="s">
        <v>49</v>
      </c>
      <c r="J222" s="28"/>
      <c r="K222" s="30" t="s">
        <v>49</v>
      </c>
      <c r="L222" s="28"/>
      <c r="M222" s="60" t="s">
        <v>49</v>
      </c>
      <c r="N222" s="28"/>
      <c r="O222" s="60" t="s">
        <v>49</v>
      </c>
    </row>
    <row r="223">
      <c r="A223" s="28"/>
      <c r="B223" s="52" t="s">
        <v>52</v>
      </c>
      <c r="C223" s="60"/>
      <c r="D223" s="23"/>
      <c r="E223" s="61"/>
      <c r="F223" s="62" t="s">
        <v>52</v>
      </c>
      <c r="G223" s="61"/>
      <c r="H223" s="30"/>
      <c r="I223" s="60"/>
      <c r="J223" s="62" t="s">
        <v>52</v>
      </c>
      <c r="K223" s="60"/>
      <c r="L223" s="27"/>
      <c r="M223" s="60"/>
      <c r="N223" s="27"/>
      <c r="O223" s="60"/>
    </row>
    <row r="224">
      <c r="A224" s="28"/>
      <c r="B224" s="52" t="s">
        <v>53</v>
      </c>
      <c r="C224" s="60"/>
      <c r="D224" s="23"/>
      <c r="E224" s="60"/>
      <c r="F224" s="53" t="s">
        <v>53</v>
      </c>
      <c r="G224" s="60"/>
      <c r="H224" s="30"/>
      <c r="I224" s="60"/>
      <c r="J224" s="53" t="s">
        <v>53</v>
      </c>
      <c r="K224" s="60"/>
      <c r="L224" s="27"/>
      <c r="M224" s="60"/>
      <c r="N224" s="27"/>
      <c r="O224" s="60"/>
    </row>
    <row r="225">
      <c r="A225" s="37"/>
      <c r="B225" s="32" t="s">
        <v>54</v>
      </c>
      <c r="C225" s="60"/>
      <c r="D225" s="23"/>
      <c r="E225" s="60"/>
      <c r="F225" s="23" t="s">
        <v>54</v>
      </c>
      <c r="G225" s="60"/>
      <c r="H225" s="30"/>
      <c r="I225" s="60"/>
      <c r="J225" s="30" t="s">
        <v>54</v>
      </c>
      <c r="K225" s="60"/>
      <c r="L225" s="1"/>
      <c r="M225" s="60"/>
      <c r="N225" s="30"/>
      <c r="O225" s="60"/>
    </row>
    <row r="226">
      <c r="A226" s="37"/>
      <c r="B226" s="28"/>
      <c r="C226" s="1"/>
      <c r="D226" s="28"/>
      <c r="E226" s="1"/>
      <c r="F226" s="28"/>
      <c r="G226" s="63"/>
      <c r="H226" s="30"/>
      <c r="I226" s="30"/>
      <c r="J226" s="28"/>
      <c r="K226" s="60"/>
      <c r="L226" s="30"/>
      <c r="M226" s="60"/>
      <c r="N226" s="30"/>
      <c r="O226" s="60"/>
    </row>
    <row r="227">
      <c r="A227" s="37"/>
      <c r="B227" s="28"/>
      <c r="C227" s="1"/>
      <c r="D227" s="28"/>
      <c r="E227" s="1"/>
      <c r="F227" s="28"/>
      <c r="G227" s="60"/>
      <c r="H227" s="28"/>
      <c r="I227" s="30"/>
      <c r="J227" s="28"/>
      <c r="K227" s="60"/>
      <c r="L227" s="30"/>
      <c r="M227" s="60"/>
      <c r="N227" s="30"/>
      <c r="O227" s="60"/>
    </row>
    <row r="228">
      <c r="A228" s="37"/>
      <c r="B228" s="28"/>
      <c r="C228" s="1"/>
      <c r="D228" s="28"/>
      <c r="E228" s="1"/>
      <c r="F228" s="28"/>
      <c r="G228" s="60"/>
      <c r="H228" s="30"/>
      <c r="I228" s="30"/>
      <c r="J228" s="37"/>
      <c r="K228" s="60"/>
      <c r="L228" s="30"/>
      <c r="M228" s="60"/>
      <c r="N228" s="30"/>
      <c r="O228" s="60"/>
    </row>
    <row r="229">
      <c r="A229" s="64"/>
      <c r="B229" s="65"/>
      <c r="C229" s="66"/>
      <c r="D229" s="65"/>
      <c r="E229" s="66"/>
      <c r="F229" s="64"/>
      <c r="G229" s="67"/>
      <c r="H229" s="66"/>
      <c r="I229" s="66"/>
      <c r="J229" s="64"/>
      <c r="K229" s="67"/>
      <c r="L229" s="66"/>
      <c r="M229" s="67"/>
      <c r="N229" s="66"/>
      <c r="O229" s="67"/>
    </row>
    <row r="231">
      <c r="A231" s="2" t="s">
        <v>2</v>
      </c>
      <c r="B231" s="3" t="s">
        <v>3</v>
      </c>
      <c r="C231" s="4">
        <f>O193+1</f>
        <v>45761</v>
      </c>
      <c r="D231" s="5" t="s">
        <v>4</v>
      </c>
      <c r="E231" s="6">
        <f>C231+1</f>
        <v>45762</v>
      </c>
      <c r="F231" s="3" t="s">
        <v>5</v>
      </c>
      <c r="G231" s="6">
        <f>E231+1</f>
        <v>45763</v>
      </c>
      <c r="H231" s="3" t="s">
        <v>6</v>
      </c>
      <c r="I231" s="6">
        <f>G231+1</f>
        <v>45764</v>
      </c>
      <c r="J231" s="3" t="s">
        <v>7</v>
      </c>
      <c r="K231" s="6">
        <f>I231+1</f>
        <v>45765</v>
      </c>
      <c r="L231" s="7" t="s">
        <v>8</v>
      </c>
      <c r="M231" s="8">
        <f>K231+1</f>
        <v>45766</v>
      </c>
      <c r="N231" s="9" t="s">
        <v>9</v>
      </c>
      <c r="O231" s="8">
        <f>M231+1</f>
        <v>45767</v>
      </c>
    </row>
    <row r="232">
      <c r="A232" s="10">
        <f>A194+1</f>
        <v>7</v>
      </c>
      <c r="B232" s="11" t="s">
        <v>10</v>
      </c>
      <c r="C232" s="12" t="s">
        <v>11</v>
      </c>
      <c r="D232" s="11" t="s">
        <v>10</v>
      </c>
      <c r="E232" s="12" t="s">
        <v>11</v>
      </c>
      <c r="F232" s="11" t="s">
        <v>10</v>
      </c>
      <c r="G232" s="12" t="s">
        <v>11</v>
      </c>
      <c r="H232" s="11" t="s">
        <v>10</v>
      </c>
      <c r="I232" s="12" t="s">
        <v>11</v>
      </c>
      <c r="J232" s="11" t="s">
        <v>10</v>
      </c>
      <c r="K232" s="12" t="s">
        <v>11</v>
      </c>
      <c r="L232" s="11" t="s">
        <v>10</v>
      </c>
      <c r="M232" s="12" t="s">
        <v>11</v>
      </c>
      <c r="N232" s="11" t="s">
        <v>10</v>
      </c>
      <c r="O232" s="12" t="s">
        <v>11</v>
      </c>
    </row>
    <row r="233">
      <c r="A233" s="13"/>
      <c r="B233" s="14"/>
      <c r="C233" s="15"/>
      <c r="D233" s="14"/>
      <c r="E233" s="15"/>
      <c r="F233" s="14"/>
      <c r="G233" s="15"/>
      <c r="H233" s="14"/>
      <c r="I233" s="15"/>
      <c r="J233" s="14"/>
      <c r="K233" s="15"/>
      <c r="L233" s="14"/>
      <c r="M233" s="15"/>
      <c r="N233" s="14"/>
      <c r="O233" s="15"/>
    </row>
    <row r="234">
      <c r="A234" s="13" t="s">
        <v>12</v>
      </c>
      <c r="B234" s="70" t="s">
        <v>72</v>
      </c>
      <c r="C234" s="17"/>
      <c r="D234" s="18" t="s">
        <v>14</v>
      </c>
      <c r="E234" s="17"/>
      <c r="F234" s="70" t="s">
        <v>72</v>
      </c>
      <c r="G234" s="17"/>
      <c r="H234" s="18" t="s">
        <v>15</v>
      </c>
      <c r="I234" s="17"/>
      <c r="J234" s="70" t="s">
        <v>72</v>
      </c>
      <c r="K234" s="17"/>
      <c r="L234" s="18"/>
      <c r="M234" s="17"/>
      <c r="N234" s="20" t="s">
        <v>17</v>
      </c>
      <c r="O234" s="17"/>
    </row>
    <row r="235">
      <c r="A235" s="13"/>
      <c r="B235" s="46">
        <v>60.0</v>
      </c>
      <c r="C235" s="22">
        <v>10.0</v>
      </c>
      <c r="D235" s="23" t="s">
        <v>18</v>
      </c>
      <c r="E235" s="24"/>
      <c r="F235" s="46">
        <v>65.0</v>
      </c>
      <c r="G235" s="22">
        <v>10.0</v>
      </c>
      <c r="H235" s="23"/>
      <c r="I235" s="26"/>
      <c r="J235" s="46">
        <v>70.0</v>
      </c>
      <c r="K235" s="22">
        <v>10.0</v>
      </c>
      <c r="L235" s="23"/>
      <c r="M235" s="24"/>
      <c r="N235" s="27"/>
      <c r="O235" s="24"/>
    </row>
    <row r="236">
      <c r="A236" s="28" t="s">
        <v>20</v>
      </c>
      <c r="B236" s="46">
        <v>65.0</v>
      </c>
      <c r="C236" s="22">
        <v>10.0</v>
      </c>
      <c r="D236" s="23" t="s">
        <v>21</v>
      </c>
      <c r="E236" s="26"/>
      <c r="F236" s="46">
        <v>70.0</v>
      </c>
      <c r="G236" s="22">
        <v>10.0</v>
      </c>
      <c r="H236" s="23"/>
      <c r="I236" s="26"/>
      <c r="J236" s="46">
        <v>75.0</v>
      </c>
      <c r="K236" s="22">
        <v>10.0</v>
      </c>
      <c r="L236" s="23"/>
      <c r="M236" s="24"/>
      <c r="N236" s="28"/>
      <c r="O236" s="24"/>
    </row>
    <row r="237">
      <c r="A237" s="29" t="s">
        <v>22</v>
      </c>
      <c r="B237" s="46">
        <v>70.0</v>
      </c>
      <c r="C237" s="22">
        <v>10.0</v>
      </c>
      <c r="D237" s="1" t="s">
        <v>64</v>
      </c>
      <c r="E237" s="54" t="s">
        <v>65</v>
      </c>
      <c r="F237" s="46">
        <v>75.0</v>
      </c>
      <c r="G237" s="22">
        <v>10.0</v>
      </c>
      <c r="H237" s="23"/>
      <c r="I237" s="26"/>
      <c r="J237" s="46">
        <v>80.0</v>
      </c>
      <c r="K237" s="22">
        <v>10.0</v>
      </c>
      <c r="L237" s="23"/>
      <c r="M237" s="24"/>
      <c r="N237" s="23"/>
      <c r="O237" s="24"/>
    </row>
    <row r="238">
      <c r="A238" s="28" t="s">
        <v>23</v>
      </c>
      <c r="B238" s="46"/>
      <c r="C238" s="22"/>
      <c r="D238" s="23"/>
      <c r="E238" s="26"/>
      <c r="F238" s="47"/>
      <c r="G238" s="22"/>
      <c r="H238" s="31"/>
      <c r="I238" s="24"/>
      <c r="J238" s="47"/>
      <c r="K238" s="22"/>
      <c r="L238" s="23"/>
      <c r="M238" s="26"/>
      <c r="N238" s="32"/>
      <c r="O238" s="26"/>
    </row>
    <row r="239">
      <c r="A239" s="13"/>
      <c r="B239" s="33"/>
      <c r="C239" s="26"/>
      <c r="D239" s="13"/>
      <c r="E239" s="24"/>
      <c r="F239" s="33"/>
      <c r="G239" s="26"/>
      <c r="H239" s="13"/>
      <c r="I239" s="34"/>
      <c r="J239" s="13"/>
      <c r="K239" s="24"/>
      <c r="L239" s="13"/>
      <c r="M239" s="24"/>
      <c r="N239" s="13"/>
      <c r="O239" s="24"/>
    </row>
    <row r="240">
      <c r="A240" s="28" t="s">
        <v>24</v>
      </c>
      <c r="B240" s="35" t="s">
        <v>25</v>
      </c>
      <c r="C240" s="36">
        <f>C235*B235 + B236*C236 + B237*C237 + B238*C238 + B239*C239</f>
        <v>1950</v>
      </c>
      <c r="D240" s="35" t="s">
        <v>25</v>
      </c>
      <c r="E240" s="36" t="str">
        <f>E235*D235 + D236*E236 + D237*E237 + D238*E238 + D239*E239</f>
        <v>#VALUE!</v>
      </c>
      <c r="F240" s="35" t="s">
        <v>25</v>
      </c>
      <c r="G240" s="36">
        <f>G235*F235 + F236*G236 + F237*G237 + F238*G238 + F239*G239</f>
        <v>2100</v>
      </c>
      <c r="H240" s="35" t="s">
        <v>25</v>
      </c>
      <c r="I240" s="36">
        <f>I235*H235 + H236*I236 + H237*I237 + H238*I238 + H239*I239</f>
        <v>0</v>
      </c>
      <c r="J240" s="35" t="s">
        <v>25</v>
      </c>
      <c r="K240" s="36">
        <f>K235*J235 + J236*K236 + J237*K237 + J238*K238 + J239*K239</f>
        <v>2250</v>
      </c>
      <c r="L240" s="35" t="s">
        <v>25</v>
      </c>
      <c r="M240" s="36">
        <f>M235*L235 + L236*M236 + L237*M237 + L238*M238 + L239*M239</f>
        <v>0</v>
      </c>
      <c r="N240" s="35" t="s">
        <v>25</v>
      </c>
      <c r="O240" s="36">
        <f>O235*N235 + N236*O236 + N237*O237 + N238*O238 + N239*O239</f>
        <v>0</v>
      </c>
    </row>
    <row r="241">
      <c r="A241" s="37"/>
      <c r="B241" s="13" t="s">
        <v>26</v>
      </c>
      <c r="C241" s="38">
        <f>(B235*C235 + B236*C236 + B237*C237 + B238*C238 + B239*C239)/SUM(C235:C239)</f>
        <v>65</v>
      </c>
      <c r="D241" s="39" t="s">
        <v>26</v>
      </c>
      <c r="E241" s="40" t="str">
        <f>(D235*E235 + D236*E236 + D237*E237 + D238*E238 + D239*E239)/SUM(E235:E239)</f>
        <v>#VALUE!</v>
      </c>
      <c r="F241" s="13" t="s">
        <v>26</v>
      </c>
      <c r="G241" s="40">
        <f>(F235*G235 + F236*G236 + F237*G237 + F238*G238 + F239*G239)/SUM(G235:G239)</f>
        <v>70</v>
      </c>
      <c r="H241" s="13" t="s">
        <v>26</v>
      </c>
      <c r="I241" s="40" t="str">
        <f>(H235*I235 + H236*I236 + H237*I237 + H238*I238 + H239*I239)/SUM(I235:I239)</f>
        <v>#DIV/0!</v>
      </c>
      <c r="J241" s="39" t="s">
        <v>26</v>
      </c>
      <c r="K241" s="40">
        <f>(J235*K235 + J236*K236 + J237*K237 + J238*K238 + J239*K239)/SUM(K235:K239)</f>
        <v>75</v>
      </c>
      <c r="L241" s="13" t="s">
        <v>26</v>
      </c>
      <c r="M241" s="40" t="str">
        <f>(L235*M235 + L236*M236 + L237*M237 + L238*M238 + L239*M239)/SUM(M235:M239)</f>
        <v>#DIV/0!</v>
      </c>
      <c r="N241" s="13" t="s">
        <v>26</v>
      </c>
      <c r="O241" s="40" t="str">
        <f>(N235*O235 + N236*O236 + N237*O237 + N238*O238 + N239*O239)/SUM(O235:O239)</f>
        <v>#DIV/0!</v>
      </c>
    </row>
    <row r="242">
      <c r="A242" s="28" t="s">
        <v>27</v>
      </c>
      <c r="B242" s="11" t="s">
        <v>10</v>
      </c>
      <c r="C242" s="12" t="s">
        <v>11</v>
      </c>
      <c r="D242" s="11" t="s">
        <v>10</v>
      </c>
      <c r="E242" s="12" t="s">
        <v>11</v>
      </c>
      <c r="F242" s="11" t="s">
        <v>10</v>
      </c>
      <c r="G242" s="12" t="s">
        <v>11</v>
      </c>
      <c r="H242" s="11" t="s">
        <v>10</v>
      </c>
      <c r="I242" s="12" t="s">
        <v>11</v>
      </c>
      <c r="J242" s="11" t="s">
        <v>10</v>
      </c>
      <c r="K242" s="12" t="s">
        <v>11</v>
      </c>
      <c r="L242" s="11" t="s">
        <v>10</v>
      </c>
      <c r="M242" s="12" t="s">
        <v>11</v>
      </c>
      <c r="N242" s="11" t="s">
        <v>10</v>
      </c>
      <c r="O242" s="12" t="s">
        <v>11</v>
      </c>
    </row>
    <row r="243">
      <c r="A243" s="41" t="s">
        <v>28</v>
      </c>
      <c r="B243" s="20" t="s">
        <v>73</v>
      </c>
      <c r="C243" s="17"/>
      <c r="D243" s="43" t="s">
        <v>30</v>
      </c>
      <c r="E243" s="44" t="s">
        <v>31</v>
      </c>
      <c r="F243" s="68" t="s">
        <v>74</v>
      </c>
      <c r="G243" s="17"/>
      <c r="H243" s="19" t="s">
        <v>33</v>
      </c>
      <c r="I243" s="44"/>
      <c r="J243" s="70" t="s">
        <v>68</v>
      </c>
      <c r="K243" s="17"/>
      <c r="L243" s="43" t="s">
        <v>30</v>
      </c>
      <c r="M243" s="44" t="s">
        <v>31</v>
      </c>
      <c r="N243" s="42"/>
      <c r="O243" s="44"/>
    </row>
    <row r="244">
      <c r="A244" s="28"/>
      <c r="B244" s="46">
        <v>85.0</v>
      </c>
      <c r="C244" s="48">
        <v>10.0</v>
      </c>
      <c r="D244" s="1" t="s">
        <v>35</v>
      </c>
      <c r="E244" s="24" t="s">
        <v>36</v>
      </c>
      <c r="F244" s="46">
        <v>70.0</v>
      </c>
      <c r="G244" s="22">
        <v>8.0</v>
      </c>
      <c r="H244" s="23"/>
      <c r="I244" s="24"/>
      <c r="J244" s="28">
        <v>60.0</v>
      </c>
      <c r="K244" s="54">
        <v>8.0</v>
      </c>
      <c r="L244" s="1" t="s">
        <v>35</v>
      </c>
      <c r="M244" s="24" t="s">
        <v>36</v>
      </c>
      <c r="N244" s="46"/>
      <c r="O244" s="26"/>
    </row>
    <row r="245">
      <c r="A245" s="28" t="s">
        <v>37</v>
      </c>
      <c r="B245" s="46">
        <v>90.0</v>
      </c>
      <c r="C245" s="48">
        <v>10.0</v>
      </c>
      <c r="D245" s="1" t="s">
        <v>35</v>
      </c>
      <c r="E245" s="26" t="s">
        <v>38</v>
      </c>
      <c r="F245" s="46">
        <v>75.0</v>
      </c>
      <c r="G245" s="22">
        <v>8.0</v>
      </c>
      <c r="H245" s="23"/>
      <c r="I245" s="24"/>
      <c r="J245" s="27">
        <v>65.0</v>
      </c>
      <c r="K245" s="54">
        <v>8.0</v>
      </c>
      <c r="L245" s="1" t="s">
        <v>35</v>
      </c>
      <c r="M245" s="26" t="s">
        <v>38</v>
      </c>
      <c r="N245" s="46"/>
      <c r="O245" s="26"/>
    </row>
    <row r="246">
      <c r="A246" s="28" t="s">
        <v>39</v>
      </c>
      <c r="B246" s="46">
        <v>95.0</v>
      </c>
      <c r="C246" s="48">
        <v>10.0</v>
      </c>
      <c r="D246" s="1" t="s">
        <v>40</v>
      </c>
      <c r="E246" s="24" t="s">
        <v>38</v>
      </c>
      <c r="F246" s="46">
        <v>80.0</v>
      </c>
      <c r="G246" s="22">
        <v>8.0</v>
      </c>
      <c r="H246" s="23"/>
      <c r="I246" s="24"/>
      <c r="J246" s="27">
        <v>70.0</v>
      </c>
      <c r="K246" s="54">
        <v>8.0</v>
      </c>
      <c r="L246" s="1" t="s">
        <v>40</v>
      </c>
      <c r="M246" s="24" t="s">
        <v>38</v>
      </c>
      <c r="N246" s="46"/>
      <c r="O246" s="26"/>
    </row>
    <row r="247">
      <c r="A247" s="28"/>
      <c r="B247" s="46">
        <v>100.0</v>
      </c>
      <c r="C247" s="48">
        <v>10.0</v>
      </c>
      <c r="D247" s="1" t="s">
        <v>35</v>
      </c>
      <c r="E247" s="26" t="s">
        <v>38</v>
      </c>
      <c r="F247" s="46">
        <v>85.0</v>
      </c>
      <c r="G247" s="22">
        <v>8.0</v>
      </c>
      <c r="H247" s="23"/>
      <c r="I247" s="24"/>
      <c r="J247" s="47"/>
      <c r="K247" s="22"/>
      <c r="L247" s="1" t="s">
        <v>35</v>
      </c>
      <c r="M247" s="26" t="s">
        <v>38</v>
      </c>
      <c r="N247" s="46"/>
      <c r="O247" s="26"/>
    </row>
    <row r="248">
      <c r="A248" s="28" t="s">
        <v>41</v>
      </c>
      <c r="B248" s="13"/>
      <c r="C248" s="24"/>
      <c r="D248" s="1" t="s">
        <v>35</v>
      </c>
      <c r="E248" s="24" t="s">
        <v>42</v>
      </c>
      <c r="F248" s="31"/>
      <c r="G248" s="24"/>
      <c r="H248" s="23"/>
      <c r="I248" s="24"/>
      <c r="J248" s="31"/>
      <c r="K248" s="24"/>
      <c r="L248" s="1" t="s">
        <v>35</v>
      </c>
      <c r="M248" s="24" t="s">
        <v>42</v>
      </c>
      <c r="N248" s="32"/>
      <c r="O248" s="24"/>
    </row>
    <row r="249">
      <c r="A249" s="28" t="s">
        <v>43</v>
      </c>
      <c r="B249" s="32"/>
      <c r="C249" s="26"/>
      <c r="D249" s="32"/>
      <c r="E249" s="26"/>
      <c r="F249" s="32"/>
      <c r="G249" s="26"/>
      <c r="H249" s="28"/>
      <c r="I249" s="24"/>
      <c r="J249" s="13"/>
      <c r="K249" s="24"/>
      <c r="L249" s="32"/>
      <c r="M249" s="26"/>
      <c r="N249" s="32"/>
      <c r="O249" s="26"/>
    </row>
    <row r="250">
      <c r="A250" s="28"/>
      <c r="B250" s="35" t="s">
        <v>25</v>
      </c>
      <c r="C250" s="36">
        <f>C244*B244 + B245*C245 + B246*C246 + B247*C247 + B249*C249</f>
        <v>3700</v>
      </c>
      <c r="D250" s="35" t="s">
        <v>25</v>
      </c>
      <c r="E250" s="36" t="str">
        <f>E244*D244 + D245*E245 + D246*E246 + D247*E247 + D249*E249</f>
        <v>#VALUE!</v>
      </c>
      <c r="F250" s="35" t="s">
        <v>25</v>
      </c>
      <c r="G250" s="36">
        <f>G244*F244 + F245*G245 + F246*G246 + F247*G247 + F249*G249</f>
        <v>2480</v>
      </c>
      <c r="H250" s="35" t="s">
        <v>25</v>
      </c>
      <c r="I250" s="36">
        <f>I244*H244 + H245*I245 + H246*I246 + H247*I247 + H249*I249</f>
        <v>0</v>
      </c>
      <c r="J250" s="35" t="s">
        <v>25</v>
      </c>
      <c r="K250" s="36">
        <f>K244*J244 + J245*K245 + J246*K246 + J247*K247 + J249*K249</f>
        <v>1560</v>
      </c>
      <c r="L250" s="35" t="s">
        <v>25</v>
      </c>
      <c r="M250" s="36" t="str">
        <f>M244*L244 + L245*M245 + L246*M246 + L247*M247 + L249*M249</f>
        <v>#VALUE!</v>
      </c>
      <c r="N250" s="35" t="s">
        <v>25</v>
      </c>
      <c r="O250" s="36">
        <f>O244*N244 + N245*O245 + N246*O246 + N247*O247 + N249*O249</f>
        <v>0</v>
      </c>
    </row>
    <row r="251">
      <c r="A251" s="28" t="s">
        <v>69</v>
      </c>
      <c r="B251" s="39" t="s">
        <v>26</v>
      </c>
      <c r="C251" s="38">
        <f>(B245*C245 + B246*C246 + B247*C247 + B248*C248 + B249*C249)/SUM(C245:C249)</f>
        <v>95</v>
      </c>
      <c r="D251" s="39" t="s">
        <v>26</v>
      </c>
      <c r="E251" s="40" t="str">
        <f>(D245*E245 + D246*E246 + D247*E247 + D248*E248 + D249*E249)/SUM(E245:E249)</f>
        <v>#VALUE!</v>
      </c>
      <c r="F251" s="39" t="s">
        <v>26</v>
      </c>
      <c r="G251" s="38">
        <f>(F245*G245 + F246*G246 + F247*G247 + F248*G248 + F249*G249)/SUM(G245:G249)</f>
        <v>80</v>
      </c>
      <c r="H251" s="39" t="s">
        <v>26</v>
      </c>
      <c r="I251" s="40" t="str">
        <f>(H244*I244 + H245*I245 + H246*I246 + H247*I247 + H249*I249)/SUM(I244:I249)</f>
        <v>#DIV/0!</v>
      </c>
      <c r="J251" s="39" t="s">
        <v>26</v>
      </c>
      <c r="K251" s="40">
        <f>(J245*K245 + J246*K246 + J247*K247 + J248*K248 + J249*K249)/SUM(K245:K249)</f>
        <v>67.5</v>
      </c>
      <c r="L251" s="39" t="s">
        <v>26</v>
      </c>
      <c r="M251" s="40" t="str">
        <f>(L245*M245 + L246*M246 + L247*M247 + L248*M248 + L249*M249)/SUM(M245:M249)</f>
        <v>#VALUE!</v>
      </c>
      <c r="N251" s="39" t="s">
        <v>26</v>
      </c>
      <c r="O251" s="40" t="str">
        <f>(N245*O245 + N246*O246 + N247*O247 + N248*O248 + N249*O249)/SUM(O245:O249)</f>
        <v>#DIV/0!</v>
      </c>
    </row>
    <row r="252">
      <c r="A252" s="28" t="s">
        <v>70</v>
      </c>
      <c r="B252" s="42" t="s">
        <v>71</v>
      </c>
      <c r="C252" s="17"/>
      <c r="D252" s="18"/>
      <c r="E252" s="17"/>
      <c r="F252" s="42" t="s">
        <v>71</v>
      </c>
      <c r="G252" s="17"/>
      <c r="H252" s="43"/>
      <c r="I252" s="17"/>
      <c r="J252" s="42" t="s">
        <v>71</v>
      </c>
      <c r="K252" s="17"/>
      <c r="L252" s="49"/>
      <c r="M252" s="50"/>
      <c r="N252" s="49"/>
      <c r="O252" s="50"/>
    </row>
    <row r="253">
      <c r="A253" s="28"/>
      <c r="B253" s="46">
        <v>60.0</v>
      </c>
      <c r="C253" s="22">
        <v>8.0</v>
      </c>
      <c r="D253" s="51" t="s">
        <v>46</v>
      </c>
      <c r="E253" s="24"/>
      <c r="F253" s="46">
        <v>60.0</v>
      </c>
      <c r="G253" s="71">
        <v>8.0</v>
      </c>
      <c r="H253" s="23"/>
      <c r="I253" s="24"/>
      <c r="J253" s="46">
        <v>62.5</v>
      </c>
      <c r="K253" s="22">
        <v>8.0</v>
      </c>
      <c r="L253" s="21"/>
      <c r="M253" s="24"/>
      <c r="N253" s="21"/>
      <c r="O253" s="24"/>
    </row>
    <row r="254">
      <c r="A254" s="28"/>
      <c r="B254" s="46">
        <v>62.5</v>
      </c>
      <c r="C254" s="22">
        <v>8.0</v>
      </c>
      <c r="D254" s="23"/>
      <c r="E254" s="26"/>
      <c r="F254" s="46">
        <v>65.0</v>
      </c>
      <c r="G254" s="22">
        <v>8.0</v>
      </c>
      <c r="H254" s="23"/>
      <c r="I254" s="24"/>
      <c r="J254" s="46">
        <v>67.5</v>
      </c>
      <c r="K254" s="22">
        <v>8.0</v>
      </c>
      <c r="L254" s="21"/>
      <c r="M254" s="26"/>
      <c r="N254" s="21"/>
      <c r="O254" s="26"/>
    </row>
    <row r="255">
      <c r="A255" s="28"/>
      <c r="B255" s="46">
        <v>67.5</v>
      </c>
      <c r="C255" s="22">
        <v>8.0</v>
      </c>
      <c r="D255" s="23"/>
      <c r="E255" s="24"/>
      <c r="F255" s="46">
        <v>67.5</v>
      </c>
      <c r="G255" s="71">
        <v>8.0</v>
      </c>
      <c r="H255" s="23"/>
      <c r="I255" s="24"/>
      <c r="J255" s="46">
        <v>70.0</v>
      </c>
      <c r="K255" s="22">
        <v>8.0</v>
      </c>
      <c r="L255" s="46"/>
      <c r="M255" s="24"/>
      <c r="N255" s="46"/>
      <c r="O255" s="24"/>
    </row>
    <row r="256">
      <c r="A256" s="28"/>
      <c r="B256" s="46"/>
      <c r="C256" s="54"/>
      <c r="D256" s="46"/>
      <c r="E256" s="54"/>
      <c r="F256" s="46"/>
      <c r="G256" s="54"/>
      <c r="H256" s="1"/>
      <c r="I256" s="26"/>
      <c r="J256" s="28"/>
      <c r="K256" s="54"/>
      <c r="L256" s="21"/>
      <c r="M256" s="24"/>
      <c r="N256" s="21"/>
      <c r="O256" s="24"/>
    </row>
    <row r="257">
      <c r="A257" s="28"/>
      <c r="B257" s="13"/>
      <c r="C257" s="34"/>
      <c r="D257" s="21"/>
      <c r="E257" s="34"/>
      <c r="F257" s="13"/>
      <c r="G257" s="24"/>
      <c r="H257" s="28"/>
      <c r="I257" s="34"/>
      <c r="J257" s="13"/>
      <c r="K257" s="24"/>
      <c r="L257" s="31"/>
      <c r="M257" s="24"/>
      <c r="N257" s="31"/>
      <c r="O257" s="24"/>
    </row>
    <row r="258">
      <c r="A258" s="28"/>
      <c r="B258" s="35" t="s">
        <v>25</v>
      </c>
      <c r="C258" s="55">
        <f>C253*B253 + B254*C254 + B255*C255 + B256*C256 + B257*C257</f>
        <v>1520</v>
      </c>
      <c r="D258" s="35" t="s">
        <v>25</v>
      </c>
      <c r="E258" s="55" t="str">
        <f>E253*D253 + D254*E254 + D255*E255 + D256*E256 + D257*E257</f>
        <v>#VALUE!</v>
      </c>
      <c r="F258" s="35" t="s">
        <v>25</v>
      </c>
      <c r="G258" s="55">
        <f>G253*F253 + F254*G254 + F255*G255 + F256*G256 + F257*G257</f>
        <v>1540</v>
      </c>
      <c r="H258" s="35" t="s">
        <v>25</v>
      </c>
      <c r="I258" s="56">
        <f>I253*H253 + H254*I254 + H255*I255 + H256*I256 + H257*I257</f>
        <v>0</v>
      </c>
      <c r="J258" s="35" t="s">
        <v>25</v>
      </c>
      <c r="K258" s="36">
        <f>K253*J253 + J254*K254 + J255*K255 + J256*K256 + J257*K257</f>
        <v>1600</v>
      </c>
      <c r="L258" s="57" t="s">
        <v>25</v>
      </c>
      <c r="M258" s="58">
        <f>M253*L253 + L254*M254 + L255*M255 + L256*M256 + L257*M257</f>
        <v>0</v>
      </c>
      <c r="N258" s="57" t="s">
        <v>25</v>
      </c>
      <c r="O258" s="58">
        <f>O253*N253 + N254*O254 + N255*O255 + N256*O256 + N257*O257</f>
        <v>0</v>
      </c>
    </row>
    <row r="259">
      <c r="A259" s="28"/>
      <c r="B259" s="39" t="s">
        <v>26</v>
      </c>
      <c r="C259" s="38">
        <f>(B253*C253 + B254*C254 + B255*C255 + B256*C256 + B257*C257)/SUM(C253:C257)</f>
        <v>63.33333333</v>
      </c>
      <c r="D259" s="59" t="s">
        <v>26</v>
      </c>
      <c r="E259" s="40" t="str">
        <f>(D253*E253 + D254*E254 + D255*E255 + D256*E256 + D257*E257)/SUM(E253:E257)</f>
        <v>#VALUE!</v>
      </c>
      <c r="F259" s="39" t="s">
        <v>26</v>
      </c>
      <c r="G259" s="38">
        <f>(F253*G253 + F254*G254 + F255*G255 + F256*G256 + F257*G257)/SUM(G253:G257)</f>
        <v>64.16666667</v>
      </c>
      <c r="H259" s="59" t="s">
        <v>26</v>
      </c>
      <c r="I259" s="40" t="str">
        <f>(H253*I253 + H254*I254 + H255*I255 + H256*I256 + H257*I257)/SUM(I253:I257)</f>
        <v>#DIV/0!</v>
      </c>
      <c r="J259" s="39" t="s">
        <v>26</v>
      </c>
      <c r="K259" s="38">
        <f>(J253*K253 + J254*K254 + J255*K255 + J256*K256 + J257*K257)/SUM(K253:K257)</f>
        <v>66.66666667</v>
      </c>
      <c r="L259" s="59" t="s">
        <v>26</v>
      </c>
      <c r="M259" s="40" t="str">
        <f>(L253*M253 + L254*M254 + L255*M255 + L256*M256 + L257*M257)/SUM(M257)</f>
        <v>#DIV/0!</v>
      </c>
      <c r="N259" s="59" t="s">
        <v>26</v>
      </c>
      <c r="O259" s="40" t="str">
        <f>(N253*O253 + N254*O254 + N255*O255 + N256*O256 + N257*O257)/SUM(O257)</f>
        <v>#DIV/0!</v>
      </c>
    </row>
    <row r="260">
      <c r="A260" s="28"/>
      <c r="B260" s="28"/>
      <c r="C260" s="30" t="s">
        <v>49</v>
      </c>
      <c r="D260" s="28" t="s">
        <v>50</v>
      </c>
      <c r="E260" s="30" t="s">
        <v>49</v>
      </c>
      <c r="F260" s="28" t="s">
        <v>51</v>
      </c>
      <c r="G260" s="30" t="s">
        <v>49</v>
      </c>
      <c r="H260" s="28"/>
      <c r="I260" s="30" t="s">
        <v>49</v>
      </c>
      <c r="J260" s="28"/>
      <c r="K260" s="30" t="s">
        <v>49</v>
      </c>
      <c r="L260" s="28"/>
      <c r="M260" s="60" t="s">
        <v>49</v>
      </c>
      <c r="N260" s="28"/>
      <c r="O260" s="60" t="s">
        <v>49</v>
      </c>
    </row>
    <row r="261">
      <c r="A261" s="28"/>
      <c r="B261" s="27" t="s">
        <v>75</v>
      </c>
      <c r="C261" s="60"/>
      <c r="D261" s="23"/>
      <c r="E261" s="61"/>
      <c r="F261" s="27" t="s">
        <v>52</v>
      </c>
      <c r="G261" s="61"/>
      <c r="H261" s="30"/>
      <c r="I261" s="60"/>
      <c r="J261" s="27" t="s">
        <v>75</v>
      </c>
      <c r="K261" s="60"/>
      <c r="L261" s="27"/>
      <c r="M261" s="60"/>
      <c r="N261" s="27"/>
      <c r="O261" s="60"/>
    </row>
    <row r="262">
      <c r="A262" s="28"/>
      <c r="B262" s="52" t="s">
        <v>53</v>
      </c>
      <c r="C262" s="60"/>
      <c r="D262" s="23"/>
      <c r="E262" s="60"/>
      <c r="F262" s="52" t="s">
        <v>53</v>
      </c>
      <c r="G262" s="60"/>
      <c r="H262" s="30"/>
      <c r="I262" s="60"/>
      <c r="J262" s="52" t="s">
        <v>53</v>
      </c>
      <c r="K262" s="60"/>
      <c r="L262" s="27"/>
      <c r="M262" s="60"/>
      <c r="N262" s="27"/>
      <c r="O262" s="60"/>
    </row>
    <row r="263">
      <c r="A263" s="37"/>
      <c r="B263" s="32" t="s">
        <v>54</v>
      </c>
      <c r="C263" s="60"/>
      <c r="D263" s="23"/>
      <c r="E263" s="60"/>
      <c r="F263" s="32" t="s">
        <v>54</v>
      </c>
      <c r="G263" s="60"/>
      <c r="H263" s="30"/>
      <c r="I263" s="60"/>
      <c r="J263" s="32" t="s">
        <v>54</v>
      </c>
      <c r="K263" s="60"/>
      <c r="L263" s="1"/>
      <c r="M263" s="60"/>
      <c r="N263" s="30"/>
      <c r="O263" s="60"/>
    </row>
    <row r="264">
      <c r="A264" s="37"/>
      <c r="B264" s="28"/>
      <c r="C264" s="1"/>
      <c r="D264" s="28"/>
      <c r="E264" s="1"/>
      <c r="F264" s="28"/>
      <c r="G264" s="63"/>
      <c r="H264" s="30"/>
      <c r="I264" s="30"/>
      <c r="J264" s="28"/>
      <c r="K264" s="60"/>
      <c r="L264" s="30"/>
      <c r="M264" s="60"/>
      <c r="N264" s="30"/>
      <c r="O264" s="60"/>
    </row>
    <row r="265">
      <c r="A265" s="37"/>
      <c r="B265" s="28"/>
      <c r="C265" s="1"/>
      <c r="D265" s="28"/>
      <c r="E265" s="1"/>
      <c r="F265" s="28"/>
      <c r="G265" s="60"/>
      <c r="H265" s="28"/>
      <c r="I265" s="30"/>
      <c r="J265" s="28"/>
      <c r="K265" s="60"/>
      <c r="L265" s="30"/>
      <c r="M265" s="60"/>
      <c r="N265" s="30"/>
      <c r="O265" s="60"/>
    </row>
    <row r="266">
      <c r="A266" s="37"/>
      <c r="B266" s="28"/>
      <c r="C266" s="1"/>
      <c r="D266" s="28"/>
      <c r="E266" s="1"/>
      <c r="F266" s="28"/>
      <c r="G266" s="60"/>
      <c r="H266" s="30"/>
      <c r="I266" s="30"/>
      <c r="J266" s="37"/>
      <c r="K266" s="60"/>
      <c r="L266" s="30"/>
      <c r="M266" s="60"/>
      <c r="N266" s="30"/>
      <c r="O266" s="60"/>
    </row>
    <row r="267">
      <c r="A267" s="64"/>
      <c r="B267" s="65"/>
      <c r="C267" s="66"/>
      <c r="D267" s="65"/>
      <c r="E267" s="66"/>
      <c r="F267" s="64"/>
      <c r="G267" s="67"/>
      <c r="H267" s="66"/>
      <c r="I267" s="66"/>
      <c r="J267" s="64"/>
      <c r="K267" s="67"/>
      <c r="L267" s="66"/>
      <c r="M267" s="67"/>
      <c r="N267" s="66"/>
      <c r="O267" s="67"/>
    </row>
    <row r="269">
      <c r="A269" s="2" t="s">
        <v>2</v>
      </c>
      <c r="B269" s="3" t="s">
        <v>3</v>
      </c>
      <c r="C269" s="4">
        <f>O231+1</f>
        <v>45768</v>
      </c>
      <c r="D269" s="5" t="s">
        <v>4</v>
      </c>
      <c r="E269" s="6">
        <f>C269+1</f>
        <v>45769</v>
      </c>
      <c r="F269" s="3" t="s">
        <v>5</v>
      </c>
      <c r="G269" s="6">
        <f>E269+1</f>
        <v>45770</v>
      </c>
      <c r="H269" s="3" t="s">
        <v>6</v>
      </c>
      <c r="I269" s="6">
        <f>G269+1</f>
        <v>45771</v>
      </c>
      <c r="J269" s="3" t="s">
        <v>7</v>
      </c>
      <c r="K269" s="6">
        <f>I269+1</f>
        <v>45772</v>
      </c>
      <c r="L269" s="7" t="s">
        <v>8</v>
      </c>
      <c r="M269" s="8">
        <f>K269+1</f>
        <v>45773</v>
      </c>
      <c r="N269" s="9" t="s">
        <v>9</v>
      </c>
      <c r="O269" s="8">
        <f>M269+1</f>
        <v>45774</v>
      </c>
    </row>
    <row r="270">
      <c r="A270" s="10">
        <f>A232+1</f>
        <v>8</v>
      </c>
      <c r="B270" s="11" t="s">
        <v>10</v>
      </c>
      <c r="C270" s="12" t="s">
        <v>11</v>
      </c>
      <c r="D270" s="11" t="s">
        <v>10</v>
      </c>
      <c r="E270" s="12" t="s">
        <v>11</v>
      </c>
      <c r="F270" s="11" t="s">
        <v>10</v>
      </c>
      <c r="G270" s="12" t="s">
        <v>11</v>
      </c>
      <c r="H270" s="11" t="s">
        <v>10</v>
      </c>
      <c r="I270" s="12" t="s">
        <v>11</v>
      </c>
      <c r="J270" s="11" t="s">
        <v>10</v>
      </c>
      <c r="K270" s="12" t="s">
        <v>11</v>
      </c>
      <c r="L270" s="11" t="s">
        <v>10</v>
      </c>
      <c r="M270" s="12" t="s">
        <v>11</v>
      </c>
      <c r="N270" s="11" t="s">
        <v>10</v>
      </c>
      <c r="O270" s="12" t="s">
        <v>11</v>
      </c>
    </row>
    <row r="271">
      <c r="A271" s="13"/>
      <c r="B271" s="14"/>
      <c r="C271" s="15"/>
      <c r="D271" s="14"/>
      <c r="E271" s="15"/>
      <c r="F271" s="14"/>
      <c r="G271" s="15"/>
      <c r="H271" s="14"/>
      <c r="I271" s="15"/>
      <c r="J271" s="14"/>
      <c r="K271" s="15"/>
      <c r="L271" s="14"/>
      <c r="M271" s="15"/>
      <c r="N271" s="14"/>
      <c r="O271" s="15"/>
    </row>
    <row r="272">
      <c r="A272" s="13" t="s">
        <v>12</v>
      </c>
      <c r="B272" s="70" t="s">
        <v>72</v>
      </c>
      <c r="C272" s="17"/>
      <c r="D272" s="18" t="s">
        <v>14</v>
      </c>
      <c r="E272" s="17"/>
      <c r="F272" s="70" t="s">
        <v>72</v>
      </c>
      <c r="G272" s="17"/>
      <c r="H272" s="18" t="s">
        <v>15</v>
      </c>
      <c r="I272" s="17"/>
      <c r="J272" s="70" t="s">
        <v>72</v>
      </c>
      <c r="K272" s="17"/>
      <c r="L272" s="18"/>
      <c r="M272" s="17"/>
      <c r="N272" s="20" t="s">
        <v>17</v>
      </c>
      <c r="O272" s="17"/>
    </row>
    <row r="273">
      <c r="A273" s="13"/>
      <c r="B273" s="46">
        <v>75.0</v>
      </c>
      <c r="C273" s="22">
        <v>10.0</v>
      </c>
      <c r="D273" s="23" t="s">
        <v>18</v>
      </c>
      <c r="E273" s="24"/>
      <c r="F273" s="46">
        <v>80.0</v>
      </c>
      <c r="G273" s="22">
        <v>10.0</v>
      </c>
      <c r="H273" s="23"/>
      <c r="I273" s="26"/>
      <c r="J273" s="46">
        <v>85.0</v>
      </c>
      <c r="K273" s="22">
        <v>10.0</v>
      </c>
      <c r="L273" s="23"/>
      <c r="M273" s="24"/>
      <c r="N273" s="27"/>
      <c r="O273" s="24"/>
    </row>
    <row r="274">
      <c r="A274" s="28" t="s">
        <v>20</v>
      </c>
      <c r="B274" s="46">
        <v>80.0</v>
      </c>
      <c r="C274" s="22">
        <v>10.0</v>
      </c>
      <c r="D274" s="23" t="s">
        <v>21</v>
      </c>
      <c r="E274" s="26"/>
      <c r="F274" s="46">
        <v>85.0</v>
      </c>
      <c r="G274" s="22">
        <v>10.0</v>
      </c>
      <c r="H274" s="23"/>
      <c r="I274" s="26"/>
      <c r="J274" s="46">
        <v>90.0</v>
      </c>
      <c r="K274" s="22">
        <v>10.0</v>
      </c>
      <c r="L274" s="23"/>
      <c r="M274" s="24"/>
      <c r="N274" s="28"/>
      <c r="O274" s="24"/>
    </row>
    <row r="275">
      <c r="A275" s="29" t="s">
        <v>22</v>
      </c>
      <c r="B275" s="46">
        <v>85.0</v>
      </c>
      <c r="C275" s="22">
        <v>10.0</v>
      </c>
      <c r="D275" s="1" t="s">
        <v>64</v>
      </c>
      <c r="E275" s="54" t="s">
        <v>65</v>
      </c>
      <c r="F275" s="46">
        <v>87.5</v>
      </c>
      <c r="G275" s="22">
        <v>10.0</v>
      </c>
      <c r="H275" s="23"/>
      <c r="I275" s="26"/>
      <c r="J275" s="46">
        <v>92.5</v>
      </c>
      <c r="K275" s="22">
        <v>10.0</v>
      </c>
      <c r="L275" s="23"/>
      <c r="M275" s="24"/>
      <c r="N275" s="23"/>
      <c r="O275" s="24"/>
    </row>
    <row r="276">
      <c r="A276" s="28" t="s">
        <v>23</v>
      </c>
      <c r="B276" s="46"/>
      <c r="C276" s="22"/>
      <c r="D276" s="23"/>
      <c r="E276" s="26"/>
      <c r="F276" s="47"/>
      <c r="G276" s="22"/>
      <c r="H276" s="31"/>
      <c r="I276" s="24"/>
      <c r="J276" s="47"/>
      <c r="K276" s="22"/>
      <c r="L276" s="23"/>
      <c r="M276" s="26"/>
      <c r="N276" s="32"/>
      <c r="O276" s="26"/>
    </row>
    <row r="277">
      <c r="A277" s="13"/>
      <c r="B277" s="33"/>
      <c r="C277" s="26"/>
      <c r="D277" s="13"/>
      <c r="E277" s="24"/>
      <c r="F277" s="33"/>
      <c r="G277" s="26"/>
      <c r="H277" s="13"/>
      <c r="I277" s="34"/>
      <c r="J277" s="13"/>
      <c r="K277" s="24"/>
      <c r="L277" s="13"/>
      <c r="M277" s="24"/>
      <c r="N277" s="13"/>
      <c r="O277" s="24"/>
    </row>
    <row r="278">
      <c r="A278" s="28" t="s">
        <v>24</v>
      </c>
      <c r="B278" s="35" t="s">
        <v>25</v>
      </c>
      <c r="C278" s="36">
        <f>C273*B273 + B274*C274 + B275*C275 + B276*C276 + B277*C277</f>
        <v>2400</v>
      </c>
      <c r="D278" s="35" t="s">
        <v>25</v>
      </c>
      <c r="E278" s="36" t="str">
        <f>E273*D273 + D274*E274 + D275*E275 + D276*E276 + D277*E277</f>
        <v>#VALUE!</v>
      </c>
      <c r="F278" s="35" t="s">
        <v>25</v>
      </c>
      <c r="G278" s="36">
        <f>G273*F273 + F274*G274 + F275*G275 + F276*G276 + F277*G277</f>
        <v>2525</v>
      </c>
      <c r="H278" s="35" t="s">
        <v>25</v>
      </c>
      <c r="I278" s="36">
        <f>I273*H273 + H274*I274 + H275*I275 + H276*I276 + H277*I277</f>
        <v>0</v>
      </c>
      <c r="J278" s="35" t="s">
        <v>25</v>
      </c>
      <c r="K278" s="36">
        <f>K273*J273 + J274*K274 + J275*K275 + J276*K276 + J277*K277</f>
        <v>2675</v>
      </c>
      <c r="L278" s="35" t="s">
        <v>25</v>
      </c>
      <c r="M278" s="36">
        <f>M273*L273 + L274*M274 + L275*M275 + L276*M276 + L277*M277</f>
        <v>0</v>
      </c>
      <c r="N278" s="35" t="s">
        <v>25</v>
      </c>
      <c r="O278" s="36">
        <f>O273*N273 + N274*O274 + N275*O275 + N276*O276 + N277*O277</f>
        <v>0</v>
      </c>
    </row>
    <row r="279">
      <c r="A279" s="37"/>
      <c r="B279" s="13" t="s">
        <v>26</v>
      </c>
      <c r="C279" s="38">
        <f>(B273*C273 + B274*C274 + B275*C275 + B276*C276 + B277*C277)/SUM(C273:C277)</f>
        <v>80</v>
      </c>
      <c r="D279" s="39" t="s">
        <v>26</v>
      </c>
      <c r="E279" s="40" t="str">
        <f>(D273*E273 + D274*E274 + D275*E275 + D276*E276 + D277*E277)/SUM(E273:E277)</f>
        <v>#VALUE!</v>
      </c>
      <c r="F279" s="13" t="s">
        <v>26</v>
      </c>
      <c r="G279" s="38">
        <f>(F273*G273 + F274*G274 + F275*G275 + F276*G276 + F277*G277)/SUM(G273:G277)</f>
        <v>84.16666667</v>
      </c>
      <c r="H279" s="13" t="s">
        <v>26</v>
      </c>
      <c r="I279" s="40" t="str">
        <f>(H273*I273 + H274*I274 + H275*I275 + H276*I276 + H277*I277)/SUM(I273:I277)</f>
        <v>#DIV/0!</v>
      </c>
      <c r="J279" s="39" t="s">
        <v>26</v>
      </c>
      <c r="K279" s="38">
        <f>(J273*K273 + J274*K274 + J275*K275 + J276*K276 + J277*K277)/SUM(K273:K277)</f>
        <v>89.16666667</v>
      </c>
      <c r="L279" s="13" t="s">
        <v>26</v>
      </c>
      <c r="M279" s="40" t="str">
        <f>(L273*M273 + L274*M274 + L275*M275 + L276*M276 + L277*M277)/SUM(M273:M277)</f>
        <v>#DIV/0!</v>
      </c>
      <c r="N279" s="13" t="s">
        <v>26</v>
      </c>
      <c r="O279" s="40" t="str">
        <f>(N273*O273 + N274*O274 + N275*O275 + N276*O276 + N277*O277)/SUM(O273:O277)</f>
        <v>#DIV/0!</v>
      </c>
    </row>
    <row r="280">
      <c r="A280" s="28" t="s">
        <v>27</v>
      </c>
      <c r="B280" s="11" t="s">
        <v>10</v>
      </c>
      <c r="C280" s="12" t="s">
        <v>11</v>
      </c>
      <c r="D280" s="11" t="s">
        <v>10</v>
      </c>
      <c r="E280" s="12" t="s">
        <v>11</v>
      </c>
      <c r="F280" s="11" t="s">
        <v>10</v>
      </c>
      <c r="G280" s="12" t="s">
        <v>11</v>
      </c>
      <c r="H280" s="11" t="s">
        <v>10</v>
      </c>
      <c r="I280" s="12" t="s">
        <v>11</v>
      </c>
      <c r="J280" s="11" t="s">
        <v>10</v>
      </c>
      <c r="K280" s="12" t="s">
        <v>11</v>
      </c>
      <c r="L280" s="11" t="s">
        <v>10</v>
      </c>
      <c r="M280" s="12" t="s">
        <v>11</v>
      </c>
      <c r="N280" s="11" t="s">
        <v>10</v>
      </c>
      <c r="O280" s="12" t="s">
        <v>11</v>
      </c>
    </row>
    <row r="281">
      <c r="A281" s="41" t="s">
        <v>28</v>
      </c>
      <c r="B281" s="20" t="s">
        <v>73</v>
      </c>
      <c r="C281" s="17"/>
      <c r="D281" s="43" t="s">
        <v>30</v>
      </c>
      <c r="E281" s="44" t="s">
        <v>31</v>
      </c>
      <c r="F281" s="68" t="s">
        <v>74</v>
      </c>
      <c r="G281" s="17"/>
      <c r="H281" s="19" t="s">
        <v>33</v>
      </c>
      <c r="I281" s="44"/>
      <c r="J281" s="70" t="s">
        <v>68</v>
      </c>
      <c r="K281" s="17"/>
      <c r="L281" s="43" t="s">
        <v>30</v>
      </c>
      <c r="M281" s="44" t="s">
        <v>31</v>
      </c>
      <c r="N281" s="42"/>
      <c r="O281" s="44"/>
    </row>
    <row r="282">
      <c r="A282" s="28"/>
      <c r="B282" s="46">
        <v>90.0</v>
      </c>
      <c r="C282" s="48">
        <v>10.0</v>
      </c>
      <c r="D282" s="1" t="s">
        <v>35</v>
      </c>
      <c r="E282" s="24" t="s">
        <v>36</v>
      </c>
      <c r="F282" s="46">
        <v>75.0</v>
      </c>
      <c r="G282" s="22">
        <v>8.0</v>
      </c>
      <c r="H282" s="23"/>
      <c r="I282" s="24"/>
      <c r="J282" s="28">
        <v>65.0</v>
      </c>
      <c r="K282" s="54">
        <v>8.0</v>
      </c>
      <c r="L282" s="1" t="s">
        <v>35</v>
      </c>
      <c r="M282" s="24" t="s">
        <v>36</v>
      </c>
      <c r="N282" s="46"/>
      <c r="O282" s="26"/>
    </row>
    <row r="283">
      <c r="A283" s="28" t="s">
        <v>37</v>
      </c>
      <c r="B283" s="46">
        <v>100.0</v>
      </c>
      <c r="C283" s="48">
        <v>10.0</v>
      </c>
      <c r="D283" s="1" t="s">
        <v>35</v>
      </c>
      <c r="E283" s="26" t="s">
        <v>38</v>
      </c>
      <c r="F283" s="46">
        <v>85.0</v>
      </c>
      <c r="G283" s="22">
        <v>8.0</v>
      </c>
      <c r="H283" s="23"/>
      <c r="I283" s="24"/>
      <c r="J283" s="27">
        <v>70.0</v>
      </c>
      <c r="K283" s="54">
        <v>8.0</v>
      </c>
      <c r="L283" s="1" t="s">
        <v>35</v>
      </c>
      <c r="M283" s="26" t="s">
        <v>38</v>
      </c>
      <c r="N283" s="46"/>
      <c r="O283" s="26"/>
    </row>
    <row r="284">
      <c r="A284" s="28" t="s">
        <v>39</v>
      </c>
      <c r="B284" s="46">
        <v>110.0</v>
      </c>
      <c r="C284" s="48">
        <v>10.0</v>
      </c>
      <c r="D284" s="1" t="s">
        <v>40</v>
      </c>
      <c r="E284" s="24" t="s">
        <v>38</v>
      </c>
      <c r="F284" s="46">
        <v>90.0</v>
      </c>
      <c r="G284" s="22">
        <v>8.0</v>
      </c>
      <c r="H284" s="23"/>
      <c r="I284" s="24"/>
      <c r="J284" s="27">
        <v>75.0</v>
      </c>
      <c r="K284" s="54">
        <v>8.0</v>
      </c>
      <c r="L284" s="1" t="s">
        <v>40</v>
      </c>
      <c r="M284" s="24" t="s">
        <v>38</v>
      </c>
      <c r="N284" s="46"/>
      <c r="O284" s="26"/>
    </row>
    <row r="285">
      <c r="A285" s="28"/>
      <c r="B285" s="46">
        <v>115.0</v>
      </c>
      <c r="C285" s="48">
        <v>10.0</v>
      </c>
      <c r="D285" s="1" t="s">
        <v>35</v>
      </c>
      <c r="E285" s="26" t="s">
        <v>38</v>
      </c>
      <c r="F285" s="46">
        <v>95.0</v>
      </c>
      <c r="G285" s="22">
        <v>8.0</v>
      </c>
      <c r="H285" s="23"/>
      <c r="I285" s="24"/>
      <c r="J285" s="47"/>
      <c r="K285" s="22"/>
      <c r="L285" s="1" t="s">
        <v>35</v>
      </c>
      <c r="M285" s="26" t="s">
        <v>38</v>
      </c>
      <c r="N285" s="46"/>
      <c r="O285" s="26"/>
    </row>
    <row r="286">
      <c r="A286" s="28" t="s">
        <v>41</v>
      </c>
      <c r="B286" s="13"/>
      <c r="C286" s="24"/>
      <c r="D286" s="1" t="s">
        <v>35</v>
      </c>
      <c r="E286" s="24" t="s">
        <v>42</v>
      </c>
      <c r="F286" s="31"/>
      <c r="G286" s="24"/>
      <c r="H286" s="23"/>
      <c r="I286" s="24"/>
      <c r="J286" s="31"/>
      <c r="K286" s="24"/>
      <c r="L286" s="1" t="s">
        <v>35</v>
      </c>
      <c r="M286" s="24" t="s">
        <v>42</v>
      </c>
      <c r="N286" s="32"/>
      <c r="O286" s="24"/>
    </row>
    <row r="287">
      <c r="A287" s="28" t="s">
        <v>43</v>
      </c>
      <c r="B287" s="32"/>
      <c r="C287" s="26"/>
      <c r="D287" s="32"/>
      <c r="E287" s="26"/>
      <c r="F287" s="32"/>
      <c r="G287" s="26"/>
      <c r="H287" s="28"/>
      <c r="I287" s="24"/>
      <c r="J287" s="13"/>
      <c r="K287" s="24"/>
      <c r="L287" s="32"/>
      <c r="M287" s="26"/>
      <c r="N287" s="32"/>
      <c r="O287" s="26"/>
    </row>
    <row r="288">
      <c r="A288" s="28"/>
      <c r="B288" s="35" t="s">
        <v>25</v>
      </c>
      <c r="C288" s="36">
        <f>C282*B282 + B283*C283 + B284*C284 + B285*C285 + B287*C287</f>
        <v>4150</v>
      </c>
      <c r="D288" s="35" t="s">
        <v>25</v>
      </c>
      <c r="E288" s="36" t="str">
        <f>E282*D282 + D283*E283 + D284*E284 + D285*E285 + D287*E287</f>
        <v>#VALUE!</v>
      </c>
      <c r="F288" s="35" t="s">
        <v>25</v>
      </c>
      <c r="G288" s="36">
        <f>G282*F282 + F283*G283 + F284*G284 + F285*G285 + F287*G287</f>
        <v>2760</v>
      </c>
      <c r="H288" s="35" t="s">
        <v>25</v>
      </c>
      <c r="I288" s="36">
        <f>I282*H282 + H283*I283 + H284*I284 + H285*I285 + H287*I287</f>
        <v>0</v>
      </c>
      <c r="J288" s="35" t="s">
        <v>25</v>
      </c>
      <c r="K288" s="36">
        <f>K282*J282 + J283*K283 + J284*K284 + J285*K285 + J287*K287</f>
        <v>1680</v>
      </c>
      <c r="L288" s="35" t="s">
        <v>25</v>
      </c>
      <c r="M288" s="36" t="str">
        <f>M282*L282 + L283*M283 + L284*M284 + L285*M285 + L287*M287</f>
        <v>#VALUE!</v>
      </c>
      <c r="N288" s="35" t="s">
        <v>25</v>
      </c>
      <c r="O288" s="36">
        <f>O282*N282 + N283*O283 + N284*O284 + N285*O285 + N287*O287</f>
        <v>0</v>
      </c>
    </row>
    <row r="289">
      <c r="A289" s="28" t="s">
        <v>69</v>
      </c>
      <c r="B289" s="39" t="s">
        <v>26</v>
      </c>
      <c r="C289" s="38">
        <f>(B283*C283 + B284*C284 + B285*C285 + B286*C286 + B287*C287)/SUM(C283:C287)</f>
        <v>108.3333333</v>
      </c>
      <c r="D289" s="39" t="s">
        <v>26</v>
      </c>
      <c r="E289" s="40" t="str">
        <f>(D283*E283 + D284*E284 + D285*E285 + D286*E286 + D287*E287)/SUM(E283:E287)</f>
        <v>#VALUE!</v>
      </c>
      <c r="F289" s="39" t="s">
        <v>26</v>
      </c>
      <c r="G289" s="38">
        <f>(F283*G283 + F284*G284 + F285*G285 + F286*G286 + F287*G287)/SUM(G283:G287)</f>
        <v>90</v>
      </c>
      <c r="H289" s="39" t="s">
        <v>26</v>
      </c>
      <c r="I289" s="40" t="str">
        <f>(H282*I282 + H283*I283 + H284*I284 + H285*I285 + H287*I287)/SUM(I282:I287)</f>
        <v>#DIV/0!</v>
      </c>
      <c r="J289" s="39" t="s">
        <v>26</v>
      </c>
      <c r="K289" s="40">
        <f>(J283*K283 + J284*K284 + J285*K285 + J286*K286 + J287*K287)/SUM(K283:K287)</f>
        <v>72.5</v>
      </c>
      <c r="L289" s="39" t="s">
        <v>26</v>
      </c>
      <c r="M289" s="40" t="str">
        <f>(L283*M283 + L284*M284 + L285*M285 + L286*M286 + L287*M287)/SUM(M283:M287)</f>
        <v>#VALUE!</v>
      </c>
      <c r="N289" s="39" t="s">
        <v>26</v>
      </c>
      <c r="O289" s="40" t="str">
        <f>(N283*O283 + N284*O284 + N285*O285 + N286*O286 + N287*O287)/SUM(O283:O287)</f>
        <v>#DIV/0!</v>
      </c>
    </row>
    <row r="290">
      <c r="A290" s="28" t="s">
        <v>70</v>
      </c>
      <c r="B290" s="42" t="s">
        <v>71</v>
      </c>
      <c r="C290" s="17"/>
      <c r="D290" s="18"/>
      <c r="E290" s="17"/>
      <c r="F290" s="42" t="s">
        <v>71</v>
      </c>
      <c r="G290" s="17"/>
      <c r="H290" s="43"/>
      <c r="I290" s="17"/>
      <c r="J290" s="42" t="s">
        <v>71</v>
      </c>
      <c r="K290" s="17"/>
      <c r="L290" s="49"/>
      <c r="M290" s="50"/>
      <c r="N290" s="49"/>
      <c r="O290" s="50"/>
    </row>
    <row r="291">
      <c r="A291" s="28"/>
      <c r="B291" s="46">
        <v>60.0</v>
      </c>
      <c r="C291" s="22">
        <v>8.0</v>
      </c>
      <c r="D291" s="51" t="s">
        <v>46</v>
      </c>
      <c r="E291" s="24"/>
      <c r="F291" s="46">
        <v>60.0</v>
      </c>
      <c r="G291" s="71">
        <v>8.0</v>
      </c>
      <c r="H291" s="23"/>
      <c r="I291" s="24"/>
      <c r="J291" s="46">
        <v>62.5</v>
      </c>
      <c r="K291" s="22">
        <v>8.0</v>
      </c>
      <c r="L291" s="21"/>
      <c r="M291" s="24"/>
      <c r="N291" s="21"/>
      <c r="O291" s="24"/>
    </row>
    <row r="292">
      <c r="A292" s="28"/>
      <c r="B292" s="46">
        <v>65.0</v>
      </c>
      <c r="C292" s="22">
        <v>8.0</v>
      </c>
      <c r="D292" s="23"/>
      <c r="E292" s="26"/>
      <c r="F292" s="46">
        <v>65.0</v>
      </c>
      <c r="G292" s="22">
        <v>8.0</v>
      </c>
      <c r="H292" s="23"/>
      <c r="I292" s="24"/>
      <c r="J292" s="46">
        <v>67.5</v>
      </c>
      <c r="K292" s="22">
        <v>8.0</v>
      </c>
      <c r="L292" s="21"/>
      <c r="M292" s="26"/>
      <c r="N292" s="21"/>
      <c r="O292" s="26"/>
    </row>
    <row r="293">
      <c r="A293" s="28"/>
      <c r="B293" s="46">
        <v>70.0</v>
      </c>
      <c r="C293" s="22">
        <v>8.0</v>
      </c>
      <c r="D293" s="23"/>
      <c r="E293" s="24"/>
      <c r="F293" s="46">
        <v>70.0</v>
      </c>
      <c r="G293" s="71">
        <v>8.0</v>
      </c>
      <c r="H293" s="23"/>
      <c r="I293" s="24"/>
      <c r="J293" s="46">
        <v>70.0</v>
      </c>
      <c r="K293" s="22">
        <v>8.0</v>
      </c>
      <c r="L293" s="46"/>
      <c r="M293" s="24"/>
      <c r="N293" s="46"/>
      <c r="O293" s="24"/>
    </row>
    <row r="294">
      <c r="A294" s="28"/>
      <c r="B294" s="46"/>
      <c r="C294" s="54"/>
      <c r="D294" s="46"/>
      <c r="E294" s="54"/>
      <c r="F294" s="46"/>
      <c r="G294" s="54"/>
      <c r="H294" s="1"/>
      <c r="I294" s="26"/>
      <c r="J294" s="28"/>
      <c r="K294" s="54"/>
      <c r="L294" s="21"/>
      <c r="M294" s="24"/>
      <c r="N294" s="21"/>
      <c r="O294" s="24"/>
    </row>
    <row r="295">
      <c r="A295" s="28"/>
      <c r="B295" s="13"/>
      <c r="C295" s="34"/>
      <c r="D295" s="21"/>
      <c r="E295" s="34"/>
      <c r="F295" s="13"/>
      <c r="G295" s="24"/>
      <c r="H295" s="28"/>
      <c r="I295" s="34"/>
      <c r="J295" s="13"/>
      <c r="K295" s="24"/>
      <c r="L295" s="31"/>
      <c r="M295" s="24"/>
      <c r="N295" s="31"/>
      <c r="O295" s="24"/>
    </row>
    <row r="296">
      <c r="A296" s="28"/>
      <c r="B296" s="35" t="s">
        <v>25</v>
      </c>
      <c r="C296" s="55">
        <f>C291*B291 + B292*C292 + B293*C293 + B294*C294 + B295*C295</f>
        <v>1560</v>
      </c>
      <c r="D296" s="35" t="s">
        <v>25</v>
      </c>
      <c r="E296" s="55" t="str">
        <f>E291*D291 + D292*E292 + D293*E293 + D294*E294 + D295*E295</f>
        <v>#VALUE!</v>
      </c>
      <c r="F296" s="35" t="s">
        <v>25</v>
      </c>
      <c r="G296" s="55">
        <f>G291*F291 + F292*G292 + F293*G293 + F294*G294 + F295*G295</f>
        <v>1560</v>
      </c>
      <c r="H296" s="35" t="s">
        <v>25</v>
      </c>
      <c r="I296" s="56">
        <f>I291*H291 + H292*I292 + H293*I293 + H294*I294 + H295*I295</f>
        <v>0</v>
      </c>
      <c r="J296" s="35" t="s">
        <v>25</v>
      </c>
      <c r="K296" s="36">
        <f>K291*J291 + J292*K292 + J293*K293 + J294*K294 + J295*K295</f>
        <v>1600</v>
      </c>
      <c r="L296" s="57" t="s">
        <v>25</v>
      </c>
      <c r="M296" s="58">
        <f>M291*L291 + L292*M292 + L293*M293 + L294*M294 + L295*M295</f>
        <v>0</v>
      </c>
      <c r="N296" s="57" t="s">
        <v>25</v>
      </c>
      <c r="O296" s="58">
        <f>O291*N291 + N292*O292 + N293*O293 + N294*O294 + N295*O295</f>
        <v>0</v>
      </c>
    </row>
    <row r="297">
      <c r="A297" s="28"/>
      <c r="B297" s="39" t="s">
        <v>26</v>
      </c>
      <c r="C297" s="40">
        <f>(B291*C291 + B292*C292 + B293*C293 + B294*C294 + B295*C295)/SUM(C291:C295)</f>
        <v>65</v>
      </c>
      <c r="D297" s="59" t="s">
        <v>26</v>
      </c>
      <c r="E297" s="40" t="str">
        <f>(D291*E291 + D292*E292 + D293*E293 + D294*E294 + D295*E295)/SUM(E291:E295)</f>
        <v>#VALUE!</v>
      </c>
      <c r="F297" s="39" t="s">
        <v>26</v>
      </c>
      <c r="G297" s="40">
        <f>(F291*G291 + F292*G292 + F293*G293 + F294*G294 + F295*G295)/SUM(G291:G295)</f>
        <v>65</v>
      </c>
      <c r="H297" s="59" t="s">
        <v>26</v>
      </c>
      <c r="I297" s="40" t="str">
        <f>(H291*I291 + H292*I292 + H293*I293 + H294*I294 + H295*I295)/SUM(I291:I295)</f>
        <v>#DIV/0!</v>
      </c>
      <c r="J297" s="39" t="s">
        <v>26</v>
      </c>
      <c r="K297" s="38">
        <f>(J291*K291 + J292*K292 + J293*K293 + J294*K294 + J295*K295)/SUM(K291:K295)</f>
        <v>66.66666667</v>
      </c>
      <c r="L297" s="59" t="s">
        <v>26</v>
      </c>
      <c r="M297" s="40" t="str">
        <f>(L291*M291 + L292*M292 + L293*M293 + L294*M294 + L295*M295)/SUM(M295)</f>
        <v>#DIV/0!</v>
      </c>
      <c r="N297" s="59" t="s">
        <v>26</v>
      </c>
      <c r="O297" s="40" t="str">
        <f>(N291*O291 + N292*O292 + N293*O293 + N294*O294 + N295*O295)/SUM(O295)</f>
        <v>#DIV/0!</v>
      </c>
    </row>
    <row r="298">
      <c r="A298" s="28"/>
      <c r="B298" s="28"/>
      <c r="C298" s="30" t="s">
        <v>49</v>
      </c>
      <c r="D298" s="28" t="s">
        <v>50</v>
      </c>
      <c r="E298" s="30" t="s">
        <v>49</v>
      </c>
      <c r="F298" s="28" t="s">
        <v>51</v>
      </c>
      <c r="G298" s="30" t="s">
        <v>49</v>
      </c>
      <c r="H298" s="28"/>
      <c r="I298" s="30" t="s">
        <v>49</v>
      </c>
      <c r="J298" s="28"/>
      <c r="K298" s="30" t="s">
        <v>49</v>
      </c>
      <c r="L298" s="28"/>
      <c r="M298" s="60" t="s">
        <v>49</v>
      </c>
      <c r="N298" s="28"/>
      <c r="O298" s="60" t="s">
        <v>49</v>
      </c>
    </row>
    <row r="299">
      <c r="A299" s="28"/>
      <c r="B299" s="27" t="s">
        <v>75</v>
      </c>
      <c r="C299" s="60"/>
      <c r="D299" s="23"/>
      <c r="E299" s="61"/>
      <c r="F299" s="27" t="s">
        <v>52</v>
      </c>
      <c r="G299" s="61"/>
      <c r="H299" s="30"/>
      <c r="I299" s="60"/>
      <c r="J299" s="27" t="s">
        <v>75</v>
      </c>
      <c r="K299" s="60"/>
      <c r="L299" s="27"/>
      <c r="M299" s="60"/>
      <c r="N299" s="27"/>
      <c r="O299" s="60"/>
    </row>
    <row r="300">
      <c r="A300" s="28"/>
      <c r="B300" s="52" t="s">
        <v>53</v>
      </c>
      <c r="C300" s="60"/>
      <c r="D300" s="23"/>
      <c r="E300" s="60"/>
      <c r="F300" s="52" t="s">
        <v>53</v>
      </c>
      <c r="G300" s="60"/>
      <c r="H300" s="30"/>
      <c r="I300" s="60"/>
      <c r="J300" s="52" t="s">
        <v>53</v>
      </c>
      <c r="K300" s="60"/>
      <c r="L300" s="27"/>
      <c r="M300" s="60"/>
      <c r="N300" s="27"/>
      <c r="O300" s="60"/>
    </row>
    <row r="301">
      <c r="A301" s="37"/>
      <c r="B301" s="32" t="s">
        <v>54</v>
      </c>
      <c r="C301" s="60"/>
      <c r="D301" s="23"/>
      <c r="E301" s="60"/>
      <c r="F301" s="32" t="s">
        <v>54</v>
      </c>
      <c r="G301" s="60"/>
      <c r="H301" s="30"/>
      <c r="I301" s="60"/>
      <c r="J301" s="32" t="s">
        <v>54</v>
      </c>
      <c r="K301" s="60"/>
      <c r="L301" s="1"/>
      <c r="M301" s="60"/>
      <c r="N301" s="30"/>
      <c r="O301" s="60"/>
    </row>
    <row r="302">
      <c r="A302" s="37"/>
      <c r="B302" s="28"/>
      <c r="C302" s="1"/>
      <c r="D302" s="28"/>
      <c r="E302" s="1"/>
      <c r="F302" s="28"/>
      <c r="G302" s="63"/>
      <c r="H302" s="30"/>
      <c r="I302" s="30"/>
      <c r="J302" s="28"/>
      <c r="K302" s="60"/>
      <c r="L302" s="30"/>
      <c r="M302" s="60"/>
      <c r="N302" s="30"/>
      <c r="O302" s="60"/>
    </row>
    <row r="303">
      <c r="A303" s="37"/>
      <c r="B303" s="28"/>
      <c r="C303" s="1"/>
      <c r="D303" s="28"/>
      <c r="E303" s="1"/>
      <c r="F303" s="28"/>
      <c r="G303" s="60"/>
      <c r="H303" s="28"/>
      <c r="I303" s="30"/>
      <c r="J303" s="28"/>
      <c r="K303" s="60"/>
      <c r="L303" s="30"/>
      <c r="M303" s="60"/>
      <c r="N303" s="30"/>
      <c r="O303" s="60"/>
    </row>
    <row r="304">
      <c r="A304" s="37"/>
      <c r="B304" s="28"/>
      <c r="C304" s="1"/>
      <c r="D304" s="28"/>
      <c r="E304" s="1"/>
      <c r="F304" s="28"/>
      <c r="G304" s="60"/>
      <c r="H304" s="30"/>
      <c r="I304" s="30"/>
      <c r="J304" s="37"/>
      <c r="K304" s="60"/>
      <c r="L304" s="30"/>
      <c r="M304" s="60"/>
      <c r="N304" s="30"/>
      <c r="O304" s="60"/>
    </row>
    <row r="305">
      <c r="A305" s="64"/>
      <c r="B305" s="65"/>
      <c r="C305" s="66"/>
      <c r="D305" s="65"/>
      <c r="E305" s="66"/>
      <c r="F305" s="64"/>
      <c r="G305" s="67"/>
      <c r="H305" s="66"/>
      <c r="I305" s="66"/>
      <c r="J305" s="64"/>
      <c r="K305" s="67"/>
      <c r="L305" s="66"/>
      <c r="M305" s="67"/>
      <c r="N305" s="66"/>
      <c r="O305" s="67"/>
    </row>
    <row r="307">
      <c r="A307" s="2" t="s">
        <v>2</v>
      </c>
      <c r="B307" s="3" t="s">
        <v>3</v>
      </c>
      <c r="C307" s="4">
        <f>O269+1</f>
        <v>45775</v>
      </c>
      <c r="D307" s="5" t="s">
        <v>4</v>
      </c>
      <c r="E307" s="6">
        <f>C307+1</f>
        <v>45776</v>
      </c>
      <c r="F307" s="3" t="s">
        <v>5</v>
      </c>
      <c r="G307" s="6">
        <f>E307+1</f>
        <v>45777</v>
      </c>
      <c r="H307" s="3" t="s">
        <v>6</v>
      </c>
      <c r="I307" s="6">
        <f>G307+1</f>
        <v>45778</v>
      </c>
      <c r="J307" s="3" t="s">
        <v>7</v>
      </c>
      <c r="K307" s="6">
        <f>I307+1</f>
        <v>45779</v>
      </c>
      <c r="L307" s="7" t="s">
        <v>8</v>
      </c>
      <c r="M307" s="8">
        <f>K307+1</f>
        <v>45780</v>
      </c>
      <c r="N307" s="9" t="s">
        <v>9</v>
      </c>
      <c r="O307" s="8">
        <f>M307+1</f>
        <v>45781</v>
      </c>
    </row>
    <row r="308">
      <c r="A308" s="10">
        <f>A270+1</f>
        <v>9</v>
      </c>
      <c r="B308" s="11" t="s">
        <v>10</v>
      </c>
      <c r="C308" s="12" t="s">
        <v>11</v>
      </c>
      <c r="D308" s="11" t="s">
        <v>10</v>
      </c>
      <c r="E308" s="12" t="s">
        <v>11</v>
      </c>
      <c r="F308" s="11" t="s">
        <v>10</v>
      </c>
      <c r="G308" s="12" t="s">
        <v>11</v>
      </c>
      <c r="H308" s="11" t="s">
        <v>10</v>
      </c>
      <c r="I308" s="12" t="s">
        <v>11</v>
      </c>
      <c r="J308" s="11" t="s">
        <v>10</v>
      </c>
      <c r="K308" s="12" t="s">
        <v>11</v>
      </c>
      <c r="L308" s="11" t="s">
        <v>10</v>
      </c>
      <c r="M308" s="12" t="s">
        <v>11</v>
      </c>
      <c r="N308" s="11" t="s">
        <v>10</v>
      </c>
      <c r="O308" s="12" t="s">
        <v>11</v>
      </c>
    </row>
    <row r="309">
      <c r="A309" s="13"/>
      <c r="B309" s="14"/>
      <c r="C309" s="15"/>
      <c r="D309" s="14"/>
      <c r="E309" s="15"/>
      <c r="F309" s="14"/>
      <c r="G309" s="15"/>
      <c r="H309" s="14"/>
      <c r="I309" s="15"/>
      <c r="J309" s="14"/>
      <c r="K309" s="15"/>
      <c r="L309" s="14"/>
      <c r="M309" s="15"/>
      <c r="N309" s="14"/>
      <c r="O309" s="15"/>
    </row>
    <row r="310">
      <c r="A310" s="13" t="s">
        <v>12</v>
      </c>
      <c r="B310" s="70" t="s">
        <v>72</v>
      </c>
      <c r="C310" s="17"/>
      <c r="D310" s="18" t="s">
        <v>14</v>
      </c>
      <c r="E310" s="17"/>
      <c r="F310" s="70" t="s">
        <v>72</v>
      </c>
      <c r="G310" s="17"/>
      <c r="H310" s="42" t="s">
        <v>15</v>
      </c>
      <c r="I310" s="17"/>
      <c r="J310" s="70" t="s">
        <v>72</v>
      </c>
      <c r="K310" s="17"/>
      <c r="L310" s="72" t="s">
        <v>14</v>
      </c>
      <c r="M310" s="17"/>
      <c r="N310" s="20" t="s">
        <v>17</v>
      </c>
      <c r="O310" s="17"/>
    </row>
    <row r="311">
      <c r="A311" s="13"/>
      <c r="B311" s="46">
        <v>75.0</v>
      </c>
      <c r="C311" s="22">
        <v>10.0</v>
      </c>
      <c r="D311" s="23" t="s">
        <v>76</v>
      </c>
      <c r="E311" s="24" t="s">
        <v>77</v>
      </c>
      <c r="F311" s="46">
        <v>80.0</v>
      </c>
      <c r="G311" s="22">
        <v>10.0</v>
      </c>
      <c r="H311" s="52" t="s">
        <v>78</v>
      </c>
      <c r="I311" s="26"/>
      <c r="J311" s="46">
        <v>85.0</v>
      </c>
      <c r="K311" s="22">
        <v>10.0</v>
      </c>
      <c r="L311" s="52" t="s">
        <v>79</v>
      </c>
      <c r="M311" s="24"/>
      <c r="N311" s="27"/>
      <c r="O311" s="24"/>
    </row>
    <row r="312">
      <c r="A312" s="28" t="s">
        <v>20</v>
      </c>
      <c r="B312" s="46">
        <v>80.0</v>
      </c>
      <c r="C312" s="22">
        <v>10.0</v>
      </c>
      <c r="D312" s="23" t="s">
        <v>80</v>
      </c>
      <c r="E312" s="26" t="s">
        <v>81</v>
      </c>
      <c r="F312" s="46">
        <v>85.0</v>
      </c>
      <c r="G312" s="22">
        <v>10.0</v>
      </c>
      <c r="H312" s="32"/>
      <c r="I312" s="26"/>
      <c r="J312" s="46">
        <v>90.0</v>
      </c>
      <c r="K312" s="22">
        <v>10.0</v>
      </c>
      <c r="L312" s="32" t="s">
        <v>82</v>
      </c>
      <c r="M312" s="24"/>
      <c r="N312" s="28"/>
      <c r="O312" s="24"/>
    </row>
    <row r="313">
      <c r="A313" s="29" t="s">
        <v>22</v>
      </c>
      <c r="B313" s="46">
        <v>85.0</v>
      </c>
      <c r="C313" s="22">
        <v>10.0</v>
      </c>
      <c r="D313" s="30" t="s">
        <v>83</v>
      </c>
      <c r="E313" s="26" t="s">
        <v>84</v>
      </c>
      <c r="F313" s="46">
        <v>87.5</v>
      </c>
      <c r="G313" s="22">
        <v>10.0</v>
      </c>
      <c r="H313" s="23"/>
      <c r="I313" s="26"/>
      <c r="J313" s="46">
        <v>92.5</v>
      </c>
      <c r="K313" s="22">
        <v>10.0</v>
      </c>
      <c r="L313" s="23"/>
      <c r="M313" s="24"/>
      <c r="N313" s="23"/>
      <c r="O313" s="24"/>
    </row>
    <row r="314">
      <c r="A314" s="28" t="s">
        <v>23</v>
      </c>
      <c r="B314" s="46"/>
      <c r="C314" s="22"/>
      <c r="D314" s="23" t="s">
        <v>85</v>
      </c>
      <c r="E314" s="26"/>
      <c r="F314" s="47"/>
      <c r="G314" s="22"/>
      <c r="H314" s="31"/>
      <c r="I314" s="24"/>
      <c r="J314" s="47"/>
      <c r="K314" s="22"/>
      <c r="L314" s="23"/>
      <c r="M314" s="26"/>
      <c r="N314" s="32"/>
      <c r="O314" s="26"/>
    </row>
    <row r="315">
      <c r="A315" s="13"/>
      <c r="B315" s="33"/>
      <c r="C315" s="26"/>
      <c r="D315" s="73" t="s">
        <v>86</v>
      </c>
      <c r="E315" s="26"/>
      <c r="F315" s="33"/>
      <c r="G315" s="26"/>
      <c r="H315" s="13"/>
      <c r="I315" s="34"/>
      <c r="J315" s="13"/>
      <c r="K315" s="24"/>
      <c r="L315" s="13"/>
      <c r="M315" s="24"/>
      <c r="N315" s="13"/>
      <c r="O315" s="24"/>
    </row>
    <row r="316">
      <c r="A316" s="28" t="s">
        <v>24</v>
      </c>
      <c r="B316" s="35" t="s">
        <v>25</v>
      </c>
      <c r="C316" s="36">
        <f>C311*B311 + B312*C312 + B313*C313 + B314*C314 + B315*C315</f>
        <v>2400</v>
      </c>
      <c r="D316" s="57" t="s">
        <v>25</v>
      </c>
      <c r="E316" s="55" t="str">
        <f>E311*D311 + D312*#REF! + E312*E313 + D314*E314 + D315*E315</f>
        <v>#VALUE!</v>
      </c>
      <c r="F316" s="35" t="s">
        <v>25</v>
      </c>
      <c r="G316" s="36">
        <f>G311*F311 + F312*G312 + F313*G313 + F314*G314 + F315*G315</f>
        <v>2525</v>
      </c>
      <c r="H316" s="35" t="s">
        <v>25</v>
      </c>
      <c r="I316" s="56" t="str">
        <f>I311*H311 + H312*I312 + H313*I313 + H314*I314 + H315*I315</f>
        <v>#VALUE!</v>
      </c>
      <c r="J316" s="35" t="s">
        <v>25</v>
      </c>
      <c r="K316" s="36">
        <f>K311*J311 + J312*K312 + J313*K313 + J314*K314 + J315*K315</f>
        <v>2675</v>
      </c>
      <c r="L316" s="35" t="s">
        <v>25</v>
      </c>
      <c r="M316" s="36" t="str">
        <f>M311*L311 + L312*M312 + L313*M313 + L314*M314 + L315*M315</f>
        <v>#VALUE!</v>
      </c>
      <c r="N316" s="35" t="s">
        <v>25</v>
      </c>
      <c r="O316" s="36">
        <f>O311*N311 + N312*O312 + N313*O313 + N314*O314 + N315*O315</f>
        <v>0</v>
      </c>
    </row>
    <row r="317">
      <c r="A317" s="37"/>
      <c r="B317" s="13" t="s">
        <v>26</v>
      </c>
      <c r="C317" s="38">
        <f>(B311*C311 + B312*C312 + B313*C313 + B314*C314 + B315*C315)/SUM(C311:C315)</f>
        <v>80</v>
      </c>
      <c r="D317" s="31" t="s">
        <v>26</v>
      </c>
      <c r="E317" s="74" t="str">
        <f>(D311*E311 + D312*#REF! + E312*E313 + D314*E314 + D315*E315)/SUM(E311:E315)</f>
        <v>#VALUE!</v>
      </c>
      <c r="F317" s="13" t="s">
        <v>26</v>
      </c>
      <c r="G317" s="38">
        <f>(F311*G311 + F312*G312 + F313*G313 + F314*G314 + F315*G315)/SUM(G311:G315)</f>
        <v>84.16666667</v>
      </c>
      <c r="H317" s="13" t="s">
        <v>26</v>
      </c>
      <c r="I317" s="74" t="str">
        <f>(H311*I311 + H312*I312 + H313*I313 + H314*I314 + H315*I315)/SUM(I311:I315)</f>
        <v>#VALUE!</v>
      </c>
      <c r="J317" s="39" t="s">
        <v>26</v>
      </c>
      <c r="K317" s="38">
        <f>(J311*K311 + J312*K312 + J313*K313 + J314*K314 + J315*K315)/SUM(K311:K315)</f>
        <v>89.16666667</v>
      </c>
      <c r="L317" s="13" t="s">
        <v>26</v>
      </c>
      <c r="M317" s="75" t="str">
        <f>(L311*M311 + L312*M312 + L313*M313 + L314*M314 + L315*M315)/SUM(M311:M315)</f>
        <v>#VALUE!</v>
      </c>
      <c r="N317" s="13" t="s">
        <v>26</v>
      </c>
      <c r="O317" s="40" t="str">
        <f>(N311*O311 + N312*O312 + N313*O313 + N314*O314 + N315*O315)/SUM(O311:O315)</f>
        <v>#DIV/0!</v>
      </c>
    </row>
    <row r="318">
      <c r="A318" s="28" t="s">
        <v>27</v>
      </c>
      <c r="B318" s="11" t="s">
        <v>10</v>
      </c>
      <c r="C318" s="12" t="s">
        <v>11</v>
      </c>
      <c r="D318" s="11" t="s">
        <v>10</v>
      </c>
      <c r="E318" s="12" t="s">
        <v>11</v>
      </c>
      <c r="F318" s="11" t="s">
        <v>10</v>
      </c>
      <c r="G318" s="12" t="s">
        <v>11</v>
      </c>
      <c r="H318" s="11" t="s">
        <v>10</v>
      </c>
      <c r="I318" s="12" t="s">
        <v>11</v>
      </c>
      <c r="J318" s="11" t="s">
        <v>10</v>
      </c>
      <c r="K318" s="12" t="s">
        <v>11</v>
      </c>
      <c r="L318" s="11" t="s">
        <v>10</v>
      </c>
      <c r="M318" s="12" t="s">
        <v>11</v>
      </c>
      <c r="N318" s="11" t="s">
        <v>10</v>
      </c>
      <c r="O318" s="12" t="s">
        <v>11</v>
      </c>
    </row>
    <row r="319">
      <c r="A319" s="41" t="s">
        <v>28</v>
      </c>
      <c r="B319" s="20" t="s">
        <v>87</v>
      </c>
      <c r="C319" s="17"/>
      <c r="D319" s="45" t="s">
        <v>88</v>
      </c>
      <c r="E319" s="76" t="s">
        <v>49</v>
      </c>
      <c r="F319" s="68" t="s">
        <v>87</v>
      </c>
      <c r="G319" s="17"/>
      <c r="H319" s="42" t="s">
        <v>89</v>
      </c>
      <c r="I319" s="44" t="s">
        <v>90</v>
      </c>
      <c r="J319" s="70"/>
      <c r="K319" s="17"/>
      <c r="L319" s="42" t="s">
        <v>91</v>
      </c>
      <c r="M319" s="44" t="s">
        <v>90</v>
      </c>
      <c r="N319" s="42"/>
      <c r="O319" s="44"/>
    </row>
    <row r="320">
      <c r="A320" s="28"/>
      <c r="B320" s="46" t="s">
        <v>92</v>
      </c>
      <c r="C320" s="48"/>
      <c r="D320" s="23">
        <v>30.0</v>
      </c>
      <c r="E320" s="54"/>
      <c r="F320" s="46" t="s">
        <v>93</v>
      </c>
      <c r="G320" s="22"/>
      <c r="H320" s="32" t="s">
        <v>94</v>
      </c>
      <c r="I320" s="24"/>
      <c r="J320" s="28"/>
      <c r="K320" s="54"/>
      <c r="L320" s="32" t="s">
        <v>95</v>
      </c>
      <c r="M320" s="26"/>
      <c r="N320" s="46"/>
      <c r="O320" s="26"/>
    </row>
    <row r="321">
      <c r="A321" s="28" t="s">
        <v>37</v>
      </c>
      <c r="B321" s="46"/>
      <c r="C321" s="48"/>
      <c r="D321" s="23">
        <v>60.0</v>
      </c>
      <c r="E321" s="54"/>
      <c r="F321" s="46"/>
      <c r="G321" s="22"/>
      <c r="H321" s="32" t="s">
        <v>94</v>
      </c>
      <c r="I321" s="24"/>
      <c r="J321" s="27"/>
      <c r="K321" s="54"/>
      <c r="L321" s="32" t="s">
        <v>96</v>
      </c>
      <c r="M321" s="26"/>
      <c r="N321" s="46"/>
      <c r="O321" s="26"/>
    </row>
    <row r="322">
      <c r="A322" s="28" t="s">
        <v>39</v>
      </c>
      <c r="B322" s="46" t="s">
        <v>97</v>
      </c>
      <c r="C322" s="48"/>
      <c r="D322" s="23">
        <v>80.0</v>
      </c>
      <c r="E322" s="54"/>
      <c r="F322" s="46"/>
      <c r="G322" s="22"/>
      <c r="H322" s="32" t="s">
        <v>98</v>
      </c>
      <c r="I322" s="24"/>
      <c r="J322" s="27"/>
      <c r="K322" s="54"/>
      <c r="L322" s="32" t="s">
        <v>99</v>
      </c>
      <c r="M322" s="26"/>
      <c r="N322" s="46"/>
      <c r="O322" s="26"/>
    </row>
    <row r="323">
      <c r="A323" s="28"/>
      <c r="B323" s="46"/>
      <c r="C323" s="48"/>
      <c r="D323" s="23">
        <v>100.0</v>
      </c>
      <c r="E323" s="54"/>
      <c r="F323" s="46"/>
      <c r="G323" s="22"/>
      <c r="H323" s="32" t="s">
        <v>98</v>
      </c>
      <c r="I323" s="24"/>
      <c r="J323" s="47"/>
      <c r="K323" s="22"/>
      <c r="L323" s="32" t="s">
        <v>100</v>
      </c>
      <c r="M323" s="26"/>
      <c r="N323" s="46"/>
      <c r="O323" s="26"/>
    </row>
    <row r="324">
      <c r="A324" s="28" t="s">
        <v>41</v>
      </c>
      <c r="B324" s="13"/>
      <c r="C324" s="24"/>
      <c r="D324" s="1" t="s">
        <v>101</v>
      </c>
      <c r="E324" s="24"/>
      <c r="F324" s="31"/>
      <c r="G324" s="24"/>
      <c r="H324" s="32" t="s">
        <v>102</v>
      </c>
      <c r="I324" s="24"/>
      <c r="J324" s="31"/>
      <c r="K324" s="24"/>
      <c r="L324" s="32" t="s">
        <v>99</v>
      </c>
      <c r="M324" s="24"/>
      <c r="N324" s="32"/>
      <c r="O324" s="24"/>
    </row>
    <row r="325">
      <c r="A325" s="28" t="s">
        <v>43</v>
      </c>
      <c r="B325" s="32"/>
      <c r="C325" s="26"/>
      <c r="D325" s="28" t="s">
        <v>103</v>
      </c>
      <c r="E325" s="34"/>
      <c r="F325" s="32"/>
      <c r="G325" s="26"/>
      <c r="H325" s="32" t="s">
        <v>102</v>
      </c>
      <c r="I325" s="24"/>
      <c r="J325" s="13"/>
      <c r="K325" s="24"/>
      <c r="L325" s="32"/>
      <c r="M325" s="24" t="s">
        <v>42</v>
      </c>
      <c r="N325" s="32"/>
      <c r="O325" s="26"/>
    </row>
    <row r="326">
      <c r="A326" s="28"/>
      <c r="B326" s="35" t="s">
        <v>25</v>
      </c>
      <c r="C326" s="36" t="str">
        <f>C320*B320 + B321*C321 + B322*C322 + B323*C323 + B325*C325</f>
        <v>#VALUE!</v>
      </c>
      <c r="D326" s="35" t="s">
        <v>25</v>
      </c>
      <c r="E326" s="55" t="str">
        <f>E320*D320 + D321*E321 + D322*E322 + D323*E323 + D325*E325</f>
        <v>#VALUE!</v>
      </c>
      <c r="F326" s="35" t="s">
        <v>25</v>
      </c>
      <c r="G326" s="36" t="str">
        <f>G320*F320 + F321*G321 + F322*G322 + F323*G323 + F325*G325</f>
        <v>#VALUE!</v>
      </c>
      <c r="H326" s="35" t="s">
        <v>25</v>
      </c>
      <c r="I326" s="56" t="str">
        <f>I320*H320 + H321*I321 + H322*I322 + H323*I323 + H325*I325</f>
        <v>#VALUE!</v>
      </c>
      <c r="J326" s="35" t="s">
        <v>25</v>
      </c>
      <c r="K326" s="36">
        <f>K320*J320 + J321*K321 + J322*K322 + J323*K323 + J325*K325</f>
        <v>0</v>
      </c>
      <c r="L326" s="35" t="s">
        <v>25</v>
      </c>
      <c r="M326" s="36" t="str">
        <f>M320*L320 + L321*M321 + L322*M322 + L323*M323 + L325*M325</f>
        <v>#VALUE!</v>
      </c>
      <c r="N326" s="35" t="s">
        <v>25</v>
      </c>
      <c r="O326" s="36">
        <f>O320*N320 + N321*O321 + N322*O322 + N323*O323 + N325*O325</f>
        <v>0</v>
      </c>
    </row>
    <row r="327">
      <c r="A327" s="28" t="s">
        <v>69</v>
      </c>
      <c r="B327" s="39" t="s">
        <v>26</v>
      </c>
      <c r="C327" s="38" t="str">
        <f>(B321*C321 + B322*C322 + B323*C323 + B324*C324 + B325*C325)/SUM(C321:C325)</f>
        <v>#VALUE!</v>
      </c>
      <c r="D327" s="39" t="s">
        <v>26</v>
      </c>
      <c r="E327" s="77" t="str">
        <f>(D320*E320 + D321*E321 + D322*E322 + D323*E323 + D325*E325)/SUM(E320:E325)</f>
        <v>#VALUE!</v>
      </c>
      <c r="F327" s="39" t="s">
        <v>26</v>
      </c>
      <c r="G327" s="38" t="str">
        <f>(F321*G321 + F322*G322 + F323*G323 + F324*G324 + F325*G325)/SUM(G321:G325)</f>
        <v>#DIV/0!</v>
      </c>
      <c r="H327" s="39" t="s">
        <v>26</v>
      </c>
      <c r="I327" s="77" t="str">
        <f>(H320*I320 + H321*I321 + H322*I322 + H323*I323 + H325*I325)/SUM(I320:I325)</f>
        <v>#VALUE!</v>
      </c>
      <c r="J327" s="39" t="s">
        <v>26</v>
      </c>
      <c r="K327" s="40" t="str">
        <f>(J321*K321 + J322*K322 + J323*K323 + J324*K324 + J325*K325)/SUM(K321:K325)</f>
        <v>#DIV/0!</v>
      </c>
      <c r="L327" s="39" t="s">
        <v>26</v>
      </c>
      <c r="M327" s="40" t="str">
        <f>(L320*M320 + L321*M321 + L322*M322 + L323*M323 + L325*M325)/SUM(M320:M325)</f>
        <v>#VALUE!</v>
      </c>
      <c r="N327" s="39" t="s">
        <v>26</v>
      </c>
      <c r="O327" s="40" t="str">
        <f>(N321*O321 + N322*O322 + N323*O323 + N324*O324 + N325*O325)/SUM(O321:O325)</f>
        <v>#DIV/0!</v>
      </c>
    </row>
    <row r="328">
      <c r="A328" s="28" t="s">
        <v>70</v>
      </c>
      <c r="B328" s="42" t="s">
        <v>71</v>
      </c>
      <c r="C328" s="17"/>
      <c r="D328" s="45" t="s">
        <v>104</v>
      </c>
      <c r="E328" s="17"/>
      <c r="F328" s="42" t="s">
        <v>71</v>
      </c>
      <c r="G328" s="17"/>
      <c r="H328" s="49" t="s">
        <v>33</v>
      </c>
      <c r="I328" s="17"/>
      <c r="J328" s="42" t="s">
        <v>71</v>
      </c>
      <c r="K328" s="17"/>
      <c r="L328" s="42" t="s">
        <v>105</v>
      </c>
      <c r="M328" s="44" t="s">
        <v>49</v>
      </c>
      <c r="N328" s="49"/>
      <c r="O328" s="50"/>
    </row>
    <row r="329">
      <c r="A329" s="28"/>
      <c r="B329" s="46">
        <v>60.0</v>
      </c>
      <c r="C329" s="22">
        <v>8.0</v>
      </c>
      <c r="D329" s="78">
        <v>30.0</v>
      </c>
      <c r="E329" s="24"/>
      <c r="F329" s="46">
        <v>65.0</v>
      </c>
      <c r="G329" s="71">
        <v>8.0</v>
      </c>
      <c r="H329" s="23"/>
      <c r="I329" s="24"/>
      <c r="J329" s="46">
        <v>62.5</v>
      </c>
      <c r="K329" s="22">
        <v>8.0</v>
      </c>
      <c r="L329" s="32" t="s">
        <v>106</v>
      </c>
      <c r="M329" s="24"/>
      <c r="N329" s="21"/>
      <c r="O329" s="24"/>
    </row>
    <row r="330">
      <c r="A330" s="28"/>
      <c r="B330" s="46">
        <v>65.0</v>
      </c>
      <c r="C330" s="22">
        <v>8.0</v>
      </c>
      <c r="D330" s="21">
        <v>100.0</v>
      </c>
      <c r="E330" s="26"/>
      <c r="F330" s="46">
        <v>67.5</v>
      </c>
      <c r="G330" s="22">
        <v>8.0</v>
      </c>
      <c r="H330" s="23"/>
      <c r="I330" s="24"/>
      <c r="J330" s="46">
        <v>67.5</v>
      </c>
      <c r="K330" s="22">
        <v>8.0</v>
      </c>
      <c r="L330" s="32" t="s">
        <v>107</v>
      </c>
      <c r="M330" s="26"/>
      <c r="N330" s="21"/>
      <c r="O330" s="26"/>
    </row>
    <row r="331">
      <c r="A331" s="28"/>
      <c r="B331" s="46">
        <v>70.0</v>
      </c>
      <c r="C331" s="22">
        <v>8.0</v>
      </c>
      <c r="D331" s="21">
        <v>60.0</v>
      </c>
      <c r="E331" s="24"/>
      <c r="F331" s="46">
        <v>72.5</v>
      </c>
      <c r="G331" s="71">
        <v>8.0</v>
      </c>
      <c r="H331" s="23"/>
      <c r="I331" s="24"/>
      <c r="J331" s="46">
        <v>70.0</v>
      </c>
      <c r="K331" s="22">
        <v>8.0</v>
      </c>
      <c r="L331" s="32" t="s">
        <v>108</v>
      </c>
      <c r="M331" s="24"/>
      <c r="N331" s="46"/>
      <c r="O331" s="24"/>
    </row>
    <row r="332">
      <c r="A332" s="28"/>
      <c r="B332" s="46"/>
      <c r="C332" s="54"/>
      <c r="D332" s="21">
        <v>80.0</v>
      </c>
      <c r="E332" s="79"/>
      <c r="F332" s="46"/>
      <c r="G332" s="54"/>
      <c r="H332" s="28"/>
      <c r="I332" s="34"/>
      <c r="J332" s="28"/>
      <c r="K332" s="54"/>
      <c r="L332" s="32" t="s">
        <v>109</v>
      </c>
      <c r="M332" s="24"/>
      <c r="N332" s="21"/>
      <c r="O332" s="24"/>
    </row>
    <row r="333">
      <c r="A333" s="28"/>
      <c r="B333" s="13"/>
      <c r="C333" s="34"/>
      <c r="D333" s="21">
        <v>30.0</v>
      </c>
      <c r="E333" s="34"/>
      <c r="F333" s="13"/>
      <c r="G333" s="24"/>
      <c r="H333" s="28"/>
      <c r="I333" s="34"/>
      <c r="J333" s="13"/>
      <c r="K333" s="24"/>
      <c r="L333" s="31"/>
      <c r="M333" s="24"/>
      <c r="N333" s="31"/>
      <c r="O333" s="24"/>
    </row>
    <row r="334">
      <c r="A334" s="28"/>
      <c r="B334" s="35" t="s">
        <v>25</v>
      </c>
      <c r="C334" s="55">
        <f>C329*B329 + B330*C330 + B331*C331 + B332*C332 + B333*C333</f>
        <v>1560</v>
      </c>
      <c r="D334" s="35" t="s">
        <v>25</v>
      </c>
      <c r="E334" s="55">
        <f>E329*D329 + D330*E330 + D331*E331 + D332*E332 + D333*E333</f>
        <v>0</v>
      </c>
      <c r="F334" s="35" t="s">
        <v>25</v>
      </c>
      <c r="G334" s="55">
        <f>G329*F329 + F330*G330 + F331*G331 + F332*G332 + F333*G333</f>
        <v>1640</v>
      </c>
      <c r="H334" s="35" t="s">
        <v>25</v>
      </c>
      <c r="I334" s="56">
        <f>I329*H329 + H330*I330 + H331*I331 + H332*I332 + H333*I333</f>
        <v>0</v>
      </c>
      <c r="J334" s="35" t="s">
        <v>25</v>
      </c>
      <c r="K334" s="36">
        <f>K329*J329 + J330*K330 + J331*K331 + J332*K332 + J333*K333</f>
        <v>1600</v>
      </c>
      <c r="L334" s="57" t="s">
        <v>25</v>
      </c>
      <c r="M334" s="58" t="str">
        <f>M329*L329 + L330*M330 + L331*M331 + L332*M332 + L333*M333</f>
        <v>#VALUE!</v>
      </c>
      <c r="N334" s="57" t="s">
        <v>25</v>
      </c>
      <c r="O334" s="58">
        <f>O329*N329 + N330*O330 + N331*O331 + N332*O332 + N333*O333</f>
        <v>0</v>
      </c>
    </row>
    <row r="335">
      <c r="A335" s="28"/>
      <c r="B335" s="39" t="s">
        <v>26</v>
      </c>
      <c r="C335" s="40">
        <f>(B329*C329 + B330*C330 + B331*C331 + B332*C332 + B333*C333)/SUM(C329:C333)</f>
        <v>65</v>
      </c>
      <c r="D335" s="59" t="s">
        <v>26</v>
      </c>
      <c r="E335" s="40" t="str">
        <f>(D329*E329 + D330*E330 + D331*E331 + D332*E332 + D333*E333)/SUM(E329:E333)</f>
        <v>#DIV/0!</v>
      </c>
      <c r="F335" s="39" t="s">
        <v>26</v>
      </c>
      <c r="G335" s="38">
        <f>(F329*G329 + F330*G330 + F331*G331 + F332*G332 + F333*G333)/SUM(G329:G333)</f>
        <v>68.33333333</v>
      </c>
      <c r="H335" s="59" t="s">
        <v>26</v>
      </c>
      <c r="I335" s="40" t="str">
        <f>(H329*I329 + H330*I330 + H331*I331 + H332*I332 + H333*I333)/SUM(I329:I333)</f>
        <v>#DIV/0!</v>
      </c>
      <c r="J335" s="39" t="s">
        <v>26</v>
      </c>
      <c r="K335" s="38">
        <f>(J329*K329 + J330*K330 + J331*K331 + J332*K332 + J333*K333)/SUM(K329:K333)</f>
        <v>66.66666667</v>
      </c>
      <c r="L335" s="59" t="s">
        <v>26</v>
      </c>
      <c r="M335" s="40" t="str">
        <f>(L329*M329 + L330*M330 + L331*M331 + L332*M332 + L333*M333)/SUM(M329:M333)</f>
        <v>#VALUE!</v>
      </c>
      <c r="N335" s="59" t="s">
        <v>26</v>
      </c>
      <c r="O335" s="40" t="str">
        <f>(N329*O329 + N330*O330 + N331*O331 + N332*O332 + N333*O333)/SUM(O333)</f>
        <v>#DIV/0!</v>
      </c>
    </row>
    <row r="336">
      <c r="A336" s="28"/>
      <c r="B336" s="28"/>
      <c r="C336" s="30" t="s">
        <v>49</v>
      </c>
      <c r="D336" s="28" t="s">
        <v>50</v>
      </c>
      <c r="E336" s="30" t="s">
        <v>49</v>
      </c>
      <c r="F336" s="28" t="s">
        <v>51</v>
      </c>
      <c r="G336" s="30" t="s">
        <v>49</v>
      </c>
      <c r="H336" s="28"/>
      <c r="I336" s="30" t="s">
        <v>49</v>
      </c>
      <c r="J336" s="28"/>
      <c r="K336" s="30" t="s">
        <v>49</v>
      </c>
      <c r="L336" s="28"/>
      <c r="M336" s="60" t="s">
        <v>49</v>
      </c>
      <c r="N336" s="28"/>
      <c r="O336" s="60" t="s">
        <v>49</v>
      </c>
    </row>
    <row r="337">
      <c r="A337" s="28"/>
      <c r="B337" s="27" t="s">
        <v>75</v>
      </c>
      <c r="C337" s="60"/>
      <c r="D337" s="23"/>
      <c r="E337" s="61"/>
      <c r="F337" s="27" t="s">
        <v>52</v>
      </c>
      <c r="G337" s="61"/>
      <c r="H337" s="30"/>
      <c r="I337" s="60"/>
      <c r="J337" s="27" t="s">
        <v>75</v>
      </c>
      <c r="K337" s="60"/>
      <c r="L337" s="27"/>
      <c r="M337" s="60"/>
      <c r="N337" s="27"/>
      <c r="O337" s="60"/>
    </row>
    <row r="338">
      <c r="A338" s="28"/>
      <c r="B338" s="52" t="s">
        <v>53</v>
      </c>
      <c r="C338" s="60"/>
      <c r="D338" s="23"/>
      <c r="E338" s="60"/>
      <c r="F338" s="52" t="s">
        <v>53</v>
      </c>
      <c r="G338" s="60"/>
      <c r="H338" s="30"/>
      <c r="I338" s="60"/>
      <c r="J338" s="52" t="s">
        <v>53</v>
      </c>
      <c r="K338" s="60"/>
      <c r="L338" s="27"/>
      <c r="M338" s="60"/>
      <c r="N338" s="27"/>
      <c r="O338" s="60"/>
    </row>
    <row r="339">
      <c r="A339" s="37"/>
      <c r="B339" s="32" t="s">
        <v>54</v>
      </c>
      <c r="C339" s="60"/>
      <c r="D339" s="23"/>
      <c r="E339" s="60"/>
      <c r="F339" s="32" t="s">
        <v>54</v>
      </c>
      <c r="G339" s="60"/>
      <c r="H339" s="30"/>
      <c r="I339" s="60"/>
      <c r="J339" s="32" t="s">
        <v>54</v>
      </c>
      <c r="K339" s="60"/>
      <c r="L339" s="1"/>
      <c r="M339" s="60"/>
      <c r="N339" s="30"/>
      <c r="O339" s="60"/>
    </row>
    <row r="340">
      <c r="A340" s="37"/>
      <c r="B340" s="28"/>
      <c r="C340" s="1"/>
      <c r="D340" s="28"/>
      <c r="E340" s="1"/>
      <c r="F340" s="28"/>
      <c r="G340" s="63"/>
      <c r="H340" s="30"/>
      <c r="I340" s="30"/>
      <c r="J340" s="28"/>
      <c r="K340" s="60"/>
      <c r="L340" s="30"/>
      <c r="M340" s="60"/>
      <c r="N340" s="30"/>
      <c r="O340" s="60"/>
    </row>
    <row r="341">
      <c r="A341" s="37"/>
      <c r="B341" s="28"/>
      <c r="C341" s="1"/>
      <c r="D341" s="28"/>
      <c r="E341" s="1"/>
      <c r="F341" s="28"/>
      <c r="G341" s="60"/>
      <c r="H341" s="28"/>
      <c r="I341" s="30"/>
      <c r="J341" s="28"/>
      <c r="K341" s="60"/>
      <c r="L341" s="30"/>
      <c r="M341" s="60"/>
      <c r="N341" s="30"/>
      <c r="O341" s="60"/>
    </row>
    <row r="342">
      <c r="A342" s="37"/>
      <c r="B342" s="28"/>
      <c r="C342" s="1"/>
      <c r="D342" s="28"/>
      <c r="E342" s="1"/>
      <c r="F342" s="28"/>
      <c r="G342" s="60"/>
      <c r="H342" s="30"/>
      <c r="I342" s="30"/>
      <c r="J342" s="37"/>
      <c r="K342" s="60"/>
      <c r="L342" s="30"/>
      <c r="M342" s="60"/>
      <c r="N342" s="30"/>
      <c r="O342" s="60"/>
    </row>
    <row r="343">
      <c r="A343" s="64"/>
      <c r="B343" s="65"/>
      <c r="C343" s="66"/>
      <c r="D343" s="65"/>
      <c r="E343" s="66"/>
      <c r="F343" s="64"/>
      <c r="G343" s="67"/>
      <c r="H343" s="66"/>
      <c r="I343" s="66"/>
      <c r="J343" s="64"/>
      <c r="K343" s="67"/>
      <c r="L343" s="66"/>
      <c r="M343" s="67"/>
      <c r="N343" s="66"/>
      <c r="O343" s="67"/>
    </row>
    <row r="345">
      <c r="A345" s="2" t="s">
        <v>2</v>
      </c>
      <c r="B345" s="3" t="s">
        <v>3</v>
      </c>
      <c r="C345" s="4">
        <f>O307+1</f>
        <v>45782</v>
      </c>
      <c r="D345" s="5" t="s">
        <v>4</v>
      </c>
      <c r="E345" s="6">
        <f>C345+1</f>
        <v>45783</v>
      </c>
      <c r="F345" s="3" t="s">
        <v>5</v>
      </c>
      <c r="G345" s="6">
        <f>E345+1</f>
        <v>45784</v>
      </c>
      <c r="H345" s="3" t="s">
        <v>6</v>
      </c>
      <c r="I345" s="6">
        <f>G345+1</f>
        <v>45785</v>
      </c>
      <c r="J345" s="3" t="s">
        <v>7</v>
      </c>
      <c r="K345" s="6">
        <f>I345+1</f>
        <v>45786</v>
      </c>
      <c r="L345" s="7" t="s">
        <v>8</v>
      </c>
      <c r="M345" s="8">
        <f>K345+1</f>
        <v>45787</v>
      </c>
      <c r="N345" s="9" t="s">
        <v>9</v>
      </c>
      <c r="O345" s="8">
        <f>M345+1</f>
        <v>45788</v>
      </c>
    </row>
    <row r="346">
      <c r="A346" s="10">
        <f>A308+1</f>
        <v>10</v>
      </c>
      <c r="B346" s="11" t="s">
        <v>10</v>
      </c>
      <c r="C346" s="12" t="s">
        <v>11</v>
      </c>
      <c r="D346" s="11" t="s">
        <v>10</v>
      </c>
      <c r="E346" s="12" t="s">
        <v>11</v>
      </c>
      <c r="F346" s="11" t="s">
        <v>10</v>
      </c>
      <c r="G346" s="12" t="s">
        <v>11</v>
      </c>
      <c r="H346" s="11" t="s">
        <v>10</v>
      </c>
      <c r="I346" s="12" t="s">
        <v>11</v>
      </c>
      <c r="J346" s="11" t="s">
        <v>10</v>
      </c>
      <c r="K346" s="12" t="s">
        <v>11</v>
      </c>
      <c r="L346" s="11" t="s">
        <v>10</v>
      </c>
      <c r="M346" s="12" t="s">
        <v>11</v>
      </c>
      <c r="N346" s="11" t="s">
        <v>10</v>
      </c>
      <c r="O346" s="12" t="s">
        <v>11</v>
      </c>
    </row>
    <row r="347">
      <c r="A347" s="13"/>
      <c r="B347" s="14"/>
      <c r="C347" s="15"/>
      <c r="D347" s="14"/>
      <c r="E347" s="15"/>
      <c r="F347" s="14"/>
      <c r="G347" s="15"/>
      <c r="H347" s="14"/>
      <c r="I347" s="15"/>
      <c r="J347" s="14"/>
      <c r="K347" s="15"/>
      <c r="L347" s="14"/>
      <c r="M347" s="15"/>
      <c r="N347" s="14"/>
      <c r="O347" s="15"/>
    </row>
    <row r="348">
      <c r="A348" s="13" t="s">
        <v>12</v>
      </c>
      <c r="B348" s="70" t="s">
        <v>110</v>
      </c>
      <c r="C348" s="17"/>
      <c r="D348" s="18" t="s">
        <v>14</v>
      </c>
      <c r="E348" s="17"/>
      <c r="F348" s="20" t="s">
        <v>111</v>
      </c>
      <c r="G348" s="17"/>
      <c r="H348" s="42" t="s">
        <v>15</v>
      </c>
      <c r="I348" s="17"/>
      <c r="J348" s="20" t="s">
        <v>112</v>
      </c>
      <c r="K348" s="17"/>
      <c r="L348" s="72" t="s">
        <v>14</v>
      </c>
      <c r="M348" s="17"/>
      <c r="N348" s="20" t="s">
        <v>17</v>
      </c>
      <c r="O348" s="17"/>
    </row>
    <row r="349">
      <c r="A349" s="13"/>
      <c r="B349" s="21">
        <v>60.0</v>
      </c>
      <c r="C349" s="22">
        <v>8.0</v>
      </c>
      <c r="D349" s="23" t="s">
        <v>76</v>
      </c>
      <c r="E349" s="24" t="s">
        <v>77</v>
      </c>
      <c r="F349" s="46">
        <v>60.0</v>
      </c>
      <c r="G349" s="48">
        <v>8.0</v>
      </c>
      <c r="H349" s="52" t="s">
        <v>78</v>
      </c>
      <c r="I349" s="26"/>
      <c r="J349" s="46">
        <v>75.0</v>
      </c>
      <c r="K349" s="48">
        <v>8.0</v>
      </c>
      <c r="L349" s="52" t="s">
        <v>79</v>
      </c>
      <c r="M349" s="24"/>
      <c r="N349" s="27"/>
      <c r="O349" s="24"/>
    </row>
    <row r="350">
      <c r="A350" s="28" t="s">
        <v>20</v>
      </c>
      <c r="B350" s="21">
        <v>65.0</v>
      </c>
      <c r="C350" s="22">
        <v>8.0</v>
      </c>
      <c r="D350" s="23" t="s">
        <v>80</v>
      </c>
      <c r="E350" s="26" t="s">
        <v>81</v>
      </c>
      <c r="F350" s="46">
        <v>65.0</v>
      </c>
      <c r="G350" s="48">
        <v>8.0</v>
      </c>
      <c r="H350" s="32"/>
      <c r="I350" s="26"/>
      <c r="J350" s="46">
        <v>80.0</v>
      </c>
      <c r="K350" s="48">
        <v>8.0</v>
      </c>
      <c r="L350" s="32" t="s">
        <v>82</v>
      </c>
      <c r="M350" s="24"/>
      <c r="N350" s="28"/>
      <c r="O350" s="24"/>
    </row>
    <row r="351">
      <c r="A351" s="29" t="s">
        <v>22</v>
      </c>
      <c r="B351" s="46">
        <v>70.0</v>
      </c>
      <c r="C351" s="22">
        <v>8.0</v>
      </c>
      <c r="D351" s="30" t="s">
        <v>83</v>
      </c>
      <c r="E351" s="26" t="s">
        <v>84</v>
      </c>
      <c r="F351" s="46">
        <v>67.5</v>
      </c>
      <c r="G351" s="48">
        <v>8.0</v>
      </c>
      <c r="H351" s="23"/>
      <c r="I351" s="26"/>
      <c r="J351" s="46">
        <v>85.0</v>
      </c>
      <c r="K351" s="48">
        <v>8.0</v>
      </c>
      <c r="L351" s="23"/>
      <c r="M351" s="24"/>
      <c r="N351" s="23"/>
      <c r="O351" s="24"/>
    </row>
    <row r="352">
      <c r="A352" s="28" t="s">
        <v>23</v>
      </c>
      <c r="B352" s="46">
        <v>75.0</v>
      </c>
      <c r="C352" s="22">
        <v>8.0</v>
      </c>
      <c r="D352" s="23" t="s">
        <v>85</v>
      </c>
      <c r="E352" s="26"/>
      <c r="F352" s="47">
        <v>70.0</v>
      </c>
      <c r="G352" s="48">
        <v>8.0</v>
      </c>
      <c r="H352" s="31"/>
      <c r="I352" s="24"/>
      <c r="J352" s="46"/>
      <c r="K352" s="22"/>
      <c r="L352" s="23"/>
      <c r="M352" s="26"/>
      <c r="N352" s="32"/>
      <c r="O352" s="26"/>
    </row>
    <row r="353">
      <c r="A353" s="13"/>
      <c r="B353" s="13"/>
      <c r="C353" s="24"/>
      <c r="D353" s="73" t="s">
        <v>86</v>
      </c>
      <c r="E353" s="26"/>
      <c r="F353" s="13"/>
      <c r="G353" s="34"/>
      <c r="H353" s="13"/>
      <c r="I353" s="34"/>
      <c r="J353" s="13"/>
      <c r="K353" s="24"/>
      <c r="L353" s="13"/>
      <c r="M353" s="24"/>
      <c r="N353" s="13"/>
      <c r="O353" s="24"/>
    </row>
    <row r="354">
      <c r="A354" s="28" t="s">
        <v>113</v>
      </c>
      <c r="B354" s="35" t="s">
        <v>25</v>
      </c>
      <c r="C354" s="36">
        <f>C349*B349 + B350*C350 + B351*C351 + B352*C352 + B353*C353</f>
        <v>2160</v>
      </c>
      <c r="D354" s="57" t="s">
        <v>25</v>
      </c>
      <c r="E354" s="55" t="str">
        <f>E349*D349 + D350*#REF! + E350*E351 + D352*E352 + D353*E353</f>
        <v>#VALUE!</v>
      </c>
      <c r="F354" s="35" t="s">
        <v>25</v>
      </c>
      <c r="G354" s="36">
        <f>G349*F349 + F350*G350 + F351*G351 + F352*G352 + F353*G353</f>
        <v>2100</v>
      </c>
      <c r="H354" s="35" t="s">
        <v>25</v>
      </c>
      <c r="I354" s="56" t="str">
        <f>I349*H349 + H350*I350 + H351*I351 + H352*I352 + H353*I353</f>
        <v>#VALUE!</v>
      </c>
      <c r="J354" s="35" t="s">
        <v>25</v>
      </c>
      <c r="K354" s="36">
        <f>K349*J349 + J350*K350 + J351*K351 + J352*K352 + J353*K353</f>
        <v>1920</v>
      </c>
      <c r="L354" s="35" t="s">
        <v>25</v>
      </c>
      <c r="M354" s="36" t="str">
        <f>M349*L349 + L350*M350 + L351*M351 + L352*M352 + L353*M353</f>
        <v>#VALUE!</v>
      </c>
      <c r="N354" s="35" t="s">
        <v>25</v>
      </c>
      <c r="O354" s="36">
        <f>O349*N349 + N350*O350 + N351*O351 + N352*O352 + N353*O353</f>
        <v>0</v>
      </c>
    </row>
    <row r="355">
      <c r="A355" s="37"/>
      <c r="B355" s="13" t="s">
        <v>26</v>
      </c>
      <c r="C355" s="38">
        <f>(B349*C349 + B350*C350 + B351*C351 + B352*C352 + B353*C353)/SUM(C349:C353)</f>
        <v>67.5</v>
      </c>
      <c r="D355" s="31" t="s">
        <v>26</v>
      </c>
      <c r="E355" s="74" t="str">
        <f>(D349*E349 + D350*#REF! + E350*E351 + D352*E352 + D353*E353)/SUM(E349:E353)</f>
        <v>#VALUE!</v>
      </c>
      <c r="F355" s="13" t="s">
        <v>26</v>
      </c>
      <c r="G355" s="40">
        <f>(F349*G349 + F350*G350 + F351*G351 + F352*G352 + F353*G353)/SUM(G349:G353)</f>
        <v>65.625</v>
      </c>
      <c r="H355" s="13" t="s">
        <v>26</v>
      </c>
      <c r="I355" s="74" t="str">
        <f>(H349*I349 + H350*I350 + H351*I351 + H352*I352 + H353*I353)/SUM(I349:I353)</f>
        <v>#VALUE!</v>
      </c>
      <c r="J355" s="39" t="s">
        <v>26</v>
      </c>
      <c r="K355" s="40">
        <f>(J349*K349 + J350*K350 + J351*K351 + J352*K352 + J353*K353)/SUM(K349:K353)</f>
        <v>80</v>
      </c>
      <c r="L355" s="13" t="s">
        <v>26</v>
      </c>
      <c r="M355" s="75" t="str">
        <f>(L349*M349 + L350*M350 + L351*M351 + L352*M352 + L353*M353)/SUM(M349:M353)</f>
        <v>#VALUE!</v>
      </c>
      <c r="N355" s="13" t="s">
        <v>26</v>
      </c>
      <c r="O355" s="40" t="str">
        <f>(N349*O349 + N350*O350 + N351*O351 + N352*O352 + N353*O353)/SUM(O349:O353)</f>
        <v>#DIV/0!</v>
      </c>
    </row>
    <row r="356">
      <c r="A356" s="28" t="s">
        <v>27</v>
      </c>
      <c r="B356" s="11" t="s">
        <v>10</v>
      </c>
      <c r="C356" s="12" t="s">
        <v>11</v>
      </c>
      <c r="D356" s="11" t="s">
        <v>10</v>
      </c>
      <c r="E356" s="12" t="s">
        <v>11</v>
      </c>
      <c r="F356" s="11" t="s">
        <v>10</v>
      </c>
      <c r="G356" s="12" t="s">
        <v>11</v>
      </c>
      <c r="H356" s="11" t="s">
        <v>10</v>
      </c>
      <c r="I356" s="12" t="s">
        <v>11</v>
      </c>
      <c r="J356" s="11" t="s">
        <v>10</v>
      </c>
      <c r="K356" s="12" t="s">
        <v>11</v>
      </c>
      <c r="L356" s="11" t="s">
        <v>10</v>
      </c>
      <c r="M356" s="12" t="s">
        <v>11</v>
      </c>
      <c r="N356" s="11" t="s">
        <v>10</v>
      </c>
      <c r="O356" s="12" t="s">
        <v>11</v>
      </c>
    </row>
    <row r="357">
      <c r="A357" s="41" t="s">
        <v>28</v>
      </c>
      <c r="B357" s="20" t="s">
        <v>114</v>
      </c>
      <c r="C357" s="17"/>
      <c r="D357" s="45" t="s">
        <v>88</v>
      </c>
      <c r="E357" s="76" t="s">
        <v>49</v>
      </c>
      <c r="F357" s="68" t="s">
        <v>115</v>
      </c>
      <c r="G357" s="17"/>
      <c r="H357" s="42" t="s">
        <v>89</v>
      </c>
      <c r="I357" s="44" t="s">
        <v>90</v>
      </c>
      <c r="J357" s="70" t="s">
        <v>68</v>
      </c>
      <c r="K357" s="17"/>
      <c r="L357" s="42" t="s">
        <v>91</v>
      </c>
      <c r="M357" s="44" t="s">
        <v>90</v>
      </c>
      <c r="N357" s="42"/>
      <c r="O357" s="44"/>
    </row>
    <row r="358">
      <c r="A358" s="28"/>
      <c r="B358" s="46">
        <v>75.0</v>
      </c>
      <c r="C358" s="22">
        <v>8.0</v>
      </c>
      <c r="D358" s="23">
        <v>30.0</v>
      </c>
      <c r="E358" s="54"/>
      <c r="F358" s="46">
        <v>60.0</v>
      </c>
      <c r="G358" s="22">
        <v>8.0</v>
      </c>
      <c r="H358" s="32" t="s">
        <v>94</v>
      </c>
      <c r="I358" s="24"/>
      <c r="J358" s="28">
        <v>65.0</v>
      </c>
      <c r="K358" s="54">
        <v>8.0</v>
      </c>
      <c r="L358" s="32" t="s">
        <v>95</v>
      </c>
      <c r="M358" s="26"/>
      <c r="N358" s="46"/>
      <c r="O358" s="26"/>
    </row>
    <row r="359">
      <c r="A359" s="28" t="s">
        <v>37</v>
      </c>
      <c r="B359" s="46">
        <v>80.0</v>
      </c>
      <c r="C359" s="22">
        <v>8.0</v>
      </c>
      <c r="D359" s="23">
        <v>60.0</v>
      </c>
      <c r="E359" s="54"/>
      <c r="F359" s="46">
        <v>65.0</v>
      </c>
      <c r="G359" s="22">
        <v>8.0</v>
      </c>
      <c r="H359" s="32" t="s">
        <v>94</v>
      </c>
      <c r="I359" s="24"/>
      <c r="J359" s="27">
        <v>70.0</v>
      </c>
      <c r="K359" s="54">
        <v>8.0</v>
      </c>
      <c r="L359" s="32" t="s">
        <v>96</v>
      </c>
      <c r="M359" s="26"/>
      <c r="N359" s="46"/>
      <c r="O359" s="26"/>
    </row>
    <row r="360">
      <c r="A360" s="28" t="s">
        <v>39</v>
      </c>
      <c r="B360" s="46">
        <v>85.0</v>
      </c>
      <c r="C360" s="22">
        <v>8.0</v>
      </c>
      <c r="D360" s="23">
        <v>80.0</v>
      </c>
      <c r="E360" s="54"/>
      <c r="F360" s="46">
        <v>70.0</v>
      </c>
      <c r="G360" s="22">
        <v>8.0</v>
      </c>
      <c r="H360" s="32" t="s">
        <v>98</v>
      </c>
      <c r="I360" s="24"/>
      <c r="J360" s="27">
        <v>75.0</v>
      </c>
      <c r="K360" s="54">
        <v>8.0</v>
      </c>
      <c r="L360" s="32" t="s">
        <v>99</v>
      </c>
      <c r="M360" s="26"/>
      <c r="N360" s="46"/>
      <c r="O360" s="26"/>
    </row>
    <row r="361">
      <c r="A361" s="28"/>
      <c r="B361" s="46">
        <v>90.0</v>
      </c>
      <c r="C361" s="22">
        <v>8.0</v>
      </c>
      <c r="D361" s="23">
        <v>100.0</v>
      </c>
      <c r="E361" s="54"/>
      <c r="F361" s="46">
        <v>75.0</v>
      </c>
      <c r="G361" s="22">
        <v>8.0</v>
      </c>
      <c r="H361" s="32" t="s">
        <v>98</v>
      </c>
      <c r="I361" s="24"/>
      <c r="J361" s="46"/>
      <c r="K361" s="22"/>
      <c r="L361" s="32" t="s">
        <v>100</v>
      </c>
      <c r="M361" s="26"/>
      <c r="N361" s="46"/>
      <c r="O361" s="26"/>
    </row>
    <row r="362">
      <c r="A362" s="28" t="s">
        <v>41</v>
      </c>
      <c r="B362" s="13"/>
      <c r="C362" s="24"/>
      <c r="D362" s="1" t="s">
        <v>101</v>
      </c>
      <c r="E362" s="24"/>
      <c r="F362" s="31"/>
      <c r="G362" s="24"/>
      <c r="H362" s="32" t="s">
        <v>102</v>
      </c>
      <c r="I362" s="24"/>
      <c r="J362" s="31"/>
      <c r="K362" s="24"/>
      <c r="L362" s="32" t="s">
        <v>99</v>
      </c>
      <c r="M362" s="24"/>
      <c r="N362" s="32"/>
      <c r="O362" s="24"/>
    </row>
    <row r="363">
      <c r="A363" s="28" t="s">
        <v>43</v>
      </c>
      <c r="B363" s="13"/>
      <c r="C363" s="34"/>
      <c r="D363" s="28" t="s">
        <v>103</v>
      </c>
      <c r="E363" s="34"/>
      <c r="F363" s="13"/>
      <c r="G363" s="34"/>
      <c r="H363" s="32" t="s">
        <v>102</v>
      </c>
      <c r="I363" s="24"/>
      <c r="J363" s="13"/>
      <c r="K363" s="24"/>
      <c r="L363" s="32"/>
      <c r="M363" s="24" t="s">
        <v>42</v>
      </c>
      <c r="N363" s="32"/>
      <c r="O363" s="26"/>
    </row>
    <row r="364">
      <c r="A364" s="28"/>
      <c r="B364" s="35" t="s">
        <v>25</v>
      </c>
      <c r="C364" s="36">
        <f>C358*B358 + B359*C359 + B360*C360 + B361*C361 + B363*C363</f>
        <v>2640</v>
      </c>
      <c r="D364" s="35" t="s">
        <v>25</v>
      </c>
      <c r="E364" s="55" t="str">
        <f>E358*D358 + D359*E359 + D360*E360 + D361*E361 + D363*E363</f>
        <v>#VALUE!</v>
      </c>
      <c r="F364" s="35" t="s">
        <v>25</v>
      </c>
      <c r="G364" s="36">
        <f>G358*F358 + F359*G359 + F360*G360 + F361*G361 + F363*G363</f>
        <v>2160</v>
      </c>
      <c r="H364" s="35" t="s">
        <v>25</v>
      </c>
      <c r="I364" s="56" t="str">
        <f>I358*H358 + H359*I359 + H360*I360 + H361*I361 + H363*I363</f>
        <v>#VALUE!</v>
      </c>
      <c r="J364" s="35" t="s">
        <v>25</v>
      </c>
      <c r="K364" s="36">
        <f>K358*J358 + J359*K359 + J360*K360 + J361*K361 + J363*K363</f>
        <v>1680</v>
      </c>
      <c r="L364" s="35" t="s">
        <v>25</v>
      </c>
      <c r="M364" s="36" t="str">
        <f>M358*L358 + L359*M359 + L360*M360 + L361*M361 + L363*M363</f>
        <v>#VALUE!</v>
      </c>
      <c r="N364" s="35" t="s">
        <v>25</v>
      </c>
      <c r="O364" s="36">
        <f>O358*N358 + N359*O359 + N360*O360 + N361*O361 + N363*O363</f>
        <v>0</v>
      </c>
    </row>
    <row r="365">
      <c r="A365" s="28" t="s">
        <v>116</v>
      </c>
      <c r="B365" s="39" t="s">
        <v>26</v>
      </c>
      <c r="C365" s="38">
        <f>(B359*C359 + B360*C360 + B361*C361 + B362*C362 + B363*C363)/SUM(C359:C363)</f>
        <v>85</v>
      </c>
      <c r="D365" s="39" t="s">
        <v>26</v>
      </c>
      <c r="E365" s="77" t="str">
        <f>(D358*E358 + D359*E359 + D360*E360 + D361*E361 + D363*E363)/SUM(E358:E363)</f>
        <v>#VALUE!</v>
      </c>
      <c r="F365" s="39" t="s">
        <v>26</v>
      </c>
      <c r="G365" s="38">
        <f>(F359*G359 + F360*G360 + F361*G361 + F362*G362 + F363*G363)/SUM(G359:G363)</f>
        <v>70</v>
      </c>
      <c r="H365" s="39" t="s">
        <v>26</v>
      </c>
      <c r="I365" s="77" t="str">
        <f>(H358*I358 + H359*I359 + H360*I360 + H361*I361 + H363*I363)/SUM(I358:I363)</f>
        <v>#VALUE!</v>
      </c>
      <c r="J365" s="39" t="s">
        <v>26</v>
      </c>
      <c r="K365" s="40">
        <f>(J359*K359 + J360*K360 + J361*K361 + J362*K362 + J363*K363)/SUM(K359:K363)</f>
        <v>72.5</v>
      </c>
      <c r="L365" s="39" t="s">
        <v>26</v>
      </c>
      <c r="M365" s="40" t="str">
        <f>(L358*M358 + L359*M359 + L360*M360 + L361*M361 + L363*M363)/SUM(M358:M363)</f>
        <v>#VALUE!</v>
      </c>
      <c r="N365" s="39" t="s">
        <v>26</v>
      </c>
      <c r="O365" s="40" t="str">
        <f>(N359*O359 + N360*O360 + N361*O361 + N362*O362 + N363*O363)/SUM(O359:O363)</f>
        <v>#DIV/0!</v>
      </c>
    </row>
    <row r="366">
      <c r="A366" s="28" t="s">
        <v>117</v>
      </c>
      <c r="B366" s="70" t="s">
        <v>118</v>
      </c>
      <c r="C366" s="17"/>
      <c r="D366" s="45" t="s">
        <v>104</v>
      </c>
      <c r="E366" s="17"/>
      <c r="F366" s="70" t="s">
        <v>119</v>
      </c>
      <c r="G366" s="17"/>
      <c r="H366" s="49" t="s">
        <v>33</v>
      </c>
      <c r="I366" s="17"/>
      <c r="J366" s="70" t="s">
        <v>71</v>
      </c>
      <c r="K366" s="17"/>
      <c r="L366" s="42" t="s">
        <v>105</v>
      </c>
      <c r="M366" s="44" t="s">
        <v>49</v>
      </c>
      <c r="N366" s="49"/>
      <c r="O366" s="50"/>
    </row>
    <row r="367">
      <c r="A367" s="28" t="s">
        <v>120</v>
      </c>
      <c r="B367" s="28">
        <v>60.0</v>
      </c>
      <c r="C367" s="54">
        <v>8.0</v>
      </c>
      <c r="D367" s="78">
        <v>30.0</v>
      </c>
      <c r="E367" s="24"/>
      <c r="F367" s="28">
        <v>40.0</v>
      </c>
      <c r="G367" s="54">
        <v>8.0</v>
      </c>
      <c r="H367" s="23"/>
      <c r="I367" s="24"/>
      <c r="J367" s="28">
        <v>65.0</v>
      </c>
      <c r="K367" s="54">
        <v>8.0</v>
      </c>
      <c r="L367" s="32" t="s">
        <v>106</v>
      </c>
      <c r="M367" s="24"/>
      <c r="N367" s="21"/>
      <c r="O367" s="24"/>
    </row>
    <row r="368">
      <c r="A368" s="28"/>
      <c r="B368" s="27">
        <v>65.0</v>
      </c>
      <c r="C368" s="54">
        <v>8.0</v>
      </c>
      <c r="D368" s="21">
        <v>100.0</v>
      </c>
      <c r="E368" s="26"/>
      <c r="F368" s="27">
        <v>42.5</v>
      </c>
      <c r="G368" s="54">
        <v>8.0</v>
      </c>
      <c r="H368" s="23"/>
      <c r="I368" s="24"/>
      <c r="J368" s="27">
        <v>70.0</v>
      </c>
      <c r="K368" s="54">
        <v>8.0</v>
      </c>
      <c r="L368" s="32" t="s">
        <v>107</v>
      </c>
      <c r="M368" s="26"/>
      <c r="N368" s="21"/>
      <c r="O368" s="26"/>
    </row>
    <row r="369">
      <c r="A369" s="28" t="s">
        <v>121</v>
      </c>
      <c r="B369" s="27">
        <v>67.5</v>
      </c>
      <c r="C369" s="54">
        <v>8.0</v>
      </c>
      <c r="D369" s="21">
        <v>60.0</v>
      </c>
      <c r="E369" s="24"/>
      <c r="F369" s="27">
        <v>45.0</v>
      </c>
      <c r="G369" s="54">
        <v>8.0</v>
      </c>
      <c r="H369" s="23"/>
      <c r="I369" s="24"/>
      <c r="J369" s="27">
        <v>72.5</v>
      </c>
      <c r="K369" s="54">
        <v>8.0</v>
      </c>
      <c r="L369" s="32" t="s">
        <v>108</v>
      </c>
      <c r="M369" s="24"/>
      <c r="N369" s="46"/>
      <c r="O369" s="24"/>
    </row>
    <row r="370">
      <c r="A370" s="28" t="s">
        <v>122</v>
      </c>
      <c r="B370" s="28"/>
      <c r="C370" s="79"/>
      <c r="D370" s="21">
        <v>80.0</v>
      </c>
      <c r="E370" s="79"/>
      <c r="F370" s="28"/>
      <c r="G370" s="34"/>
      <c r="H370" s="28"/>
      <c r="I370" s="34"/>
      <c r="J370" s="28"/>
      <c r="K370" s="54"/>
      <c r="L370" s="32" t="s">
        <v>109</v>
      </c>
      <c r="M370" s="24"/>
      <c r="N370" s="21"/>
      <c r="O370" s="24"/>
    </row>
    <row r="371">
      <c r="A371" s="28" t="s">
        <v>123</v>
      </c>
      <c r="B371" s="13"/>
      <c r="C371" s="34"/>
      <c r="D371" s="21">
        <v>30.0</v>
      </c>
      <c r="E371" s="34"/>
      <c r="F371" s="13"/>
      <c r="G371" s="34"/>
      <c r="H371" s="28"/>
      <c r="I371" s="34"/>
      <c r="J371" s="13"/>
      <c r="K371" s="24"/>
      <c r="L371" s="31"/>
      <c r="M371" s="24"/>
      <c r="N371" s="31"/>
      <c r="O371" s="24"/>
    </row>
    <row r="372">
      <c r="A372" s="13"/>
      <c r="B372" s="35" t="s">
        <v>25</v>
      </c>
      <c r="C372" s="55">
        <f>C367*B367 + B368*C368 + B369*C369 + B370*C370 + B371*C371</f>
        <v>1540</v>
      </c>
      <c r="D372" s="35" t="s">
        <v>25</v>
      </c>
      <c r="E372" s="55">
        <f>E367*D367 + D368*E368 + D369*E369 + D370*E370 + D371*E371</f>
        <v>0</v>
      </c>
      <c r="F372" s="35" t="s">
        <v>25</v>
      </c>
      <c r="G372" s="55">
        <f>G367*F367 + F368*G368 + F369*G369 + F370*G370 + F371*G371</f>
        <v>1020</v>
      </c>
      <c r="H372" s="35" t="s">
        <v>25</v>
      </c>
      <c r="I372" s="56">
        <f>I367*H367 + H368*I368 + H369*I369 + H370*I370 + H371*I371</f>
        <v>0</v>
      </c>
      <c r="J372" s="35" t="s">
        <v>25</v>
      </c>
      <c r="K372" s="36">
        <f>K367*J367 + J368*K368 + J369*K369 + J370*K370 + J371*K371</f>
        <v>1660</v>
      </c>
      <c r="L372" s="57" t="s">
        <v>25</v>
      </c>
      <c r="M372" s="58" t="str">
        <f>M367*L367 + L368*M368 + L369*M369 + L370*M370 + L371*M371</f>
        <v>#VALUE!</v>
      </c>
      <c r="N372" s="57" t="s">
        <v>25</v>
      </c>
      <c r="O372" s="58">
        <f>O367*N367 + N368*O368 + N369*O369 + N370*O370 + N371*O371</f>
        <v>0</v>
      </c>
    </row>
    <row r="373">
      <c r="A373" s="13"/>
      <c r="B373" s="39" t="s">
        <v>26</v>
      </c>
      <c r="C373" s="38">
        <f>(B367*C367 + B368*C368 + B369*C369 + B370*C370 + B371*C371)/SUM(C367:C371)</f>
        <v>64.16666667</v>
      </c>
      <c r="D373" s="59" t="s">
        <v>26</v>
      </c>
      <c r="E373" s="40" t="str">
        <f>(D367*E367 + D368*E368 + D369*E369 + D370*E370 + D371*E371)/SUM(E367:E371)</f>
        <v>#DIV/0!</v>
      </c>
      <c r="F373" s="39" t="s">
        <v>26</v>
      </c>
      <c r="G373" s="40">
        <f>(F367*G367 + F368*G368 + F369*G369 + F370*G370 + F371*G371)/SUM(G367:G371)</f>
        <v>42.5</v>
      </c>
      <c r="H373" s="59" t="s">
        <v>26</v>
      </c>
      <c r="I373" s="40" t="str">
        <f>(H367*I367 + H368*I368 + H369*I369 + H370*I370 + H371*I371)/SUM(I367:I371)</f>
        <v>#DIV/0!</v>
      </c>
      <c r="J373" s="39" t="s">
        <v>26</v>
      </c>
      <c r="K373" s="38">
        <f>(J367*K367 + J368*K368 + J369*K369 + J370*K370 + J371*K371)/SUM(K367:K371)</f>
        <v>69.16666667</v>
      </c>
      <c r="L373" s="59" t="s">
        <v>26</v>
      </c>
      <c r="M373" s="40" t="str">
        <f>(L367*M367 + L368*M368 + L369*M369 + L370*M370 + L371*M371)/SUM(M367:M371)</f>
        <v>#VALUE!</v>
      </c>
      <c r="N373" s="59" t="s">
        <v>26</v>
      </c>
      <c r="O373" s="40" t="str">
        <f>(N367*O367 + N368*O368 + N369*O369 + N370*O370 + N371*O371)/SUM(O371)</f>
        <v>#DIV/0!</v>
      </c>
    </row>
    <row r="374">
      <c r="A374" s="28" t="s">
        <v>124</v>
      </c>
      <c r="B374" s="28"/>
      <c r="C374" s="30" t="s">
        <v>49</v>
      </c>
      <c r="D374" s="28" t="s">
        <v>50</v>
      </c>
      <c r="E374" s="30" t="s">
        <v>49</v>
      </c>
      <c r="F374" s="28" t="s">
        <v>51</v>
      </c>
      <c r="G374" s="30" t="s">
        <v>49</v>
      </c>
      <c r="H374" s="28"/>
      <c r="I374" s="30" t="s">
        <v>49</v>
      </c>
      <c r="J374" s="28"/>
      <c r="K374" s="30" t="s">
        <v>49</v>
      </c>
      <c r="L374" s="28"/>
      <c r="M374" s="60" t="s">
        <v>49</v>
      </c>
      <c r="N374" s="28"/>
      <c r="O374" s="60" t="s">
        <v>49</v>
      </c>
    </row>
    <row r="375">
      <c r="A375" s="28" t="s">
        <v>125</v>
      </c>
      <c r="B375" s="27" t="s">
        <v>75</v>
      </c>
      <c r="C375" s="60"/>
      <c r="D375" s="23"/>
      <c r="E375" s="61"/>
      <c r="F375" s="27" t="s">
        <v>52</v>
      </c>
      <c r="G375" s="61"/>
      <c r="H375" s="30"/>
      <c r="I375" s="60"/>
      <c r="J375" s="27" t="s">
        <v>75</v>
      </c>
      <c r="K375" s="60"/>
      <c r="L375" s="27"/>
      <c r="M375" s="60"/>
      <c r="N375" s="27"/>
      <c r="O375" s="60"/>
    </row>
    <row r="376">
      <c r="A376" s="28"/>
      <c r="B376" s="52" t="s">
        <v>53</v>
      </c>
      <c r="C376" s="60"/>
      <c r="D376" s="23"/>
      <c r="E376" s="60"/>
      <c r="F376" s="52" t="s">
        <v>53</v>
      </c>
      <c r="G376" s="60"/>
      <c r="H376" s="30"/>
      <c r="I376" s="60"/>
      <c r="J376" s="52" t="s">
        <v>53</v>
      </c>
      <c r="K376" s="60"/>
      <c r="L376" s="27"/>
      <c r="M376" s="60"/>
      <c r="N376" s="27"/>
      <c r="O376" s="60"/>
    </row>
    <row r="377">
      <c r="A377" s="37"/>
      <c r="B377" s="32" t="s">
        <v>54</v>
      </c>
      <c r="C377" s="60"/>
      <c r="D377" s="23"/>
      <c r="E377" s="60"/>
      <c r="F377" s="32" t="s">
        <v>54</v>
      </c>
      <c r="G377" s="60"/>
      <c r="H377" s="30"/>
      <c r="I377" s="60"/>
      <c r="J377" s="32" t="s">
        <v>54</v>
      </c>
      <c r="K377" s="60"/>
      <c r="L377" s="1"/>
      <c r="M377" s="60"/>
      <c r="N377" s="30"/>
      <c r="O377" s="60"/>
    </row>
    <row r="378">
      <c r="A378" s="37"/>
      <c r="B378" s="28"/>
      <c r="C378" s="1"/>
      <c r="D378" s="28"/>
      <c r="E378" s="1"/>
      <c r="F378" s="28"/>
      <c r="G378" s="63"/>
      <c r="H378" s="30"/>
      <c r="I378" s="30"/>
      <c r="J378" s="28"/>
      <c r="K378" s="60"/>
      <c r="L378" s="30"/>
      <c r="M378" s="60"/>
      <c r="N378" s="30"/>
      <c r="O378" s="60"/>
    </row>
    <row r="379">
      <c r="A379" s="37"/>
      <c r="B379" s="28"/>
      <c r="C379" s="1"/>
      <c r="D379" s="28"/>
      <c r="E379" s="1"/>
      <c r="F379" s="28"/>
      <c r="G379" s="60"/>
      <c r="H379" s="28"/>
      <c r="I379" s="30"/>
      <c r="J379" s="28"/>
      <c r="K379" s="60"/>
      <c r="L379" s="30"/>
      <c r="M379" s="60"/>
      <c r="N379" s="30"/>
      <c r="O379" s="60"/>
    </row>
    <row r="380">
      <c r="A380" s="37"/>
      <c r="B380" s="28"/>
      <c r="C380" s="1"/>
      <c r="D380" s="28"/>
      <c r="E380" s="1"/>
      <c r="F380" s="28"/>
      <c r="G380" s="60"/>
      <c r="H380" s="30"/>
      <c r="I380" s="30"/>
      <c r="J380" s="37"/>
      <c r="K380" s="60"/>
      <c r="L380" s="30"/>
      <c r="M380" s="60"/>
      <c r="N380" s="30"/>
      <c r="O380" s="60"/>
    </row>
    <row r="381">
      <c r="A381" s="64"/>
      <c r="B381" s="65"/>
      <c r="C381" s="66"/>
      <c r="D381" s="65"/>
      <c r="E381" s="66"/>
      <c r="F381" s="64"/>
      <c r="G381" s="67"/>
      <c r="H381" s="66"/>
      <c r="I381" s="66"/>
      <c r="J381" s="64"/>
      <c r="K381" s="67"/>
      <c r="L381" s="66"/>
      <c r="M381" s="67"/>
      <c r="N381" s="66"/>
      <c r="O381" s="67"/>
    </row>
    <row r="383">
      <c r="A383" s="2" t="s">
        <v>2</v>
      </c>
      <c r="B383" s="3" t="s">
        <v>3</v>
      </c>
      <c r="C383" s="4">
        <f>O345+1</f>
        <v>45789</v>
      </c>
      <c r="D383" s="5" t="s">
        <v>4</v>
      </c>
      <c r="E383" s="6">
        <f>C383+1</f>
        <v>45790</v>
      </c>
      <c r="F383" s="3" t="s">
        <v>5</v>
      </c>
      <c r="G383" s="6">
        <f>E383+1</f>
        <v>45791</v>
      </c>
      <c r="H383" s="3" t="s">
        <v>6</v>
      </c>
      <c r="I383" s="6">
        <f>G383+1</f>
        <v>45792</v>
      </c>
      <c r="J383" s="3" t="s">
        <v>7</v>
      </c>
      <c r="K383" s="6">
        <f>I383+1</f>
        <v>45793</v>
      </c>
      <c r="L383" s="7" t="s">
        <v>8</v>
      </c>
      <c r="M383" s="8">
        <f>K383+1</f>
        <v>45794</v>
      </c>
      <c r="N383" s="9" t="s">
        <v>9</v>
      </c>
      <c r="O383" s="8">
        <f>M383+1</f>
        <v>45795</v>
      </c>
    </row>
    <row r="384">
      <c r="A384" s="10">
        <f>A346+1</f>
        <v>11</v>
      </c>
      <c r="B384" s="11" t="s">
        <v>10</v>
      </c>
      <c r="C384" s="12" t="s">
        <v>11</v>
      </c>
      <c r="D384" s="11" t="s">
        <v>10</v>
      </c>
      <c r="E384" s="12" t="s">
        <v>11</v>
      </c>
      <c r="F384" s="11" t="s">
        <v>10</v>
      </c>
      <c r="G384" s="12" t="s">
        <v>11</v>
      </c>
      <c r="H384" s="11" t="s">
        <v>10</v>
      </c>
      <c r="I384" s="12" t="s">
        <v>11</v>
      </c>
      <c r="J384" s="11" t="s">
        <v>10</v>
      </c>
      <c r="K384" s="12" t="s">
        <v>11</v>
      </c>
      <c r="L384" s="11" t="s">
        <v>10</v>
      </c>
      <c r="M384" s="12" t="s">
        <v>11</v>
      </c>
      <c r="N384" s="11" t="s">
        <v>10</v>
      </c>
      <c r="O384" s="12" t="s">
        <v>11</v>
      </c>
    </row>
    <row r="385">
      <c r="A385" s="13"/>
      <c r="B385" s="14" t="s">
        <v>126</v>
      </c>
      <c r="C385" s="15"/>
      <c r="D385" s="14" t="s">
        <v>126</v>
      </c>
      <c r="E385" s="15"/>
      <c r="F385" s="14" t="s">
        <v>126</v>
      </c>
      <c r="G385" s="15"/>
      <c r="H385" s="14" t="s">
        <v>126</v>
      </c>
      <c r="I385" s="15"/>
      <c r="J385" s="14" t="s">
        <v>126</v>
      </c>
      <c r="K385" s="15"/>
      <c r="L385" s="14" t="s">
        <v>126</v>
      </c>
      <c r="M385" s="15"/>
      <c r="N385" s="14" t="s">
        <v>126</v>
      </c>
      <c r="O385" s="15"/>
    </row>
    <row r="386">
      <c r="A386" s="13" t="s">
        <v>12</v>
      </c>
      <c r="B386" s="70"/>
      <c r="C386" s="17"/>
      <c r="D386" s="18"/>
      <c r="E386" s="17"/>
      <c r="F386" s="20"/>
      <c r="G386" s="17"/>
      <c r="H386" s="42"/>
      <c r="I386" s="17"/>
      <c r="J386" s="20"/>
      <c r="K386" s="17"/>
      <c r="L386" s="72"/>
      <c r="M386" s="17"/>
      <c r="N386" s="20" t="s">
        <v>17</v>
      </c>
      <c r="O386" s="17"/>
    </row>
    <row r="387">
      <c r="A387" s="13"/>
      <c r="B387" s="21"/>
      <c r="C387" s="22"/>
      <c r="D387" s="23"/>
      <c r="E387" s="24"/>
      <c r="F387" s="46"/>
      <c r="G387" s="48"/>
      <c r="H387" s="52"/>
      <c r="I387" s="26"/>
      <c r="J387" s="46"/>
      <c r="K387" s="48"/>
      <c r="L387" s="52"/>
      <c r="M387" s="24"/>
      <c r="N387" s="27"/>
      <c r="O387" s="24"/>
    </row>
    <row r="388">
      <c r="A388" s="28" t="s">
        <v>20</v>
      </c>
      <c r="B388" s="21"/>
      <c r="C388" s="22"/>
      <c r="D388" s="23"/>
      <c r="E388" s="26"/>
      <c r="F388" s="46"/>
      <c r="G388" s="48"/>
      <c r="H388" s="32"/>
      <c r="I388" s="26"/>
      <c r="J388" s="46"/>
      <c r="K388" s="48"/>
      <c r="L388" s="32"/>
      <c r="M388" s="24"/>
      <c r="N388" s="28"/>
      <c r="O388" s="24"/>
    </row>
    <row r="389">
      <c r="A389" s="29" t="s">
        <v>22</v>
      </c>
      <c r="B389" s="46"/>
      <c r="C389" s="22"/>
      <c r="D389" s="30"/>
      <c r="E389" s="26"/>
      <c r="F389" s="46"/>
      <c r="G389" s="48"/>
      <c r="H389" s="23"/>
      <c r="I389" s="26"/>
      <c r="J389" s="46"/>
      <c r="K389" s="48"/>
      <c r="L389" s="23"/>
      <c r="M389" s="24"/>
      <c r="N389" s="23"/>
      <c r="O389" s="24"/>
    </row>
    <row r="390">
      <c r="A390" s="28" t="s">
        <v>23</v>
      </c>
      <c r="B390" s="46"/>
      <c r="C390" s="22"/>
      <c r="D390" s="23"/>
      <c r="E390" s="26"/>
      <c r="F390" s="47"/>
      <c r="G390" s="48"/>
      <c r="H390" s="31"/>
      <c r="I390" s="24"/>
      <c r="J390" s="46"/>
      <c r="K390" s="22"/>
      <c r="L390" s="23"/>
      <c r="M390" s="26"/>
      <c r="N390" s="32"/>
      <c r="O390" s="26"/>
    </row>
    <row r="391">
      <c r="A391" s="13"/>
      <c r="B391" s="13"/>
      <c r="C391" s="24"/>
      <c r="D391" s="73"/>
      <c r="E391" s="26"/>
      <c r="F391" s="13"/>
      <c r="G391" s="34"/>
      <c r="H391" s="13"/>
      <c r="I391" s="34"/>
      <c r="J391" s="13"/>
      <c r="K391" s="24"/>
      <c r="L391" s="13"/>
      <c r="M391" s="24"/>
      <c r="N391" s="13"/>
      <c r="O391" s="24"/>
    </row>
    <row r="392">
      <c r="A392" s="28" t="s">
        <v>113</v>
      </c>
      <c r="B392" s="35" t="s">
        <v>25</v>
      </c>
      <c r="C392" s="36">
        <f>C387*B387 + B388*C388 + B389*C389 + B390*C390 + B391*C391</f>
        <v>0</v>
      </c>
      <c r="D392" s="57" t="s">
        <v>25</v>
      </c>
      <c r="E392" s="55" t="str">
        <f>E387*D387 + D388*#REF! + E388*E389 + D390*E390 + D391*E391</f>
        <v>#REF!</v>
      </c>
      <c r="F392" s="35" t="s">
        <v>25</v>
      </c>
      <c r="G392" s="36">
        <f>G387*F387 + F388*G388 + F389*G389 + F390*G390 + F391*G391</f>
        <v>0</v>
      </c>
      <c r="H392" s="35" t="s">
        <v>25</v>
      </c>
      <c r="I392" s="56">
        <f>I387*H387 + H388*I388 + H389*I389 + H390*I390 + H391*I391</f>
        <v>0</v>
      </c>
      <c r="J392" s="35" t="s">
        <v>25</v>
      </c>
      <c r="K392" s="36">
        <f>K387*J387 + J388*K388 + J389*K389 + J390*K390 + J391*K391</f>
        <v>0</v>
      </c>
      <c r="L392" s="35" t="s">
        <v>25</v>
      </c>
      <c r="M392" s="36">
        <f>M387*L387 + L388*M388 + L389*M389 + L390*M390 + L391*M391</f>
        <v>0</v>
      </c>
      <c r="N392" s="35" t="s">
        <v>25</v>
      </c>
      <c r="O392" s="36">
        <f>O387*N387 + N388*O388 + N389*O389 + N390*O390 + N391*O391</f>
        <v>0</v>
      </c>
    </row>
    <row r="393">
      <c r="A393" s="37"/>
      <c r="B393" s="13" t="s">
        <v>26</v>
      </c>
      <c r="C393" s="38" t="str">
        <f>(B387*C387 + B388*C388 + B389*C389 + B390*C390 + B391*C391)/SUM(C387:C391)</f>
        <v>#DIV/0!</v>
      </c>
      <c r="D393" s="31" t="s">
        <v>26</v>
      </c>
      <c r="E393" s="74" t="str">
        <f>(D387*E387 + D388*#REF! + E388*E389 + D390*E390 + D391*E391)/SUM(E387:E391)</f>
        <v>#REF!</v>
      </c>
      <c r="F393" s="13" t="s">
        <v>26</v>
      </c>
      <c r="G393" s="40" t="str">
        <f>(F387*G387 + F388*G388 + F389*G389 + F390*G390 + F391*G391)/SUM(G387:G391)</f>
        <v>#DIV/0!</v>
      </c>
      <c r="H393" s="13" t="s">
        <v>26</v>
      </c>
      <c r="I393" s="74" t="str">
        <f>(H387*I387 + H388*I388 + H389*I389 + H390*I390 + H391*I391)/SUM(I387:I391)</f>
        <v>#DIV/0!</v>
      </c>
      <c r="J393" s="39" t="s">
        <v>26</v>
      </c>
      <c r="K393" s="40" t="str">
        <f>(J387*K387 + J388*K388 + J389*K389 + J390*K390 + J391*K391)/SUM(K387:K391)</f>
        <v>#DIV/0!</v>
      </c>
      <c r="L393" s="13" t="s">
        <v>26</v>
      </c>
      <c r="M393" s="75" t="str">
        <f>(L387*M387 + L388*M388 + L389*M389 + L390*M390 + L391*M391)/SUM(M387:M391)</f>
        <v>#DIV/0!</v>
      </c>
      <c r="N393" s="13" t="s">
        <v>26</v>
      </c>
      <c r="O393" s="40" t="str">
        <f>(N387*O387 + N388*O388 + N389*O389 + N390*O390 + N391*O391)/SUM(O387:O391)</f>
        <v>#DIV/0!</v>
      </c>
    </row>
    <row r="394">
      <c r="A394" s="28" t="s">
        <v>27</v>
      </c>
      <c r="B394" s="11" t="s">
        <v>10</v>
      </c>
      <c r="C394" s="12" t="s">
        <v>11</v>
      </c>
      <c r="D394" s="11" t="s">
        <v>10</v>
      </c>
      <c r="E394" s="12" t="s">
        <v>11</v>
      </c>
      <c r="F394" s="11" t="s">
        <v>10</v>
      </c>
      <c r="G394" s="12" t="s">
        <v>11</v>
      </c>
      <c r="H394" s="11" t="s">
        <v>10</v>
      </c>
      <c r="I394" s="12" t="s">
        <v>11</v>
      </c>
      <c r="J394" s="11" t="s">
        <v>10</v>
      </c>
      <c r="K394" s="12" t="s">
        <v>11</v>
      </c>
      <c r="L394" s="11" t="s">
        <v>10</v>
      </c>
      <c r="M394" s="12" t="s">
        <v>11</v>
      </c>
      <c r="N394" s="11" t="s">
        <v>10</v>
      </c>
      <c r="O394" s="12" t="s">
        <v>11</v>
      </c>
    </row>
    <row r="395">
      <c r="A395" s="41" t="s">
        <v>28</v>
      </c>
      <c r="B395" s="20"/>
      <c r="C395" s="17"/>
      <c r="D395" s="45"/>
      <c r="E395" s="76"/>
      <c r="F395" s="68"/>
      <c r="G395" s="17"/>
      <c r="H395" s="42"/>
      <c r="I395" s="44"/>
      <c r="J395" s="70"/>
      <c r="K395" s="17"/>
      <c r="L395" s="42"/>
      <c r="M395" s="44"/>
      <c r="N395" s="42"/>
      <c r="O395" s="44"/>
    </row>
    <row r="396">
      <c r="A396" s="28"/>
      <c r="B396" s="46"/>
      <c r="C396" s="22"/>
      <c r="D396" s="23"/>
      <c r="E396" s="54"/>
      <c r="F396" s="46"/>
      <c r="G396" s="22"/>
      <c r="H396" s="32"/>
      <c r="I396" s="24"/>
      <c r="J396" s="28"/>
      <c r="K396" s="54"/>
      <c r="L396" s="32"/>
      <c r="M396" s="26"/>
      <c r="N396" s="46"/>
      <c r="O396" s="26"/>
    </row>
    <row r="397">
      <c r="A397" s="28" t="s">
        <v>37</v>
      </c>
      <c r="B397" s="46"/>
      <c r="C397" s="22"/>
      <c r="D397" s="23"/>
      <c r="E397" s="54"/>
      <c r="F397" s="46"/>
      <c r="G397" s="22"/>
      <c r="H397" s="32"/>
      <c r="I397" s="24"/>
      <c r="J397" s="27"/>
      <c r="K397" s="54"/>
      <c r="L397" s="32"/>
      <c r="M397" s="26"/>
      <c r="N397" s="46"/>
      <c r="O397" s="26"/>
    </row>
    <row r="398">
      <c r="A398" s="28" t="s">
        <v>39</v>
      </c>
      <c r="B398" s="46"/>
      <c r="C398" s="22"/>
      <c r="D398" s="23"/>
      <c r="E398" s="54"/>
      <c r="F398" s="46"/>
      <c r="G398" s="22"/>
      <c r="H398" s="32"/>
      <c r="I398" s="24"/>
      <c r="J398" s="27"/>
      <c r="K398" s="54"/>
      <c r="L398" s="32"/>
      <c r="M398" s="26"/>
      <c r="N398" s="46"/>
      <c r="O398" s="26"/>
    </row>
    <row r="399">
      <c r="A399" s="28"/>
      <c r="B399" s="46"/>
      <c r="C399" s="22"/>
      <c r="D399" s="23"/>
      <c r="E399" s="54"/>
      <c r="F399" s="46"/>
      <c r="G399" s="22"/>
      <c r="H399" s="32"/>
      <c r="I399" s="24"/>
      <c r="J399" s="46"/>
      <c r="K399" s="22"/>
      <c r="L399" s="32"/>
      <c r="M399" s="26"/>
      <c r="N399" s="46"/>
      <c r="O399" s="26"/>
    </row>
    <row r="400">
      <c r="A400" s="28" t="s">
        <v>41</v>
      </c>
      <c r="B400" s="13"/>
      <c r="C400" s="24"/>
      <c r="D400" s="1"/>
      <c r="E400" s="24"/>
      <c r="F400" s="31"/>
      <c r="G400" s="24"/>
      <c r="H400" s="32"/>
      <c r="I400" s="24"/>
      <c r="J400" s="31"/>
      <c r="K400" s="24"/>
      <c r="L400" s="32"/>
      <c r="M400" s="24"/>
      <c r="N400" s="32"/>
      <c r="O400" s="24"/>
    </row>
    <row r="401">
      <c r="A401" s="28" t="s">
        <v>43</v>
      </c>
      <c r="B401" s="13"/>
      <c r="C401" s="34"/>
      <c r="D401" s="28"/>
      <c r="E401" s="34"/>
      <c r="F401" s="13"/>
      <c r="G401" s="34"/>
      <c r="H401" s="32" t="s">
        <v>102</v>
      </c>
      <c r="I401" s="24"/>
      <c r="J401" s="13"/>
      <c r="K401" s="24"/>
      <c r="L401" s="32"/>
      <c r="M401" s="24" t="s">
        <v>42</v>
      </c>
      <c r="N401" s="32"/>
      <c r="O401" s="26"/>
    </row>
    <row r="402">
      <c r="A402" s="28"/>
      <c r="B402" s="35" t="s">
        <v>25</v>
      </c>
      <c r="C402" s="36">
        <f>C396*B396 + B397*C397 + B398*C398 + B399*C399 + B401*C401</f>
        <v>0</v>
      </c>
      <c r="D402" s="35" t="s">
        <v>25</v>
      </c>
      <c r="E402" s="55">
        <f>E396*D396 + D397*E397 + D398*E398 + D399*E399 + D401*E401</f>
        <v>0</v>
      </c>
      <c r="F402" s="35" t="s">
        <v>25</v>
      </c>
      <c r="G402" s="36">
        <f>G396*F396 + F397*G397 + F398*G398 + F399*G399 + F401*G401</f>
        <v>0</v>
      </c>
      <c r="H402" s="35" t="s">
        <v>25</v>
      </c>
      <c r="I402" s="56" t="str">
        <f>I396*H396 + H397*I397 + H398*I398 + H399*I399 + H401*I401</f>
        <v>#VALUE!</v>
      </c>
      <c r="J402" s="35" t="s">
        <v>25</v>
      </c>
      <c r="K402" s="36">
        <f>K396*J396 + J397*K397 + J398*K398 + J399*K399 + J401*K401</f>
        <v>0</v>
      </c>
      <c r="L402" s="35" t="s">
        <v>25</v>
      </c>
      <c r="M402" s="36" t="str">
        <f>M396*L396 + L397*M397 + L398*M398 + L399*M399 + L401*M401</f>
        <v>#VALUE!</v>
      </c>
      <c r="N402" s="35" t="s">
        <v>25</v>
      </c>
      <c r="O402" s="36">
        <f>O396*N396 + N397*O397 + N398*O398 + N399*O399 + N401*O401</f>
        <v>0</v>
      </c>
    </row>
    <row r="403">
      <c r="A403" s="28" t="s">
        <v>116</v>
      </c>
      <c r="B403" s="39" t="s">
        <v>26</v>
      </c>
      <c r="C403" s="38" t="str">
        <f>(B397*C397 + B398*C398 + B399*C399 + B400*C400 + B401*C401)/SUM(C397:C401)</f>
        <v>#DIV/0!</v>
      </c>
      <c r="D403" s="39" t="s">
        <v>26</v>
      </c>
      <c r="E403" s="77" t="str">
        <f>(D396*E396 + D397*E397 + D398*E398 + D399*E399 + D401*E401)/SUM(E396:E401)</f>
        <v>#DIV/0!</v>
      </c>
      <c r="F403" s="39" t="s">
        <v>26</v>
      </c>
      <c r="G403" s="38" t="str">
        <f>(F397*G397 + F398*G398 + F399*G399 + F400*G400 + F401*G401)/SUM(G397:G401)</f>
        <v>#DIV/0!</v>
      </c>
      <c r="H403" s="39" t="s">
        <v>26</v>
      </c>
      <c r="I403" s="77" t="str">
        <f>(H396*I396 + H397*I397 + H398*I398 + H399*I399 + H401*I401)/SUM(I396:I401)</f>
        <v>#VALUE!</v>
      </c>
      <c r="J403" s="39" t="s">
        <v>26</v>
      </c>
      <c r="K403" s="40" t="str">
        <f>(J397*K397 + J398*K398 + J399*K399 + J400*K400 + J401*K401)/SUM(K397:K401)</f>
        <v>#DIV/0!</v>
      </c>
      <c r="L403" s="39" t="s">
        <v>26</v>
      </c>
      <c r="M403" s="40" t="str">
        <f>(L396*M396 + L397*M397 + L398*M398 + L399*M399 + L401*M401)/SUM(M396:M401)</f>
        <v>#VALUE!</v>
      </c>
      <c r="N403" s="39" t="s">
        <v>26</v>
      </c>
      <c r="O403" s="40" t="str">
        <f>(N397*O397 + N398*O398 + N399*O399 + N400*O400 + N401*O401)/SUM(O397:O401)</f>
        <v>#DIV/0!</v>
      </c>
    </row>
    <row r="404">
      <c r="A404" s="28" t="s">
        <v>117</v>
      </c>
      <c r="B404" s="70"/>
      <c r="C404" s="17"/>
      <c r="D404" s="45"/>
      <c r="E404" s="17"/>
      <c r="F404" s="70"/>
      <c r="G404" s="17"/>
      <c r="H404" s="49"/>
      <c r="I404" s="17"/>
      <c r="J404" s="70"/>
      <c r="K404" s="17"/>
      <c r="L404" s="42"/>
      <c r="M404" s="44" t="s">
        <v>49</v>
      </c>
      <c r="N404" s="49"/>
      <c r="O404" s="50"/>
    </row>
    <row r="405">
      <c r="A405" s="28" t="s">
        <v>120</v>
      </c>
      <c r="B405" s="28"/>
      <c r="C405" s="54"/>
      <c r="D405" s="78"/>
      <c r="E405" s="24"/>
      <c r="F405" s="28"/>
      <c r="G405" s="54"/>
      <c r="H405" s="23"/>
      <c r="I405" s="24"/>
      <c r="J405" s="28"/>
      <c r="K405" s="54"/>
      <c r="L405" s="32"/>
      <c r="M405" s="24"/>
      <c r="N405" s="21"/>
      <c r="O405" s="24"/>
    </row>
    <row r="406">
      <c r="A406" s="28"/>
      <c r="B406" s="27"/>
      <c r="C406" s="54"/>
      <c r="D406" s="21"/>
      <c r="E406" s="26"/>
      <c r="F406" s="27"/>
      <c r="G406" s="54"/>
      <c r="H406" s="23"/>
      <c r="I406" s="24"/>
      <c r="J406" s="27"/>
      <c r="K406" s="54"/>
      <c r="L406" s="32"/>
      <c r="M406" s="26"/>
      <c r="N406" s="21"/>
      <c r="O406" s="26"/>
    </row>
    <row r="407">
      <c r="A407" s="28" t="s">
        <v>121</v>
      </c>
      <c r="B407" s="27"/>
      <c r="C407" s="54"/>
      <c r="D407" s="21"/>
      <c r="E407" s="24"/>
      <c r="F407" s="27"/>
      <c r="G407" s="54"/>
      <c r="H407" s="23"/>
      <c r="I407" s="24"/>
      <c r="J407" s="27"/>
      <c r="K407" s="54"/>
      <c r="L407" s="32"/>
      <c r="M407" s="24"/>
      <c r="N407" s="46"/>
      <c r="O407" s="24"/>
    </row>
    <row r="408">
      <c r="A408" s="28" t="s">
        <v>122</v>
      </c>
      <c r="B408" s="28"/>
      <c r="C408" s="79"/>
      <c r="D408" s="21"/>
      <c r="E408" s="79"/>
      <c r="F408" s="28"/>
      <c r="G408" s="34"/>
      <c r="H408" s="28"/>
      <c r="I408" s="34"/>
      <c r="J408" s="28"/>
      <c r="K408" s="54"/>
      <c r="L408" s="32"/>
      <c r="M408" s="24"/>
      <c r="N408" s="21"/>
      <c r="O408" s="24"/>
    </row>
    <row r="409">
      <c r="A409" s="28" t="s">
        <v>123</v>
      </c>
      <c r="B409" s="13"/>
      <c r="C409" s="34"/>
      <c r="D409" s="21">
        <v>30.0</v>
      </c>
      <c r="E409" s="34"/>
      <c r="F409" s="13"/>
      <c r="G409" s="34"/>
      <c r="H409" s="28"/>
      <c r="I409" s="34"/>
      <c r="J409" s="13"/>
      <c r="K409" s="24"/>
      <c r="L409" s="31"/>
      <c r="M409" s="24"/>
      <c r="N409" s="31"/>
      <c r="O409" s="24"/>
    </row>
    <row r="410">
      <c r="A410" s="13"/>
      <c r="B410" s="35" t="s">
        <v>25</v>
      </c>
      <c r="C410" s="55">
        <f>C405*B405 + B406*C406 + B407*C407 + B408*C408 + B409*C409</f>
        <v>0</v>
      </c>
      <c r="D410" s="35" t="s">
        <v>25</v>
      </c>
      <c r="E410" s="55">
        <f>E405*D405 + D406*E406 + D407*E407 + D408*E408 + D409*E409</f>
        <v>0</v>
      </c>
      <c r="F410" s="35" t="s">
        <v>25</v>
      </c>
      <c r="G410" s="55">
        <f>G405*F405 + F406*G406 + F407*G407 + F408*G408 + F409*G409</f>
        <v>0</v>
      </c>
      <c r="H410" s="35" t="s">
        <v>25</v>
      </c>
      <c r="I410" s="56">
        <f>I405*H405 + H406*I406 + H407*I407 + H408*I408 + H409*I409</f>
        <v>0</v>
      </c>
      <c r="J410" s="35" t="s">
        <v>25</v>
      </c>
      <c r="K410" s="36">
        <f>K405*J405 + J406*K406 + J407*K407 + J408*K408 + J409*K409</f>
        <v>0</v>
      </c>
      <c r="L410" s="57" t="s">
        <v>25</v>
      </c>
      <c r="M410" s="58">
        <f>M405*L405 + L406*M406 + L407*M407 + L408*M408 + L409*M409</f>
        <v>0</v>
      </c>
      <c r="N410" s="57" t="s">
        <v>25</v>
      </c>
      <c r="O410" s="58">
        <f>O405*N405 + N406*O406 + N407*O407 + N408*O408 + N409*O409</f>
        <v>0</v>
      </c>
    </row>
    <row r="411">
      <c r="A411" s="13"/>
      <c r="B411" s="39" t="s">
        <v>26</v>
      </c>
      <c r="C411" s="40" t="str">
        <f>(B405*C405 + B406*C406 + B407*C407 + B408*C408 + B409*C409)/SUM(C405:C409)</f>
        <v>#DIV/0!</v>
      </c>
      <c r="D411" s="59" t="s">
        <v>26</v>
      </c>
      <c r="E411" s="40" t="str">
        <f>(D405*E405 + D406*E406 + D407*E407 + D408*E408 + D409*E409)/SUM(E405:E409)</f>
        <v>#DIV/0!</v>
      </c>
      <c r="F411" s="39" t="s">
        <v>26</v>
      </c>
      <c r="G411" s="40" t="str">
        <f>(F405*G405 + F406*G406 + F407*G407 + F408*G408 + F409*G409)/SUM(G405:G409)</f>
        <v>#DIV/0!</v>
      </c>
      <c r="H411" s="59" t="s">
        <v>26</v>
      </c>
      <c r="I411" s="40" t="str">
        <f>(H405*I405 + H406*I406 + H407*I407 + H408*I408 + H409*I409)/SUM(I405:I409)</f>
        <v>#DIV/0!</v>
      </c>
      <c r="J411" s="39" t="s">
        <v>26</v>
      </c>
      <c r="K411" s="40" t="str">
        <f>(J405*K405 + J406*K406 + J407*K407 + J408*K408 + J409*K409)/SUM(K405:K409)</f>
        <v>#DIV/0!</v>
      </c>
      <c r="L411" s="59" t="s">
        <v>26</v>
      </c>
      <c r="M411" s="40" t="str">
        <f>(L405*M405 + L406*M406 + L407*M407 + L408*M408 + L409*M409)/SUM(M405:M409)</f>
        <v>#DIV/0!</v>
      </c>
      <c r="N411" s="59" t="s">
        <v>26</v>
      </c>
      <c r="O411" s="40" t="str">
        <f>(N405*O405 + N406*O406 + N407*O407 + N408*O408 + N409*O409)/SUM(O409)</f>
        <v>#DIV/0!</v>
      </c>
    </row>
    <row r="412">
      <c r="A412" s="28" t="s">
        <v>124</v>
      </c>
      <c r="B412" s="28"/>
      <c r="C412" s="30" t="s">
        <v>49</v>
      </c>
      <c r="D412" s="28" t="s">
        <v>50</v>
      </c>
      <c r="E412" s="30" t="s">
        <v>49</v>
      </c>
      <c r="F412" s="28" t="s">
        <v>51</v>
      </c>
      <c r="G412" s="30" t="s">
        <v>49</v>
      </c>
      <c r="H412" s="28"/>
      <c r="I412" s="30" t="s">
        <v>49</v>
      </c>
      <c r="J412" s="28"/>
      <c r="K412" s="30" t="s">
        <v>49</v>
      </c>
      <c r="L412" s="28"/>
      <c r="M412" s="60" t="s">
        <v>49</v>
      </c>
      <c r="N412" s="28"/>
      <c r="O412" s="60" t="s">
        <v>49</v>
      </c>
    </row>
    <row r="413">
      <c r="A413" s="28" t="s">
        <v>125</v>
      </c>
      <c r="B413" s="27"/>
      <c r="C413" s="60"/>
      <c r="D413" s="23"/>
      <c r="E413" s="61"/>
      <c r="F413" s="27"/>
      <c r="G413" s="61"/>
      <c r="H413" s="30"/>
      <c r="I413" s="60"/>
      <c r="J413" s="27"/>
      <c r="K413" s="60"/>
      <c r="L413" s="27"/>
      <c r="M413" s="60"/>
      <c r="N413" s="27"/>
      <c r="O413" s="60"/>
    </row>
    <row r="414">
      <c r="A414" s="28"/>
      <c r="B414" s="52"/>
      <c r="C414" s="60"/>
      <c r="D414" s="23"/>
      <c r="E414" s="60"/>
      <c r="F414" s="52"/>
      <c r="G414" s="60"/>
      <c r="H414" s="30"/>
      <c r="I414" s="60"/>
      <c r="J414" s="52"/>
      <c r="K414" s="60"/>
      <c r="L414" s="27"/>
      <c r="M414" s="60"/>
      <c r="N414" s="27"/>
      <c r="O414" s="60"/>
    </row>
    <row r="415">
      <c r="A415" s="37"/>
      <c r="B415" s="32"/>
      <c r="C415" s="60"/>
      <c r="D415" s="23"/>
      <c r="E415" s="60"/>
      <c r="F415" s="32"/>
      <c r="G415" s="60"/>
      <c r="H415" s="30"/>
      <c r="I415" s="60"/>
      <c r="J415" s="32"/>
      <c r="K415" s="60"/>
      <c r="L415" s="1"/>
      <c r="M415" s="60"/>
      <c r="N415" s="30"/>
      <c r="O415" s="60"/>
    </row>
    <row r="416">
      <c r="A416" s="37"/>
      <c r="B416" s="28"/>
      <c r="C416" s="1"/>
      <c r="D416" s="28"/>
      <c r="E416" s="1"/>
      <c r="F416" s="28"/>
      <c r="G416" s="63"/>
      <c r="H416" s="30"/>
      <c r="I416" s="30"/>
      <c r="J416" s="28"/>
      <c r="K416" s="60"/>
      <c r="L416" s="30"/>
      <c r="M416" s="60"/>
      <c r="N416" s="30"/>
      <c r="O416" s="60"/>
    </row>
    <row r="417">
      <c r="A417" s="37"/>
      <c r="B417" s="28"/>
      <c r="C417" s="1"/>
      <c r="D417" s="28"/>
      <c r="E417" s="1"/>
      <c r="F417" s="28"/>
      <c r="G417" s="60"/>
      <c r="H417" s="28"/>
      <c r="I417" s="30"/>
      <c r="J417" s="28"/>
      <c r="K417" s="60"/>
      <c r="L417" s="30"/>
      <c r="M417" s="60"/>
      <c r="N417" s="30"/>
      <c r="O417" s="60"/>
    </row>
    <row r="418">
      <c r="A418" s="37"/>
      <c r="B418" s="28"/>
      <c r="C418" s="1"/>
      <c r="D418" s="28"/>
      <c r="E418" s="1"/>
      <c r="F418" s="28"/>
      <c r="G418" s="60"/>
      <c r="H418" s="30"/>
      <c r="I418" s="30"/>
      <c r="J418" s="37"/>
      <c r="K418" s="60"/>
      <c r="L418" s="30"/>
      <c r="M418" s="60"/>
      <c r="N418" s="30"/>
      <c r="O418" s="60"/>
    </row>
    <row r="419">
      <c r="A419" s="64"/>
      <c r="B419" s="65"/>
      <c r="C419" s="66"/>
      <c r="D419" s="65"/>
      <c r="E419" s="66"/>
      <c r="F419" s="64"/>
      <c r="G419" s="67"/>
      <c r="H419" s="66"/>
      <c r="I419" s="66"/>
      <c r="J419" s="64"/>
      <c r="K419" s="67"/>
      <c r="L419" s="66"/>
      <c r="M419" s="67"/>
      <c r="N419" s="66"/>
      <c r="O419" s="67"/>
    </row>
    <row r="421">
      <c r="A421" s="80" t="s">
        <v>2</v>
      </c>
      <c r="B421" s="81" t="s">
        <v>3</v>
      </c>
      <c r="C421" s="82">
        <f>O383+1</f>
        <v>45796</v>
      </c>
      <c r="D421" s="83" t="s">
        <v>4</v>
      </c>
      <c r="E421" s="84">
        <f>C421+1</f>
        <v>45797</v>
      </c>
      <c r="F421" s="81" t="s">
        <v>5</v>
      </c>
      <c r="G421" s="84">
        <f>E421+1</f>
        <v>45798</v>
      </c>
      <c r="H421" s="81" t="s">
        <v>6</v>
      </c>
      <c r="I421" s="84">
        <f>G421+1</f>
        <v>45799</v>
      </c>
      <c r="J421" s="81" t="s">
        <v>7</v>
      </c>
      <c r="K421" s="84">
        <f>I421+1</f>
        <v>45800</v>
      </c>
      <c r="L421" s="85" t="s">
        <v>8</v>
      </c>
      <c r="M421" s="86">
        <f>K421+1</f>
        <v>45801</v>
      </c>
      <c r="N421" s="85" t="s">
        <v>9</v>
      </c>
      <c r="O421" s="86">
        <f>M421+1</f>
        <v>45802</v>
      </c>
    </row>
    <row r="422">
      <c r="A422" s="87">
        <f>A384+1</f>
        <v>12</v>
      </c>
      <c r="B422" s="88" t="s">
        <v>10</v>
      </c>
      <c r="C422" s="89" t="s">
        <v>11</v>
      </c>
      <c r="D422" s="88" t="s">
        <v>10</v>
      </c>
      <c r="E422" s="89" t="s">
        <v>11</v>
      </c>
      <c r="F422" s="88" t="s">
        <v>10</v>
      </c>
      <c r="G422" s="89" t="s">
        <v>11</v>
      </c>
      <c r="H422" s="88" t="s">
        <v>10</v>
      </c>
      <c r="I422" s="89" t="s">
        <v>11</v>
      </c>
      <c r="J422" s="88" t="s">
        <v>10</v>
      </c>
      <c r="K422" s="89" t="s">
        <v>11</v>
      </c>
      <c r="L422" s="88" t="s">
        <v>10</v>
      </c>
      <c r="M422" s="89" t="s">
        <v>11</v>
      </c>
      <c r="N422" s="88" t="s">
        <v>10</v>
      </c>
      <c r="O422" s="89" t="s">
        <v>11</v>
      </c>
    </row>
    <row r="423">
      <c r="A423" s="37"/>
      <c r="B423" s="90"/>
      <c r="C423" s="15"/>
      <c r="D423" s="90"/>
      <c r="E423" s="15"/>
      <c r="F423" s="90"/>
      <c r="G423" s="15"/>
      <c r="H423" s="90"/>
      <c r="I423" s="15"/>
      <c r="J423" s="90"/>
      <c r="K423" s="15"/>
      <c r="L423" s="90"/>
      <c r="M423" s="15"/>
      <c r="N423" s="90"/>
      <c r="O423" s="15"/>
    </row>
    <row r="424">
      <c r="A424" s="37" t="s">
        <v>12</v>
      </c>
      <c r="B424" s="70" t="s">
        <v>127</v>
      </c>
      <c r="C424" s="76"/>
      <c r="D424" s="18" t="s">
        <v>14</v>
      </c>
      <c r="E424" s="17"/>
      <c r="F424" s="20" t="s">
        <v>128</v>
      </c>
      <c r="G424" s="17"/>
      <c r="H424" s="42" t="s">
        <v>15</v>
      </c>
      <c r="I424" s="91"/>
      <c r="J424" s="20" t="s">
        <v>111</v>
      </c>
      <c r="K424" s="17"/>
      <c r="L424" s="72" t="s">
        <v>14</v>
      </c>
      <c r="M424" s="91"/>
      <c r="N424" s="92" t="s">
        <v>17</v>
      </c>
      <c r="O424" s="91"/>
    </row>
    <row r="425">
      <c r="A425" s="37"/>
      <c r="B425" s="46">
        <v>70.0</v>
      </c>
      <c r="C425" s="22">
        <v>8.0</v>
      </c>
      <c r="D425" s="1" t="s">
        <v>129</v>
      </c>
      <c r="E425" s="24" t="s">
        <v>77</v>
      </c>
      <c r="F425" s="46">
        <v>85.0</v>
      </c>
      <c r="G425" s="48">
        <v>8.0</v>
      </c>
      <c r="H425" s="27" t="s">
        <v>130</v>
      </c>
      <c r="I425" s="93"/>
      <c r="J425" s="46">
        <v>72.5</v>
      </c>
      <c r="K425" s="48">
        <v>8.0</v>
      </c>
      <c r="L425" s="52" t="s">
        <v>79</v>
      </c>
      <c r="M425" s="93"/>
      <c r="N425" s="37"/>
      <c r="O425" s="93"/>
    </row>
    <row r="426">
      <c r="A426" s="37" t="s">
        <v>20</v>
      </c>
      <c r="B426" s="46">
        <v>75.0</v>
      </c>
      <c r="C426" s="22">
        <v>8.0</v>
      </c>
      <c r="D426" s="23" t="s">
        <v>80</v>
      </c>
      <c r="E426" s="26" t="s">
        <v>81</v>
      </c>
      <c r="F426" s="46">
        <v>90.0</v>
      </c>
      <c r="G426" s="48">
        <v>8.0</v>
      </c>
      <c r="H426" s="28" t="s">
        <v>131</v>
      </c>
      <c r="I426" s="93"/>
      <c r="J426" s="46">
        <v>77.5</v>
      </c>
      <c r="K426" s="48">
        <v>8.0</v>
      </c>
      <c r="L426" s="32" t="s">
        <v>82</v>
      </c>
      <c r="M426" s="93"/>
      <c r="N426" s="37"/>
      <c r="O426" s="93"/>
    </row>
    <row r="427">
      <c r="A427" s="94" t="s">
        <v>22</v>
      </c>
      <c r="B427" s="46">
        <v>77.5</v>
      </c>
      <c r="C427" s="48">
        <v>8.0</v>
      </c>
      <c r="D427" s="1" t="s">
        <v>132</v>
      </c>
      <c r="E427" s="26" t="s">
        <v>84</v>
      </c>
      <c r="F427" s="46">
        <v>95.0</v>
      </c>
      <c r="G427" s="48">
        <v>8.0</v>
      </c>
      <c r="H427" s="30"/>
      <c r="I427" s="93"/>
      <c r="J427" s="46">
        <v>80.0</v>
      </c>
      <c r="K427" s="48">
        <v>8.0</v>
      </c>
      <c r="L427" s="30"/>
      <c r="M427" s="93"/>
      <c r="N427" s="30"/>
      <c r="O427" s="93"/>
    </row>
    <row r="428">
      <c r="A428" s="37" t="s">
        <v>23</v>
      </c>
      <c r="B428" s="46">
        <v>80.0</v>
      </c>
      <c r="C428" s="22">
        <v>8.0</v>
      </c>
      <c r="D428" s="23" t="s">
        <v>85</v>
      </c>
      <c r="E428" s="26"/>
      <c r="F428" s="47">
        <v>100.0</v>
      </c>
      <c r="G428" s="48">
        <v>8.0</v>
      </c>
      <c r="H428" s="30"/>
      <c r="I428" s="93"/>
      <c r="J428" s="37"/>
      <c r="K428" s="93"/>
      <c r="L428" s="30"/>
      <c r="M428" s="93"/>
      <c r="N428" s="37"/>
      <c r="O428" s="93"/>
    </row>
    <row r="429">
      <c r="A429" s="37"/>
      <c r="B429" s="37"/>
      <c r="C429" s="93"/>
      <c r="D429" s="73" t="s">
        <v>86</v>
      </c>
      <c r="E429" s="26"/>
      <c r="F429" s="37"/>
      <c r="G429" s="95"/>
      <c r="H429" s="37"/>
      <c r="I429" s="95"/>
      <c r="J429" s="37"/>
      <c r="K429" s="93"/>
      <c r="L429" s="37"/>
      <c r="M429" s="93"/>
      <c r="N429" s="37"/>
      <c r="O429" s="93"/>
    </row>
    <row r="430">
      <c r="A430" s="37" t="s">
        <v>113</v>
      </c>
      <c r="B430" s="96" t="s">
        <v>25</v>
      </c>
      <c r="C430" s="97">
        <f>C425*B425 + B426*C426 + B427*C427 + B428*C428 + B429*C429</f>
        <v>2420</v>
      </c>
      <c r="D430" s="98" t="s">
        <v>25</v>
      </c>
      <c r="E430" s="99" t="str">
        <f>E425*D425 + D426*#REF! + E426*E427 + D428*E428 + D429*E429</f>
        <v>#VALUE!</v>
      </c>
      <c r="F430" s="96" t="s">
        <v>25</v>
      </c>
      <c r="G430" s="97">
        <f>G425*F425 + F426*G426 + F427*G427 + F428*G428 + F429*G429</f>
        <v>2960</v>
      </c>
      <c r="H430" s="96" t="s">
        <v>25</v>
      </c>
      <c r="I430" s="100" t="str">
        <f>I425*H425 + H426*I426 + H427*I427 + H428*I428 + H429*I429</f>
        <v>#VALUE!</v>
      </c>
      <c r="J430" s="96" t="s">
        <v>25</v>
      </c>
      <c r="K430" s="97">
        <f>K425*J425 + J426*K426 + J427*K427 + J428*K428 + J429*K429</f>
        <v>1840</v>
      </c>
      <c r="L430" s="96" t="s">
        <v>25</v>
      </c>
      <c r="M430" s="97" t="str">
        <f>M425*L425 + L426*M426 + L427*M427 + L428*M428 + L429*M429</f>
        <v>#VALUE!</v>
      </c>
      <c r="N430" s="96" t="s">
        <v>25</v>
      </c>
      <c r="O430" s="97">
        <f>O425*N425 + N426*O426 + N427*O427 + N428*O428 + N429*O429</f>
        <v>0</v>
      </c>
    </row>
    <row r="431">
      <c r="A431" s="37"/>
      <c r="B431" s="37" t="s">
        <v>26</v>
      </c>
      <c r="C431" s="38">
        <f>(B425*C425 + B426*C426 + B427*C427 + B428*C428 + B429*C429)/SUM(C425:C429)</f>
        <v>75.625</v>
      </c>
      <c r="D431" s="30" t="s">
        <v>26</v>
      </c>
      <c r="E431" s="101" t="str">
        <f>(D425*E425 + D426*#REF! + E426*E427 + D428*E428 + D429*E429)/SUM(E425:E429)</f>
        <v>#VALUE!</v>
      </c>
      <c r="F431" s="37" t="s">
        <v>26</v>
      </c>
      <c r="G431" s="102">
        <f>(F425*G425 + F426*G426 + F427*G427 + F428*G428 + F429*G429)/SUM(G425:G429)</f>
        <v>92.5</v>
      </c>
      <c r="H431" s="37" t="s">
        <v>26</v>
      </c>
      <c r="I431" s="101" t="str">
        <f>(H425*I425 + H426*I426 + H427*I427 + H428*I428 + H429*I429)/SUM(I425:I429)</f>
        <v>#VALUE!</v>
      </c>
      <c r="J431" s="64" t="s">
        <v>26</v>
      </c>
      <c r="K431" s="38">
        <f>(J425*K425 + J426*K426 + J427*K427 + J428*K428 + J429*K429)/SUM(K425:K429)</f>
        <v>76.66666667</v>
      </c>
      <c r="L431" s="37" t="s">
        <v>26</v>
      </c>
      <c r="M431" s="103" t="str">
        <f>(L425*M425 + L426*M426 + L427*M427 + L428*M428 + L429*M429)/SUM(M425:M429)</f>
        <v>#VALUE!</v>
      </c>
      <c r="N431" s="37" t="s">
        <v>26</v>
      </c>
      <c r="O431" s="102" t="str">
        <f>(N425*O425 + N426*O426 + N427*O427 + N428*O428 + N429*O429)/SUM(O425:O429)</f>
        <v>#DIV/0!</v>
      </c>
    </row>
    <row r="432">
      <c r="A432" s="37" t="s">
        <v>27</v>
      </c>
      <c r="B432" s="88" t="s">
        <v>10</v>
      </c>
      <c r="C432" s="89" t="s">
        <v>11</v>
      </c>
      <c r="D432" s="88" t="s">
        <v>10</v>
      </c>
      <c r="E432" s="89" t="s">
        <v>11</v>
      </c>
      <c r="F432" s="88" t="s">
        <v>10</v>
      </c>
      <c r="G432" s="89" t="s">
        <v>11</v>
      </c>
      <c r="H432" s="88" t="s">
        <v>10</v>
      </c>
      <c r="I432" s="89" t="s">
        <v>11</v>
      </c>
      <c r="J432" s="88" t="s">
        <v>10</v>
      </c>
      <c r="K432" s="89" t="s">
        <v>11</v>
      </c>
      <c r="L432" s="88" t="s">
        <v>10</v>
      </c>
      <c r="M432" s="89" t="s">
        <v>11</v>
      </c>
      <c r="N432" s="88" t="s">
        <v>10</v>
      </c>
      <c r="O432" s="89" t="s">
        <v>11</v>
      </c>
    </row>
    <row r="433">
      <c r="A433" s="104" t="s">
        <v>28</v>
      </c>
      <c r="B433" s="20" t="s">
        <v>133</v>
      </c>
      <c r="C433" s="17"/>
      <c r="D433" s="45" t="s">
        <v>88</v>
      </c>
      <c r="E433" s="91" t="s">
        <v>49</v>
      </c>
      <c r="F433" s="68" t="s">
        <v>134</v>
      </c>
      <c r="G433" s="17"/>
      <c r="H433" s="92" t="s">
        <v>89</v>
      </c>
      <c r="I433" s="91" t="s">
        <v>90</v>
      </c>
      <c r="J433" s="70" t="s">
        <v>135</v>
      </c>
      <c r="K433" s="17"/>
      <c r="L433" s="42" t="s">
        <v>91</v>
      </c>
      <c r="M433" s="91" t="s">
        <v>90</v>
      </c>
      <c r="N433" s="92"/>
      <c r="O433" s="91"/>
    </row>
    <row r="434">
      <c r="A434" s="37"/>
      <c r="B434" s="46">
        <v>100.0</v>
      </c>
      <c r="C434" s="22">
        <v>8.0</v>
      </c>
      <c r="D434" s="1">
        <v>40.0</v>
      </c>
      <c r="E434" s="93"/>
      <c r="F434" s="46">
        <v>80.0</v>
      </c>
      <c r="G434" s="22">
        <v>8.0</v>
      </c>
      <c r="H434" s="37" t="s">
        <v>94</v>
      </c>
      <c r="I434" s="93"/>
      <c r="J434" s="28">
        <v>70.0</v>
      </c>
      <c r="K434" s="54">
        <v>8.0</v>
      </c>
      <c r="L434" s="28" t="s">
        <v>136</v>
      </c>
      <c r="M434" s="93"/>
      <c r="N434" s="37"/>
      <c r="O434" s="93"/>
    </row>
    <row r="435">
      <c r="A435" s="37" t="s">
        <v>37</v>
      </c>
      <c r="B435" s="46">
        <v>110.0</v>
      </c>
      <c r="C435" s="22">
        <v>8.0</v>
      </c>
      <c r="D435" s="1">
        <v>30.0</v>
      </c>
      <c r="E435" s="93"/>
      <c r="F435" s="46">
        <v>90.0</v>
      </c>
      <c r="G435" s="22">
        <v>8.0</v>
      </c>
      <c r="H435" s="37" t="s">
        <v>94</v>
      </c>
      <c r="I435" s="93"/>
      <c r="J435" s="27">
        <v>75.0</v>
      </c>
      <c r="K435" s="54">
        <v>8.0</v>
      </c>
      <c r="L435" s="28" t="s">
        <v>99</v>
      </c>
      <c r="M435" s="93"/>
      <c r="N435" s="37"/>
      <c r="O435" s="93"/>
    </row>
    <row r="436">
      <c r="A436" s="37" t="s">
        <v>39</v>
      </c>
      <c r="B436" s="46">
        <v>120.0</v>
      </c>
      <c r="C436" s="22">
        <v>8.0</v>
      </c>
      <c r="D436" s="1">
        <v>100.0</v>
      </c>
      <c r="E436" s="93"/>
      <c r="F436" s="46">
        <v>100.0</v>
      </c>
      <c r="G436" s="22">
        <v>8.0</v>
      </c>
      <c r="H436" s="37" t="s">
        <v>98</v>
      </c>
      <c r="I436" s="93"/>
      <c r="J436" s="27">
        <v>80.0</v>
      </c>
      <c r="K436" s="54">
        <v>8.0</v>
      </c>
      <c r="L436" s="28" t="s">
        <v>137</v>
      </c>
      <c r="M436" s="93"/>
      <c r="N436" s="37"/>
      <c r="O436" s="93"/>
    </row>
    <row r="437">
      <c r="A437" s="37"/>
      <c r="B437" s="46">
        <v>130.0</v>
      </c>
      <c r="C437" s="22">
        <v>8.0</v>
      </c>
      <c r="D437" s="1">
        <v>80.0</v>
      </c>
      <c r="E437" s="93"/>
      <c r="F437" s="46">
        <v>110.0</v>
      </c>
      <c r="G437" s="22">
        <v>8.0</v>
      </c>
      <c r="H437" s="37" t="s">
        <v>98</v>
      </c>
      <c r="I437" s="93"/>
      <c r="J437" s="37"/>
      <c r="K437" s="93"/>
      <c r="L437" s="28" t="s">
        <v>138</v>
      </c>
      <c r="M437" s="93"/>
      <c r="N437" s="37"/>
      <c r="O437" s="93"/>
    </row>
    <row r="438">
      <c r="A438" s="37" t="s">
        <v>41</v>
      </c>
      <c r="B438" s="37"/>
      <c r="C438" s="93"/>
      <c r="D438" s="1" t="s">
        <v>101</v>
      </c>
      <c r="E438" s="93"/>
      <c r="F438" s="30"/>
      <c r="G438" s="93"/>
      <c r="H438" s="37" t="s">
        <v>102</v>
      </c>
      <c r="I438" s="93"/>
      <c r="J438" s="30"/>
      <c r="K438" s="93"/>
      <c r="L438" s="28" t="s">
        <v>109</v>
      </c>
      <c r="M438" s="93"/>
      <c r="N438" s="37"/>
      <c r="O438" s="93"/>
    </row>
    <row r="439">
      <c r="A439" s="37" t="s">
        <v>43</v>
      </c>
      <c r="B439" s="37"/>
      <c r="C439" s="95"/>
      <c r="D439" s="28" t="s">
        <v>103</v>
      </c>
      <c r="E439" s="95"/>
      <c r="F439" s="37"/>
      <c r="G439" s="95"/>
      <c r="H439" s="37" t="s">
        <v>102</v>
      </c>
      <c r="I439" s="93"/>
      <c r="J439" s="37"/>
      <c r="K439" s="93"/>
      <c r="L439" s="37"/>
      <c r="M439" s="93" t="s">
        <v>42</v>
      </c>
      <c r="N439" s="37"/>
      <c r="O439" s="93"/>
    </row>
    <row r="440">
      <c r="A440" s="37"/>
      <c r="B440" s="96" t="s">
        <v>25</v>
      </c>
      <c r="C440" s="97">
        <f>C434*B434 + B435*C435 + B436*C436 + B437*C437 + B439*C439</f>
        <v>3680</v>
      </c>
      <c r="D440" s="96" t="s">
        <v>25</v>
      </c>
      <c r="E440" s="99" t="str">
        <f>E434*D434 + D435*E435 + D436*E436 + D437*E437 + D439*E439</f>
        <v>#VALUE!</v>
      </c>
      <c r="F440" s="96" t="s">
        <v>25</v>
      </c>
      <c r="G440" s="97">
        <f>G434*F434 + F435*G435 + F436*G436 + F437*G437 + F439*G439</f>
        <v>3040</v>
      </c>
      <c r="H440" s="96" t="s">
        <v>25</v>
      </c>
      <c r="I440" s="100" t="str">
        <f>I434*H434 + H435*I435 + H436*I436 + H437*I437 + H439*I439</f>
        <v>#VALUE!</v>
      </c>
      <c r="J440" s="96" t="s">
        <v>25</v>
      </c>
      <c r="K440" s="97">
        <f>K434*J434 + J435*K435 + J436*K436 + J437*K437 + J439*K439</f>
        <v>1800</v>
      </c>
      <c r="L440" s="96" t="s">
        <v>25</v>
      </c>
      <c r="M440" s="97" t="str">
        <f>M434*L434 + L435*M435 + L436*M436 + L437*M437 + L439*M439</f>
        <v>#VALUE!</v>
      </c>
      <c r="N440" s="96" t="s">
        <v>25</v>
      </c>
      <c r="O440" s="97">
        <f>O434*N434 + N435*O435 + N436*O436 + N437*O437 + N439*O439</f>
        <v>0</v>
      </c>
    </row>
    <row r="441">
      <c r="A441" s="37" t="s">
        <v>116</v>
      </c>
      <c r="B441" s="64" t="s">
        <v>26</v>
      </c>
      <c r="C441" s="38">
        <f>(B435*C435 + B436*C436 + B437*C437 + B438*C438 + B439*C439)/SUM(C435:C439)</f>
        <v>120</v>
      </c>
      <c r="D441" s="64" t="s">
        <v>26</v>
      </c>
      <c r="E441" s="105" t="str">
        <f>(D434*E434 + D435*E435 + D436*E436 + D437*E437 + D439*E439)/SUM(E434:E439)</f>
        <v>#VALUE!</v>
      </c>
      <c r="F441" s="64" t="s">
        <v>26</v>
      </c>
      <c r="G441" s="38">
        <f>(F435*G435 + F436*G436 + F437*G437 + F438*G438 + F439*G439)/SUM(G435:G439)</f>
        <v>100</v>
      </c>
      <c r="H441" s="64" t="s">
        <v>26</v>
      </c>
      <c r="I441" s="105" t="str">
        <f>(H434*I434 + H435*I435 + H436*I436 + H437*I437 + H439*I439)/SUM(I434:I439)</f>
        <v>#VALUE!</v>
      </c>
      <c r="J441" s="64" t="s">
        <v>26</v>
      </c>
      <c r="K441" s="102">
        <f>(J435*K435 + J436*K436 + J437*K437 + J438*K438 + J439*K439)/SUM(K435:K439)</f>
        <v>77.5</v>
      </c>
      <c r="L441" s="64" t="s">
        <v>26</v>
      </c>
      <c r="M441" s="102" t="str">
        <f>(L434*M434 + L435*M435 + L436*M436 + L437*M437 + L439*M439)/SUM(M434:M439)</f>
        <v>#VALUE!</v>
      </c>
      <c r="N441" s="64" t="s">
        <v>26</v>
      </c>
      <c r="O441" s="102" t="str">
        <f>(N435*O435 + N436*O436 + N437*O437 + N438*O438 + N439*O439)/SUM(O435:O439)</f>
        <v>#DIV/0!</v>
      </c>
    </row>
    <row r="442">
      <c r="A442" s="37" t="s">
        <v>117</v>
      </c>
      <c r="B442" s="92" t="s">
        <v>118</v>
      </c>
      <c r="C442" s="91"/>
      <c r="D442" s="45" t="s">
        <v>88</v>
      </c>
      <c r="E442" s="91"/>
      <c r="F442" s="92" t="s">
        <v>119</v>
      </c>
      <c r="G442" s="91"/>
      <c r="H442" s="106" t="s">
        <v>33</v>
      </c>
      <c r="I442" s="91"/>
      <c r="J442" s="92" t="s">
        <v>71</v>
      </c>
      <c r="K442" s="91"/>
      <c r="L442" s="42" t="s">
        <v>105</v>
      </c>
      <c r="M442" s="91" t="s">
        <v>49</v>
      </c>
      <c r="N442" s="106"/>
      <c r="O442" s="107"/>
    </row>
    <row r="443">
      <c r="A443" s="37" t="s">
        <v>120</v>
      </c>
      <c r="B443" s="108">
        <v>60.0</v>
      </c>
      <c r="C443" s="109">
        <v>8.0</v>
      </c>
      <c r="D443" s="110">
        <v>60.0</v>
      </c>
      <c r="E443" s="93"/>
      <c r="F443" s="108">
        <v>40.0</v>
      </c>
      <c r="G443" s="109">
        <v>8.0</v>
      </c>
      <c r="H443" s="30"/>
      <c r="I443" s="93"/>
      <c r="J443" s="108">
        <v>65.0</v>
      </c>
      <c r="K443" s="109">
        <v>8.0</v>
      </c>
      <c r="L443" s="28" t="s">
        <v>139</v>
      </c>
      <c r="M443" s="93"/>
      <c r="N443" s="37"/>
      <c r="O443" s="93"/>
    </row>
    <row r="444">
      <c r="A444" s="37"/>
      <c r="B444" s="108">
        <v>65.0</v>
      </c>
      <c r="C444" s="109">
        <v>8.0</v>
      </c>
      <c r="D444" s="46">
        <v>80.0</v>
      </c>
      <c r="E444" s="93"/>
      <c r="F444" s="108">
        <v>42.5</v>
      </c>
      <c r="G444" s="109">
        <v>8.0</v>
      </c>
      <c r="H444" s="30"/>
      <c r="I444" s="93"/>
      <c r="J444" s="108">
        <v>70.0</v>
      </c>
      <c r="K444" s="109">
        <v>8.0</v>
      </c>
      <c r="L444" s="28" t="s">
        <v>108</v>
      </c>
      <c r="M444" s="93"/>
      <c r="N444" s="37"/>
      <c r="O444" s="93"/>
    </row>
    <row r="445">
      <c r="A445" s="37" t="s">
        <v>121</v>
      </c>
      <c r="B445" s="108">
        <v>67.5</v>
      </c>
      <c r="C445" s="109">
        <v>8.0</v>
      </c>
      <c r="D445" s="46">
        <v>40.0</v>
      </c>
      <c r="E445" s="93"/>
      <c r="F445" s="108">
        <v>45.0</v>
      </c>
      <c r="G445" s="109">
        <v>8.0</v>
      </c>
      <c r="H445" s="30"/>
      <c r="I445" s="93"/>
      <c r="J445" s="108">
        <v>72.5</v>
      </c>
      <c r="K445" s="109">
        <v>8.0</v>
      </c>
      <c r="L445" s="28" t="s">
        <v>107</v>
      </c>
      <c r="M445" s="93"/>
      <c r="N445" s="37"/>
      <c r="O445" s="93"/>
    </row>
    <row r="446">
      <c r="A446" s="37" t="s">
        <v>122</v>
      </c>
      <c r="B446" s="37"/>
      <c r="C446" s="95"/>
      <c r="D446" s="46">
        <v>60.0</v>
      </c>
      <c r="E446" s="95"/>
      <c r="F446" s="37"/>
      <c r="G446" s="95"/>
      <c r="H446" s="37"/>
      <c r="I446" s="95"/>
      <c r="J446" s="37"/>
      <c r="K446" s="93"/>
      <c r="L446" s="32" t="s">
        <v>109</v>
      </c>
      <c r="M446" s="93"/>
      <c r="N446" s="37"/>
      <c r="O446" s="93"/>
    </row>
    <row r="447">
      <c r="A447" s="37" t="s">
        <v>123</v>
      </c>
      <c r="B447" s="37"/>
      <c r="C447" s="95"/>
      <c r="D447" s="21">
        <v>30.0</v>
      </c>
      <c r="E447" s="95"/>
      <c r="F447" s="37"/>
      <c r="G447" s="95"/>
      <c r="H447" s="37"/>
      <c r="I447" s="95"/>
      <c r="J447" s="37"/>
      <c r="K447" s="93"/>
      <c r="L447" s="30"/>
      <c r="M447" s="93"/>
      <c r="N447" s="30"/>
      <c r="O447" s="93"/>
    </row>
    <row r="448">
      <c r="A448" s="37"/>
      <c r="B448" s="96" t="s">
        <v>25</v>
      </c>
      <c r="C448" s="99">
        <f>C443*B443 + B444*C444 + B445*C445 + B446*C446 + B447*C447</f>
        <v>1540</v>
      </c>
      <c r="D448" s="96" t="s">
        <v>25</v>
      </c>
      <c r="E448" s="99">
        <f>E443*D443 + D444*E444 + D445*E445 + D446*E446 + D447*E447</f>
        <v>0</v>
      </c>
      <c r="F448" s="96" t="s">
        <v>25</v>
      </c>
      <c r="G448" s="99">
        <f>G443*F443 + F444*G444 + F445*G445 + F446*G446 + F447*G447</f>
        <v>1020</v>
      </c>
      <c r="H448" s="96" t="s">
        <v>25</v>
      </c>
      <c r="I448" s="100">
        <f>I443*H443 + H444*I444 + H445*I445 + H446*I446 + H447*I447</f>
        <v>0</v>
      </c>
      <c r="J448" s="96" t="s">
        <v>25</v>
      </c>
      <c r="K448" s="97">
        <f>K443*J443 + J444*K444 + J445*K445 + J446*K446 + J447*K447</f>
        <v>1660</v>
      </c>
      <c r="L448" s="98" t="s">
        <v>25</v>
      </c>
      <c r="M448" s="111" t="str">
        <f>M443*L443 + L444*M444 + L445*M445 + L446*M446 + L447*M447</f>
        <v>#VALUE!</v>
      </c>
      <c r="N448" s="98" t="s">
        <v>25</v>
      </c>
      <c r="O448" s="111">
        <f>O443*N443 + N444*O444 + N445*O445 + N446*O446 + N447*O447</f>
        <v>0</v>
      </c>
    </row>
    <row r="449">
      <c r="A449" s="37"/>
      <c r="B449" s="64" t="s">
        <v>26</v>
      </c>
      <c r="C449" s="38">
        <f>(B443*C443 + B444*C444 + B445*C445 + B446*C446 + B447*C447)/SUM(C443:C447)</f>
        <v>64.16666667</v>
      </c>
      <c r="D449" s="66" t="s">
        <v>26</v>
      </c>
      <c r="E449" s="102" t="str">
        <f>(D443*E443 + D444*E444 + D445*E445 + D446*E446 + D447*E447)/SUM(E443:E447)</f>
        <v>#DIV/0!</v>
      </c>
      <c r="F449" s="64" t="s">
        <v>26</v>
      </c>
      <c r="G449" s="102">
        <f>(F443*G443 + F444*G444 + F445*G445 + F446*G446 + F447*G447)/SUM(G443:G447)</f>
        <v>42.5</v>
      </c>
      <c r="H449" s="66" t="s">
        <v>26</v>
      </c>
      <c r="I449" s="102" t="str">
        <f>(H443*I443 + H444*I444 + H445*I445 + H446*I446 + H447*I447)/SUM(I443:I447)</f>
        <v>#DIV/0!</v>
      </c>
      <c r="J449" s="64" t="s">
        <v>26</v>
      </c>
      <c r="K449" s="38">
        <f>(J443*K443 + J444*K444 + J445*K445 + J446*K446 + J447*K447)/SUM(K443:K447)</f>
        <v>69.16666667</v>
      </c>
      <c r="L449" s="66" t="s">
        <v>26</v>
      </c>
      <c r="M449" s="102" t="str">
        <f>(L443*M443 + L444*M444 + L445*M445 + L446*M446 + L447*M447)/SUM(M443:M447)</f>
        <v>#VALUE!</v>
      </c>
      <c r="N449" s="66" t="s">
        <v>26</v>
      </c>
      <c r="O449" s="102" t="str">
        <f>(N443*O443 + N444*O444 + N445*O445 + N446*O446 + N447*O447)/SUM(O447)</f>
        <v>#DIV/0!</v>
      </c>
    </row>
    <row r="450">
      <c r="A450" s="37" t="s">
        <v>124</v>
      </c>
      <c r="B450" s="37"/>
      <c r="C450" s="30" t="s">
        <v>49</v>
      </c>
      <c r="D450" s="37" t="s">
        <v>50</v>
      </c>
      <c r="E450" s="30" t="s">
        <v>49</v>
      </c>
      <c r="F450" s="37" t="s">
        <v>51</v>
      </c>
      <c r="G450" s="30" t="s">
        <v>49</v>
      </c>
      <c r="H450" s="37"/>
      <c r="I450" s="30" t="s">
        <v>49</v>
      </c>
      <c r="J450" s="37"/>
      <c r="K450" s="30" t="s">
        <v>49</v>
      </c>
      <c r="L450" s="37"/>
      <c r="M450" s="60" t="s">
        <v>49</v>
      </c>
      <c r="N450" s="37"/>
      <c r="O450" s="60" t="s">
        <v>49</v>
      </c>
    </row>
    <row r="451">
      <c r="A451" s="37" t="s">
        <v>125</v>
      </c>
      <c r="B451" s="37" t="s">
        <v>75</v>
      </c>
      <c r="C451" s="60"/>
      <c r="D451" s="30"/>
      <c r="E451" s="60"/>
      <c r="F451" s="37" t="s">
        <v>52</v>
      </c>
      <c r="G451" s="60"/>
      <c r="H451" s="30"/>
      <c r="I451" s="60"/>
      <c r="J451" s="37" t="s">
        <v>75</v>
      </c>
      <c r="K451" s="60"/>
      <c r="L451" s="37"/>
      <c r="M451" s="60"/>
      <c r="N451" s="37"/>
      <c r="O451" s="60"/>
    </row>
    <row r="452">
      <c r="A452" s="37"/>
      <c r="B452" s="37" t="s">
        <v>53</v>
      </c>
      <c r="C452" s="60"/>
      <c r="D452" s="30"/>
      <c r="E452" s="60"/>
      <c r="F452" s="37" t="s">
        <v>53</v>
      </c>
      <c r="G452" s="60"/>
      <c r="H452" s="30"/>
      <c r="I452" s="60"/>
      <c r="J452" s="37" t="s">
        <v>53</v>
      </c>
      <c r="K452" s="60"/>
      <c r="L452" s="37"/>
      <c r="M452" s="60"/>
      <c r="N452" s="37"/>
      <c r="O452" s="60"/>
    </row>
    <row r="453">
      <c r="A453" s="37"/>
      <c r="B453" s="37" t="s">
        <v>54</v>
      </c>
      <c r="C453" s="60"/>
      <c r="D453" s="30"/>
      <c r="E453" s="60"/>
      <c r="F453" s="37" t="s">
        <v>54</v>
      </c>
      <c r="G453" s="60"/>
      <c r="H453" s="30"/>
      <c r="I453" s="60"/>
      <c r="J453" s="37" t="s">
        <v>54</v>
      </c>
      <c r="K453" s="60"/>
      <c r="L453" s="30"/>
      <c r="M453" s="60"/>
      <c r="N453" s="30"/>
      <c r="O453" s="60"/>
    </row>
    <row r="454">
      <c r="A454" s="37"/>
      <c r="B454" s="37"/>
      <c r="C454" s="30"/>
      <c r="D454" s="37"/>
      <c r="E454" s="30"/>
      <c r="F454" s="37"/>
      <c r="G454" s="60"/>
      <c r="H454" s="30"/>
      <c r="I454" s="30"/>
      <c r="J454" s="37"/>
      <c r="K454" s="60"/>
      <c r="L454" s="30"/>
      <c r="M454" s="60"/>
      <c r="N454" s="30"/>
      <c r="O454" s="60"/>
    </row>
    <row r="455">
      <c r="A455" s="37"/>
      <c r="B455" s="37"/>
      <c r="C455" s="30"/>
      <c r="D455" s="37"/>
      <c r="E455" s="30"/>
      <c r="F455" s="37"/>
      <c r="G455" s="60"/>
      <c r="H455" s="37"/>
      <c r="I455" s="30"/>
      <c r="J455" s="37"/>
      <c r="K455" s="60"/>
      <c r="L455" s="30"/>
      <c r="M455" s="60"/>
      <c r="N455" s="30"/>
      <c r="O455" s="60"/>
    </row>
    <row r="456">
      <c r="A456" s="37"/>
      <c r="B456" s="37"/>
      <c r="C456" s="30"/>
      <c r="D456" s="37"/>
      <c r="E456" s="30"/>
      <c r="F456" s="37"/>
      <c r="G456" s="60"/>
      <c r="H456" s="30"/>
      <c r="I456" s="30"/>
      <c r="J456" s="37"/>
      <c r="K456" s="60"/>
      <c r="L456" s="30"/>
      <c r="M456" s="60"/>
      <c r="N456" s="30"/>
      <c r="O456" s="60"/>
    </row>
    <row r="457">
      <c r="A457" s="64"/>
      <c r="B457" s="64"/>
      <c r="C457" s="66"/>
      <c r="D457" s="64"/>
      <c r="E457" s="66"/>
      <c r="F457" s="64"/>
      <c r="G457" s="67"/>
      <c r="H457" s="66"/>
      <c r="I457" s="66"/>
      <c r="J457" s="64"/>
      <c r="K457" s="67"/>
      <c r="L457" s="66"/>
      <c r="M457" s="67"/>
      <c r="N457" s="66"/>
      <c r="O457" s="67"/>
    </row>
    <row r="459">
      <c r="A459" s="80" t="s">
        <v>2</v>
      </c>
      <c r="B459" s="81" t="s">
        <v>3</v>
      </c>
      <c r="C459" s="82">
        <f>O421+1</f>
        <v>45803</v>
      </c>
      <c r="D459" s="83" t="s">
        <v>4</v>
      </c>
      <c r="E459" s="84">
        <f>C459+1</f>
        <v>45804</v>
      </c>
      <c r="F459" s="81" t="s">
        <v>5</v>
      </c>
      <c r="G459" s="84">
        <f>E459+1</f>
        <v>45805</v>
      </c>
      <c r="H459" s="81" t="s">
        <v>6</v>
      </c>
      <c r="I459" s="84">
        <f>G459+1</f>
        <v>45806</v>
      </c>
      <c r="J459" s="81" t="s">
        <v>7</v>
      </c>
      <c r="K459" s="84">
        <f>I459+1</f>
        <v>45807</v>
      </c>
      <c r="L459" s="85" t="s">
        <v>8</v>
      </c>
      <c r="M459" s="86">
        <f>K459+1</f>
        <v>45808</v>
      </c>
      <c r="N459" s="85" t="s">
        <v>9</v>
      </c>
      <c r="O459" s="86">
        <f>M459+1</f>
        <v>45809</v>
      </c>
    </row>
    <row r="460">
      <c r="A460" s="87">
        <f>A422+1</f>
        <v>13</v>
      </c>
      <c r="B460" s="88" t="s">
        <v>10</v>
      </c>
      <c r="C460" s="89" t="s">
        <v>11</v>
      </c>
      <c r="D460" s="88" t="s">
        <v>10</v>
      </c>
      <c r="E460" s="89" t="s">
        <v>11</v>
      </c>
      <c r="F460" s="88" t="s">
        <v>10</v>
      </c>
      <c r="G460" s="89" t="s">
        <v>11</v>
      </c>
      <c r="H460" s="88" t="s">
        <v>10</v>
      </c>
      <c r="I460" s="89" t="s">
        <v>11</v>
      </c>
      <c r="J460" s="88" t="s">
        <v>10</v>
      </c>
      <c r="K460" s="89" t="s">
        <v>11</v>
      </c>
      <c r="L460" s="88" t="s">
        <v>10</v>
      </c>
      <c r="M460" s="89" t="s">
        <v>11</v>
      </c>
      <c r="N460" s="88" t="s">
        <v>10</v>
      </c>
      <c r="O460" s="89" t="s">
        <v>11</v>
      </c>
    </row>
    <row r="461">
      <c r="A461" s="37"/>
      <c r="B461" s="90"/>
      <c r="C461" s="15"/>
      <c r="D461" s="90"/>
      <c r="E461" s="15"/>
      <c r="F461" s="90"/>
      <c r="G461" s="15"/>
      <c r="H461" s="90"/>
      <c r="I461" s="15"/>
      <c r="J461" s="90"/>
      <c r="K461" s="15"/>
      <c r="L461" s="90"/>
      <c r="M461" s="15"/>
      <c r="N461" s="90"/>
      <c r="O461" s="15"/>
    </row>
    <row r="462">
      <c r="A462" s="37" t="s">
        <v>12</v>
      </c>
      <c r="B462" s="70" t="s">
        <v>127</v>
      </c>
      <c r="C462" s="76"/>
      <c r="D462" s="18" t="s">
        <v>14</v>
      </c>
      <c r="E462" s="17"/>
      <c r="F462" s="20" t="s">
        <v>128</v>
      </c>
      <c r="G462" s="17"/>
      <c r="H462" s="42" t="s">
        <v>15</v>
      </c>
      <c r="I462" s="91"/>
      <c r="J462" s="20" t="s">
        <v>111</v>
      </c>
      <c r="K462" s="17"/>
      <c r="L462" s="72" t="s">
        <v>14</v>
      </c>
      <c r="M462" s="91"/>
      <c r="N462" s="92" t="s">
        <v>17</v>
      </c>
      <c r="O462" s="91"/>
    </row>
    <row r="463">
      <c r="A463" s="37"/>
      <c r="B463" s="46">
        <v>75.0</v>
      </c>
      <c r="C463" s="22">
        <v>8.0</v>
      </c>
      <c r="D463" s="1" t="s">
        <v>129</v>
      </c>
      <c r="E463" s="24" t="s">
        <v>77</v>
      </c>
      <c r="F463" s="46">
        <v>90.0</v>
      </c>
      <c r="G463" s="48">
        <v>8.0</v>
      </c>
      <c r="H463" s="27" t="s">
        <v>130</v>
      </c>
      <c r="I463" s="93"/>
      <c r="J463" s="46">
        <v>75.0</v>
      </c>
      <c r="K463" s="48">
        <v>8.0</v>
      </c>
      <c r="L463" s="52" t="s">
        <v>79</v>
      </c>
      <c r="M463" s="93"/>
      <c r="N463" s="37"/>
      <c r="O463" s="93"/>
    </row>
    <row r="464">
      <c r="A464" s="37" t="s">
        <v>20</v>
      </c>
      <c r="B464" s="46">
        <v>80.0</v>
      </c>
      <c r="C464" s="48">
        <v>6.0</v>
      </c>
      <c r="D464" s="23" t="s">
        <v>80</v>
      </c>
      <c r="E464" s="26" t="s">
        <v>81</v>
      </c>
      <c r="F464" s="46">
        <v>100.0</v>
      </c>
      <c r="G464" s="48">
        <v>8.0</v>
      </c>
      <c r="H464" s="28" t="s">
        <v>131</v>
      </c>
      <c r="I464" s="93"/>
      <c r="J464" s="46">
        <v>80.0</v>
      </c>
      <c r="K464" s="48">
        <v>6.0</v>
      </c>
      <c r="L464" s="32" t="s">
        <v>82</v>
      </c>
      <c r="M464" s="93"/>
      <c r="N464" s="37"/>
      <c r="O464" s="93"/>
    </row>
    <row r="465">
      <c r="A465" s="94" t="s">
        <v>22</v>
      </c>
      <c r="B465" s="46">
        <v>82.5</v>
      </c>
      <c r="C465" s="48">
        <v>6.0</v>
      </c>
      <c r="D465" s="1" t="s">
        <v>132</v>
      </c>
      <c r="E465" s="26" t="s">
        <v>84</v>
      </c>
      <c r="F465" s="46">
        <v>105.0</v>
      </c>
      <c r="G465" s="48">
        <v>6.0</v>
      </c>
      <c r="H465" s="30"/>
      <c r="I465" s="93"/>
      <c r="J465" s="46">
        <v>82.5</v>
      </c>
      <c r="K465" s="48">
        <v>6.0</v>
      </c>
      <c r="L465" s="30"/>
      <c r="M465" s="93"/>
      <c r="N465" s="30"/>
      <c r="O465" s="93"/>
    </row>
    <row r="466">
      <c r="A466" s="37" t="s">
        <v>23</v>
      </c>
      <c r="B466" s="46">
        <v>80.0</v>
      </c>
      <c r="C466" s="48">
        <v>6.0</v>
      </c>
      <c r="D466" s="23" t="s">
        <v>85</v>
      </c>
      <c r="E466" s="26"/>
      <c r="F466" s="47">
        <v>110.0</v>
      </c>
      <c r="G466" s="48">
        <v>6.0</v>
      </c>
      <c r="H466" s="30"/>
      <c r="I466" s="93"/>
      <c r="J466" s="37"/>
      <c r="K466" s="93"/>
      <c r="L466" s="30"/>
      <c r="M466" s="93"/>
      <c r="N466" s="37"/>
      <c r="O466" s="93"/>
    </row>
    <row r="467">
      <c r="A467" s="37"/>
      <c r="B467" s="37"/>
      <c r="C467" s="93"/>
      <c r="D467" s="73" t="s">
        <v>86</v>
      </c>
      <c r="E467" s="26"/>
      <c r="F467" s="37"/>
      <c r="G467" s="95"/>
      <c r="H467" s="37"/>
      <c r="I467" s="95"/>
      <c r="J467" s="37"/>
      <c r="K467" s="93"/>
      <c r="L467" s="37"/>
      <c r="M467" s="93"/>
      <c r="N467" s="37"/>
      <c r="O467" s="93"/>
    </row>
    <row r="468">
      <c r="A468" s="37" t="s">
        <v>113</v>
      </c>
      <c r="B468" s="96" t="s">
        <v>25</v>
      </c>
      <c r="C468" s="97">
        <f>C463*B463 + B464*C464 + B465*C465 + B466*C466 + B467*C467</f>
        <v>2055</v>
      </c>
      <c r="D468" s="98" t="s">
        <v>25</v>
      </c>
      <c r="E468" s="99" t="str">
        <f>E463*D463 + D464*#REF! + E464*E465 + D466*E466 + D467*E467</f>
        <v>#VALUE!</v>
      </c>
      <c r="F468" s="96" t="s">
        <v>25</v>
      </c>
      <c r="G468" s="97">
        <f>G463*F463 + F464*G464 + F465*G465 + F466*G466 + F467*G467</f>
        <v>2810</v>
      </c>
      <c r="H468" s="96" t="s">
        <v>25</v>
      </c>
      <c r="I468" s="100" t="str">
        <f>I463*H463 + H464*I464 + H465*I465 + H466*I466 + H467*I467</f>
        <v>#VALUE!</v>
      </c>
      <c r="J468" s="96" t="s">
        <v>25</v>
      </c>
      <c r="K468" s="97">
        <f>K463*J463 + J464*K464 + J465*K465 + J466*K466 + J467*K467</f>
        <v>1575</v>
      </c>
      <c r="L468" s="96" t="s">
        <v>25</v>
      </c>
      <c r="M468" s="97" t="str">
        <f>M463*L463 + L464*M464 + L465*M465 + L466*M466 + L467*M467</f>
        <v>#VALUE!</v>
      </c>
      <c r="N468" s="96" t="s">
        <v>25</v>
      </c>
      <c r="O468" s="97">
        <f>O463*N463 + N464*O464 + N465*O465 + N466*O466 + N467*O467</f>
        <v>0</v>
      </c>
    </row>
    <row r="469">
      <c r="A469" s="37"/>
      <c r="B469" s="37" t="s">
        <v>26</v>
      </c>
      <c r="C469" s="38">
        <f>(B463*C463 + B464*C464 + B465*C465 + B466*C466 + B467*C467)/SUM(C463:C467)</f>
        <v>79.03846154</v>
      </c>
      <c r="D469" s="30" t="s">
        <v>26</v>
      </c>
      <c r="E469" s="101" t="str">
        <f>(D463*E463 + D464*#REF! + E464*E465 + D466*E466 + D467*E467)/SUM(E463:E467)</f>
        <v>#VALUE!</v>
      </c>
      <c r="F469" s="37" t="s">
        <v>26</v>
      </c>
      <c r="G469" s="102">
        <f>(F463*G463 + F464*G464 + F465*G465 + F466*G466 + F467*G467)/SUM(G463:G467)</f>
        <v>100.3571429</v>
      </c>
      <c r="H469" s="37" t="s">
        <v>26</v>
      </c>
      <c r="I469" s="101" t="str">
        <f>(H463*I463 + H464*I464 + H465*I465 + H466*I466 + H467*I467)/SUM(I463:I467)</f>
        <v>#VALUE!</v>
      </c>
      <c r="J469" s="64" t="s">
        <v>26</v>
      </c>
      <c r="K469" s="102">
        <f>(J463*K463 + J464*K464 + J465*K465 + J466*K466 + J467*K467)/SUM(K463:K467)</f>
        <v>78.75</v>
      </c>
      <c r="L469" s="37" t="s">
        <v>26</v>
      </c>
      <c r="M469" s="103" t="str">
        <f>(L463*M463 + L464*M464 + L465*M465 + L466*M466 + L467*M467)/SUM(M463:M467)</f>
        <v>#VALUE!</v>
      </c>
      <c r="N469" s="37" t="s">
        <v>26</v>
      </c>
      <c r="O469" s="102" t="str">
        <f>(N463*O463 + N464*O464 + N465*O465 + N466*O466 + N467*O467)/SUM(O463:O467)</f>
        <v>#DIV/0!</v>
      </c>
    </row>
    <row r="470">
      <c r="A470" s="37" t="s">
        <v>27</v>
      </c>
      <c r="B470" s="88" t="s">
        <v>10</v>
      </c>
      <c r="C470" s="89" t="s">
        <v>11</v>
      </c>
      <c r="D470" s="88" t="s">
        <v>10</v>
      </c>
      <c r="E470" s="89" t="s">
        <v>11</v>
      </c>
      <c r="F470" s="88" t="s">
        <v>10</v>
      </c>
      <c r="G470" s="89" t="s">
        <v>11</v>
      </c>
      <c r="H470" s="88" t="s">
        <v>10</v>
      </c>
      <c r="I470" s="89" t="s">
        <v>11</v>
      </c>
      <c r="J470" s="88" t="s">
        <v>10</v>
      </c>
      <c r="K470" s="89" t="s">
        <v>11</v>
      </c>
      <c r="L470" s="88" t="s">
        <v>10</v>
      </c>
      <c r="M470" s="89" t="s">
        <v>11</v>
      </c>
      <c r="N470" s="88" t="s">
        <v>10</v>
      </c>
      <c r="O470" s="89" t="s">
        <v>11</v>
      </c>
    </row>
    <row r="471">
      <c r="A471" s="104" t="s">
        <v>28</v>
      </c>
      <c r="B471" s="20" t="s">
        <v>133</v>
      </c>
      <c r="C471" s="17"/>
      <c r="D471" s="45" t="s">
        <v>91</v>
      </c>
      <c r="E471" s="91" t="s">
        <v>49</v>
      </c>
      <c r="F471" s="68" t="s">
        <v>134</v>
      </c>
      <c r="G471" s="17"/>
      <c r="H471" s="70" t="s">
        <v>91</v>
      </c>
      <c r="I471" s="91" t="s">
        <v>90</v>
      </c>
      <c r="J471" s="70" t="s">
        <v>135</v>
      </c>
      <c r="K471" s="17"/>
      <c r="L471" s="42" t="s">
        <v>91</v>
      </c>
      <c r="M471" s="91" t="s">
        <v>90</v>
      </c>
      <c r="N471" s="92"/>
      <c r="O471" s="91"/>
    </row>
    <row r="472">
      <c r="A472" s="37"/>
      <c r="B472" s="46">
        <v>110.0</v>
      </c>
      <c r="C472" s="22">
        <v>8.0</v>
      </c>
      <c r="D472" s="1">
        <v>40.0</v>
      </c>
      <c r="E472" s="93"/>
      <c r="F472" s="46">
        <v>90.0</v>
      </c>
      <c r="G472" s="22">
        <v>8.0</v>
      </c>
      <c r="H472" s="108">
        <v>60.0</v>
      </c>
      <c r="I472" s="93"/>
      <c r="J472" s="28">
        <v>70.0</v>
      </c>
      <c r="K472" s="54">
        <v>8.0</v>
      </c>
      <c r="L472" s="21">
        <v>30.0</v>
      </c>
      <c r="M472" s="93"/>
      <c r="N472" s="37"/>
      <c r="O472" s="93"/>
    </row>
    <row r="473">
      <c r="A473" s="37" t="s">
        <v>37</v>
      </c>
      <c r="B473" s="46">
        <v>120.0</v>
      </c>
      <c r="C473" s="22">
        <v>8.0</v>
      </c>
      <c r="D473" s="1">
        <v>30.0</v>
      </c>
      <c r="E473" s="93"/>
      <c r="F473" s="46">
        <v>100.0</v>
      </c>
      <c r="G473" s="22">
        <v>8.0</v>
      </c>
      <c r="H473" s="108">
        <v>60.0</v>
      </c>
      <c r="I473" s="93"/>
      <c r="J473" s="27">
        <v>75.0</v>
      </c>
      <c r="K473" s="54">
        <v>8.0</v>
      </c>
      <c r="L473" s="21">
        <v>40.0</v>
      </c>
      <c r="M473" s="93"/>
      <c r="N473" s="37"/>
      <c r="O473" s="93"/>
    </row>
    <row r="474">
      <c r="A474" s="37" t="s">
        <v>39</v>
      </c>
      <c r="B474" s="46">
        <v>130.0</v>
      </c>
      <c r="C474" s="22">
        <v>8.0</v>
      </c>
      <c r="D474" s="1">
        <v>60.0</v>
      </c>
      <c r="E474" s="93"/>
      <c r="F474" s="46">
        <v>110.0</v>
      </c>
      <c r="G474" s="48">
        <v>6.0</v>
      </c>
      <c r="H474" s="108">
        <v>30.0</v>
      </c>
      <c r="I474" s="93"/>
      <c r="J474" s="27">
        <v>80.0</v>
      </c>
      <c r="K474" s="54">
        <v>8.0</v>
      </c>
      <c r="L474" s="21">
        <v>60.0</v>
      </c>
      <c r="M474" s="93"/>
      <c r="N474" s="37"/>
      <c r="O474" s="93"/>
    </row>
    <row r="475">
      <c r="A475" s="37"/>
      <c r="B475" s="46">
        <v>140.0</v>
      </c>
      <c r="C475" s="22">
        <v>8.0</v>
      </c>
      <c r="D475" s="1">
        <v>80.0</v>
      </c>
      <c r="E475" s="93"/>
      <c r="F475" s="46">
        <v>120.0</v>
      </c>
      <c r="G475" s="48">
        <v>6.0</v>
      </c>
      <c r="H475" s="108">
        <v>60.0</v>
      </c>
      <c r="I475" s="93"/>
      <c r="J475" s="37"/>
      <c r="K475" s="93"/>
      <c r="L475" s="21">
        <v>30.0</v>
      </c>
      <c r="M475" s="93"/>
      <c r="N475" s="37"/>
      <c r="O475" s="93"/>
    </row>
    <row r="476">
      <c r="A476" s="37" t="s">
        <v>41</v>
      </c>
      <c r="B476" s="37"/>
      <c r="C476" s="93"/>
      <c r="D476" s="1">
        <v>30.0</v>
      </c>
      <c r="E476" s="54" t="s">
        <v>103</v>
      </c>
      <c r="F476" s="30"/>
      <c r="G476" s="93"/>
      <c r="H476" s="108">
        <v>30.0</v>
      </c>
      <c r="I476" s="93"/>
      <c r="J476" s="30"/>
      <c r="K476" s="93"/>
      <c r="L476" s="32"/>
      <c r="M476" s="93"/>
      <c r="N476" s="37"/>
      <c r="O476" s="93"/>
    </row>
    <row r="477">
      <c r="A477" s="37" t="s">
        <v>43</v>
      </c>
      <c r="B477" s="37"/>
      <c r="C477" s="95"/>
      <c r="D477" s="28" t="s">
        <v>101</v>
      </c>
      <c r="E477" s="95"/>
      <c r="F477" s="37"/>
      <c r="G477" s="95"/>
      <c r="H477" s="37" t="s">
        <v>140</v>
      </c>
      <c r="I477" s="93"/>
      <c r="J477" s="37"/>
      <c r="K477" s="93"/>
      <c r="L477" s="37" t="s">
        <v>140</v>
      </c>
      <c r="M477" s="93" t="s">
        <v>42</v>
      </c>
      <c r="N477" s="37"/>
      <c r="O477" s="93"/>
    </row>
    <row r="478">
      <c r="A478" s="37"/>
      <c r="B478" s="96" t="s">
        <v>25</v>
      </c>
      <c r="C478" s="97">
        <f>C472*B472 + B473*C473 + B474*C474 + B475*C475 + B477*C477</f>
        <v>4000</v>
      </c>
      <c r="D478" s="96" t="s">
        <v>25</v>
      </c>
      <c r="E478" s="99" t="str">
        <f>E472*D472 + D473*E473 + D474*E474 + D475*E475 + D477*E477</f>
        <v>#VALUE!</v>
      </c>
      <c r="F478" s="96" t="s">
        <v>25</v>
      </c>
      <c r="G478" s="97">
        <f>G472*F472 + F473*G473 + F474*G474 + F475*G475 + F477*G477</f>
        <v>2900</v>
      </c>
      <c r="H478" s="96" t="s">
        <v>25</v>
      </c>
      <c r="I478" s="100" t="str">
        <f>I472*H472 + H473*I473 + H474*I474 + H475*I475 + H477*I477</f>
        <v>#VALUE!</v>
      </c>
      <c r="J478" s="96" t="s">
        <v>25</v>
      </c>
      <c r="K478" s="97">
        <f>K472*J472 + J473*K473 + J474*K474 + J475*K475 + J477*K477</f>
        <v>1800</v>
      </c>
      <c r="L478" s="96" t="s">
        <v>25</v>
      </c>
      <c r="M478" s="97" t="str">
        <f>M472*L472 + L473*M473 + L474*M474 + L475*M475 + L477*M477</f>
        <v>#VALUE!</v>
      </c>
      <c r="N478" s="96" t="s">
        <v>25</v>
      </c>
      <c r="O478" s="97">
        <f>O472*N472 + N473*O473 + N474*O474 + N475*O475 + N477*O477</f>
        <v>0</v>
      </c>
    </row>
    <row r="479">
      <c r="A479" s="37" t="s">
        <v>116</v>
      </c>
      <c r="B479" s="64" t="s">
        <v>26</v>
      </c>
      <c r="C479" s="38">
        <f>(B473*C473 + B474*C474 + B475*C475 + B476*C476 + B477*C477)/SUM(C473:C477)</f>
        <v>130</v>
      </c>
      <c r="D479" s="64" t="s">
        <v>26</v>
      </c>
      <c r="E479" s="105" t="str">
        <f>(D472*E472 + D473*E473 + D474*E474 + D475*E475 + D477*E477)/SUM(E472:E477)</f>
        <v>#VALUE!</v>
      </c>
      <c r="F479" s="64" t="s">
        <v>26</v>
      </c>
      <c r="G479" s="38">
        <f>(F473*G473 + F474*G474 + F475*G475 + F476*G476 + F477*G477)/SUM(G473:G477)</f>
        <v>109</v>
      </c>
      <c r="H479" s="64" t="s">
        <v>26</v>
      </c>
      <c r="I479" s="105" t="str">
        <f>(H472*I472 + H473*I473 + H474*I474 + H475*I475 + H477*I477)/SUM(I472:I477)</f>
        <v>#VALUE!</v>
      </c>
      <c r="J479" s="64" t="s">
        <v>26</v>
      </c>
      <c r="K479" s="102">
        <f>(J473*K473 + J474*K474 + J475*K475 + J476*K476 + J477*K477)/SUM(K473:K477)</f>
        <v>77.5</v>
      </c>
      <c r="L479" s="64" t="s">
        <v>26</v>
      </c>
      <c r="M479" s="102" t="str">
        <f>(L472*M472 + L473*M473 + L474*M474 + L475*M475 + L477*M477)/SUM(M472:M477)</f>
        <v>#VALUE!</v>
      </c>
      <c r="N479" s="64" t="s">
        <v>26</v>
      </c>
      <c r="O479" s="102" t="str">
        <f>(N473*O473 + N474*O474 + N475*O475 + N476*O476 + N477*O477)/SUM(O473:O477)</f>
        <v>#DIV/0!</v>
      </c>
    </row>
    <row r="480">
      <c r="A480" s="37" t="s">
        <v>117</v>
      </c>
      <c r="B480" s="92" t="s">
        <v>118</v>
      </c>
      <c r="C480" s="91"/>
      <c r="D480" s="45"/>
      <c r="E480" s="91"/>
      <c r="F480" s="92" t="s">
        <v>119</v>
      </c>
      <c r="G480" s="91"/>
      <c r="H480" s="112"/>
      <c r="I480" s="91"/>
      <c r="J480" s="92" t="s">
        <v>71</v>
      </c>
      <c r="K480" s="91"/>
      <c r="L480" s="113" t="s">
        <v>105</v>
      </c>
      <c r="M480" s="91" t="s">
        <v>49</v>
      </c>
      <c r="N480" s="106"/>
      <c r="O480" s="107"/>
    </row>
    <row r="481">
      <c r="A481" s="37" t="s">
        <v>120</v>
      </c>
      <c r="B481" s="108">
        <v>60.0</v>
      </c>
      <c r="C481" s="109">
        <v>8.0</v>
      </c>
      <c r="D481" s="110">
        <v>40.0</v>
      </c>
      <c r="E481" s="93"/>
      <c r="F481" s="108">
        <v>40.0</v>
      </c>
      <c r="G481" s="109">
        <v>8.0</v>
      </c>
      <c r="H481" s="108">
        <v>30.0</v>
      </c>
      <c r="I481" s="93"/>
      <c r="J481" s="108">
        <v>65.0</v>
      </c>
      <c r="K481" s="109">
        <v>8.0</v>
      </c>
      <c r="L481" s="21">
        <v>40.0</v>
      </c>
      <c r="M481" s="93"/>
      <c r="N481" s="37"/>
      <c r="O481" s="93"/>
    </row>
    <row r="482">
      <c r="A482" s="37"/>
      <c r="B482" s="108">
        <v>65.0</v>
      </c>
      <c r="C482" s="109">
        <v>8.0</v>
      </c>
      <c r="D482" s="46">
        <v>80.0</v>
      </c>
      <c r="E482" s="93"/>
      <c r="F482" s="108">
        <v>42.5</v>
      </c>
      <c r="G482" s="109">
        <v>8.0</v>
      </c>
      <c r="H482" s="108">
        <v>60.0</v>
      </c>
      <c r="I482" s="93"/>
      <c r="J482" s="108">
        <v>70.0</v>
      </c>
      <c r="K482" s="109">
        <v>8.0</v>
      </c>
      <c r="L482" s="25">
        <v>60.0</v>
      </c>
      <c r="M482" s="93"/>
      <c r="N482" s="37"/>
      <c r="O482" s="93"/>
    </row>
    <row r="483">
      <c r="A483" s="37" t="s">
        <v>121</v>
      </c>
      <c r="B483" s="108">
        <v>67.5</v>
      </c>
      <c r="C483" s="109">
        <v>8.0</v>
      </c>
      <c r="D483" s="46">
        <v>60.0</v>
      </c>
      <c r="E483" s="93"/>
      <c r="F483" s="108">
        <v>45.0</v>
      </c>
      <c r="G483" s="109">
        <v>8.0</v>
      </c>
      <c r="H483" s="108">
        <v>60.0</v>
      </c>
      <c r="I483" s="93"/>
      <c r="J483" s="108">
        <v>72.5</v>
      </c>
      <c r="K483" s="109">
        <v>8.0</v>
      </c>
      <c r="L483" s="25">
        <v>30.0</v>
      </c>
      <c r="M483" s="93"/>
      <c r="N483" s="37"/>
      <c r="O483" s="93"/>
    </row>
    <row r="484">
      <c r="A484" s="37" t="s">
        <v>122</v>
      </c>
      <c r="B484" s="37"/>
      <c r="C484" s="95"/>
      <c r="D484" s="46">
        <v>30.0</v>
      </c>
      <c r="E484" s="95"/>
      <c r="F484" s="37"/>
      <c r="G484" s="95"/>
      <c r="H484" s="108">
        <v>30.0</v>
      </c>
      <c r="I484" s="95"/>
      <c r="J484" s="37"/>
      <c r="K484" s="93"/>
      <c r="L484" s="25">
        <v>30.0</v>
      </c>
      <c r="M484" s="93"/>
      <c r="N484" s="37"/>
      <c r="O484" s="93"/>
    </row>
    <row r="485">
      <c r="A485" s="37" t="s">
        <v>123</v>
      </c>
      <c r="B485" s="37"/>
      <c r="C485" s="95"/>
      <c r="D485" s="21"/>
      <c r="E485" s="95"/>
      <c r="F485" s="37"/>
      <c r="G485" s="95"/>
      <c r="H485" s="37"/>
      <c r="I485" s="95"/>
      <c r="J485" s="37"/>
      <c r="K485" s="93"/>
      <c r="L485" s="30"/>
      <c r="M485" s="93"/>
      <c r="N485" s="30"/>
      <c r="O485" s="93"/>
    </row>
    <row r="486">
      <c r="A486" s="37"/>
      <c r="B486" s="96" t="s">
        <v>25</v>
      </c>
      <c r="C486" s="99">
        <f>C481*B481 + B482*C482 + B483*C483 + B484*C484 + B485*C485</f>
        <v>1540</v>
      </c>
      <c r="D486" s="96" t="s">
        <v>25</v>
      </c>
      <c r="E486" s="99">
        <f>E481*D481 + D482*E482 + D483*E483 + D484*E484 + D485*E485</f>
        <v>0</v>
      </c>
      <c r="F486" s="96" t="s">
        <v>25</v>
      </c>
      <c r="G486" s="99">
        <f>G481*F481 + F482*G482 + F483*G483 + F484*G484 + F485*G485</f>
        <v>1020</v>
      </c>
      <c r="H486" s="96" t="s">
        <v>25</v>
      </c>
      <c r="I486" s="100">
        <f>I481*H481 + H482*I482 + H483*I483 + H484*I484 + H485*I485</f>
        <v>0</v>
      </c>
      <c r="J486" s="96" t="s">
        <v>25</v>
      </c>
      <c r="K486" s="97">
        <f>K481*J481 + J482*K482 + J483*K483 + J484*K484 + J485*K485</f>
        <v>1660</v>
      </c>
      <c r="L486" s="98" t="s">
        <v>25</v>
      </c>
      <c r="M486" s="111">
        <f>M481*L481 + L482*M482 + L483*M483 + L484*M484 + L485*M485</f>
        <v>0</v>
      </c>
      <c r="N486" s="98" t="s">
        <v>25</v>
      </c>
      <c r="O486" s="111">
        <f>O481*N481 + N482*O482 + N483*O483 + N484*O484 + N485*O485</f>
        <v>0</v>
      </c>
    </row>
    <row r="487">
      <c r="A487" s="37"/>
      <c r="B487" s="64" t="s">
        <v>26</v>
      </c>
      <c r="C487" s="102">
        <f>(B481*C481 + B482*C482 + B483*C483 + B484*C484 + B485*C485)/SUM(C481:C485)</f>
        <v>64.16666667</v>
      </c>
      <c r="D487" s="66" t="s">
        <v>26</v>
      </c>
      <c r="E487" s="102" t="str">
        <f>(D481*E481 + D482*E482 + D483*E483 + D484*E484 + D485*E485)/SUM(E481:E485)</f>
        <v>#DIV/0!</v>
      </c>
      <c r="F487" s="64" t="s">
        <v>26</v>
      </c>
      <c r="G487" s="102">
        <f>(F481*G481 + F482*G482 + F483*G483 + F484*G484 + F485*G485)/SUM(G481:G485)</f>
        <v>42.5</v>
      </c>
      <c r="H487" s="66" t="s">
        <v>26</v>
      </c>
      <c r="I487" s="102" t="str">
        <f>(H481*I481 + H482*I482 + H483*I483 + H484*I484 + H485*I485)/SUM(I481:I485)</f>
        <v>#DIV/0!</v>
      </c>
      <c r="J487" s="64" t="s">
        <v>26</v>
      </c>
      <c r="K487" s="102">
        <f>(J481*K481 + J482*K482 + J483*K483 + J484*K484 + J485*K485)/SUM(K481:K485)</f>
        <v>69.16666667</v>
      </c>
      <c r="L487" s="66" t="s">
        <v>26</v>
      </c>
      <c r="M487" s="102" t="str">
        <f>(L481*M481 + L482*M482 + L483*M483 + L484*M484 + L485*M485)/SUM(M481:M485)</f>
        <v>#DIV/0!</v>
      </c>
      <c r="N487" s="66" t="s">
        <v>26</v>
      </c>
      <c r="O487" s="102" t="str">
        <f>(N481*O481 + N482*O482 + N483*O483 + N484*O484 + N485*O485)/SUM(O485)</f>
        <v>#DIV/0!</v>
      </c>
    </row>
    <row r="488">
      <c r="A488" s="37" t="s">
        <v>124</v>
      </c>
      <c r="B488" s="28" t="s">
        <v>91</v>
      </c>
      <c r="C488" s="30" t="s">
        <v>49</v>
      </c>
      <c r="D488" s="37" t="s">
        <v>50</v>
      </c>
      <c r="E488" s="30" t="s">
        <v>49</v>
      </c>
      <c r="F488" s="37" t="s">
        <v>51</v>
      </c>
      <c r="G488" s="30" t="s">
        <v>49</v>
      </c>
      <c r="H488" s="28" t="s">
        <v>141</v>
      </c>
      <c r="I488" s="30" t="s">
        <v>49</v>
      </c>
      <c r="J488" s="28" t="s">
        <v>91</v>
      </c>
      <c r="K488" s="30" t="s">
        <v>49</v>
      </c>
      <c r="L488" s="37"/>
      <c r="M488" s="60" t="s">
        <v>49</v>
      </c>
      <c r="N488" s="37"/>
      <c r="O488" s="60" t="s">
        <v>49</v>
      </c>
    </row>
    <row r="489">
      <c r="A489" s="37" t="s">
        <v>125</v>
      </c>
      <c r="B489" s="27">
        <v>40.0</v>
      </c>
      <c r="C489" s="60"/>
      <c r="D489" s="30"/>
      <c r="E489" s="60"/>
      <c r="F489" s="37" t="s">
        <v>52</v>
      </c>
      <c r="G489" s="60"/>
      <c r="H489" s="30"/>
      <c r="I489" s="60"/>
      <c r="J489" s="27">
        <v>30.0</v>
      </c>
      <c r="K489" s="60"/>
      <c r="L489" s="37"/>
      <c r="M489" s="60"/>
      <c r="N489" s="37"/>
      <c r="O489" s="60"/>
    </row>
    <row r="490">
      <c r="A490" s="37"/>
      <c r="B490" s="27">
        <v>30.0</v>
      </c>
      <c r="C490" s="60"/>
      <c r="D490" s="30"/>
      <c r="E490" s="60"/>
      <c r="F490" s="37" t="s">
        <v>53</v>
      </c>
      <c r="G490" s="60"/>
      <c r="H490" s="30"/>
      <c r="I490" s="60"/>
      <c r="J490" s="27">
        <v>30.0</v>
      </c>
      <c r="K490" s="60"/>
      <c r="L490" s="37"/>
      <c r="M490" s="60"/>
      <c r="N490" s="37"/>
      <c r="O490" s="60"/>
    </row>
    <row r="491">
      <c r="A491" s="37"/>
      <c r="B491" s="28">
        <v>50.0</v>
      </c>
      <c r="C491" s="60"/>
      <c r="D491" s="30"/>
      <c r="E491" s="60"/>
      <c r="F491" s="37" t="s">
        <v>54</v>
      </c>
      <c r="G491" s="60"/>
      <c r="H491" s="30"/>
      <c r="I491" s="60"/>
      <c r="J491" s="28">
        <v>40.0</v>
      </c>
      <c r="K491" s="60"/>
      <c r="L491" s="30"/>
      <c r="M491" s="60"/>
      <c r="N491" s="30"/>
      <c r="O491" s="60"/>
    </row>
    <row r="492">
      <c r="A492" s="37"/>
      <c r="B492" s="28">
        <v>30.0</v>
      </c>
      <c r="C492" s="30"/>
      <c r="D492" s="37"/>
      <c r="E492" s="30"/>
      <c r="F492" s="37"/>
      <c r="G492" s="60"/>
      <c r="H492" s="30"/>
      <c r="I492" s="30"/>
      <c r="J492" s="28">
        <v>50.0</v>
      </c>
      <c r="K492" s="60"/>
      <c r="L492" s="30"/>
      <c r="M492" s="60"/>
      <c r="N492" s="30"/>
      <c r="O492" s="60"/>
    </row>
    <row r="493">
      <c r="A493" s="37"/>
      <c r="B493" s="37"/>
      <c r="C493" s="30"/>
      <c r="D493" s="37"/>
      <c r="E493" s="30"/>
      <c r="F493" s="37"/>
      <c r="G493" s="60"/>
      <c r="H493" s="37"/>
      <c r="I493" s="30"/>
      <c r="J493" s="37"/>
      <c r="K493" s="60"/>
      <c r="L493" s="30"/>
      <c r="M493" s="60"/>
      <c r="N493" s="30"/>
      <c r="O493" s="60"/>
    </row>
    <row r="494">
      <c r="A494" s="37"/>
      <c r="B494" s="37"/>
      <c r="C494" s="30"/>
      <c r="D494" s="37"/>
      <c r="E494" s="30"/>
      <c r="F494" s="37"/>
      <c r="G494" s="60"/>
      <c r="H494" s="30"/>
      <c r="I494" s="30"/>
      <c r="J494" s="37"/>
      <c r="K494" s="60"/>
      <c r="L494" s="30"/>
      <c r="M494" s="60"/>
      <c r="N494" s="30"/>
      <c r="O494" s="60"/>
    </row>
    <row r="495">
      <c r="A495" s="64"/>
      <c r="B495" s="64"/>
      <c r="C495" s="66"/>
      <c r="D495" s="64"/>
      <c r="E495" s="66"/>
      <c r="F495" s="64"/>
      <c r="G495" s="67"/>
      <c r="H495" s="66"/>
      <c r="I495" s="66"/>
      <c r="J495" s="64"/>
      <c r="K495" s="67"/>
      <c r="L495" s="66"/>
      <c r="M495" s="67"/>
      <c r="N495" s="66"/>
      <c r="O495" s="67"/>
    </row>
    <row r="497">
      <c r="A497" s="80" t="s">
        <v>2</v>
      </c>
      <c r="B497" s="81" t="s">
        <v>3</v>
      </c>
      <c r="C497" s="82">
        <f>O459+1</f>
        <v>45810</v>
      </c>
      <c r="D497" s="83" t="s">
        <v>4</v>
      </c>
      <c r="E497" s="84">
        <f>C497+1</f>
        <v>45811</v>
      </c>
      <c r="F497" s="81" t="s">
        <v>5</v>
      </c>
      <c r="G497" s="84">
        <f>E497+1</f>
        <v>45812</v>
      </c>
      <c r="H497" s="81" t="s">
        <v>6</v>
      </c>
      <c r="I497" s="84">
        <f>G497+1</f>
        <v>45813</v>
      </c>
      <c r="J497" s="81" t="s">
        <v>7</v>
      </c>
      <c r="K497" s="84">
        <f>I497+1</f>
        <v>45814</v>
      </c>
      <c r="L497" s="85" t="s">
        <v>8</v>
      </c>
      <c r="M497" s="86">
        <f>K497+1</f>
        <v>45815</v>
      </c>
      <c r="N497" s="85" t="s">
        <v>9</v>
      </c>
      <c r="O497" s="86">
        <f>M497+1</f>
        <v>45816</v>
      </c>
    </row>
    <row r="498">
      <c r="A498" s="87">
        <f>A460+1</f>
        <v>14</v>
      </c>
      <c r="B498" s="88" t="s">
        <v>10</v>
      </c>
      <c r="C498" s="89" t="s">
        <v>11</v>
      </c>
      <c r="D498" s="88" t="s">
        <v>10</v>
      </c>
      <c r="E498" s="89" t="s">
        <v>11</v>
      </c>
      <c r="F498" s="88" t="s">
        <v>10</v>
      </c>
      <c r="G498" s="89" t="s">
        <v>11</v>
      </c>
      <c r="H498" s="88" t="s">
        <v>10</v>
      </c>
      <c r="I498" s="89" t="s">
        <v>11</v>
      </c>
      <c r="J498" s="88" t="s">
        <v>10</v>
      </c>
      <c r="K498" s="89" t="s">
        <v>11</v>
      </c>
      <c r="L498" s="88" t="s">
        <v>10</v>
      </c>
      <c r="M498" s="89" t="s">
        <v>11</v>
      </c>
      <c r="N498" s="88" t="s">
        <v>10</v>
      </c>
      <c r="O498" s="89" t="s">
        <v>11</v>
      </c>
    </row>
    <row r="499">
      <c r="A499" s="37"/>
      <c r="B499" s="90"/>
      <c r="C499" s="15"/>
      <c r="D499" s="90"/>
      <c r="E499" s="15"/>
      <c r="F499" s="90"/>
      <c r="G499" s="15"/>
      <c r="H499" s="90"/>
      <c r="I499" s="15"/>
      <c r="J499" s="90"/>
      <c r="K499" s="15"/>
      <c r="L499" s="90"/>
      <c r="M499" s="15"/>
      <c r="N499" s="90"/>
      <c r="O499" s="15"/>
    </row>
    <row r="500">
      <c r="A500" s="37" t="s">
        <v>12</v>
      </c>
      <c r="B500" s="70" t="s">
        <v>142</v>
      </c>
      <c r="C500" s="76"/>
      <c r="D500" s="18" t="s">
        <v>14</v>
      </c>
      <c r="E500" s="17"/>
      <c r="F500" s="20" t="s">
        <v>143</v>
      </c>
      <c r="G500" s="17"/>
      <c r="H500" s="42" t="s">
        <v>15</v>
      </c>
      <c r="I500" s="91"/>
      <c r="J500" s="20" t="s">
        <v>142</v>
      </c>
      <c r="K500" s="17"/>
      <c r="L500" s="72" t="s">
        <v>14</v>
      </c>
      <c r="M500" s="91"/>
      <c r="N500" s="92" t="s">
        <v>17</v>
      </c>
      <c r="O500" s="91"/>
    </row>
    <row r="501">
      <c r="A501" s="37"/>
      <c r="B501" s="46">
        <v>100.0</v>
      </c>
      <c r="C501" s="48">
        <v>6.0</v>
      </c>
      <c r="D501" s="1" t="s">
        <v>129</v>
      </c>
      <c r="E501" s="24" t="s">
        <v>77</v>
      </c>
      <c r="F501" s="46">
        <v>80.0</v>
      </c>
      <c r="G501" s="48">
        <v>6.0</v>
      </c>
      <c r="H501" s="27" t="s">
        <v>130</v>
      </c>
      <c r="I501" s="93"/>
      <c r="J501" s="46">
        <v>110.0</v>
      </c>
      <c r="K501" s="48">
        <v>6.0</v>
      </c>
      <c r="L501" s="52" t="s">
        <v>79</v>
      </c>
      <c r="M501" s="93"/>
      <c r="N501" s="37"/>
      <c r="O501" s="93"/>
    </row>
    <row r="502">
      <c r="A502" s="37" t="s">
        <v>20</v>
      </c>
      <c r="B502" s="46">
        <v>110.0</v>
      </c>
      <c r="C502" s="48">
        <v>6.0</v>
      </c>
      <c r="D502" s="23" t="s">
        <v>80</v>
      </c>
      <c r="E502" s="26" t="s">
        <v>81</v>
      </c>
      <c r="F502" s="46">
        <v>85.0</v>
      </c>
      <c r="G502" s="48">
        <v>6.0</v>
      </c>
      <c r="H502" s="28" t="s">
        <v>131</v>
      </c>
      <c r="I502" s="93"/>
      <c r="J502" s="46">
        <v>120.0</v>
      </c>
      <c r="K502" s="48">
        <v>6.0</v>
      </c>
      <c r="L502" s="32" t="s">
        <v>82</v>
      </c>
      <c r="M502" s="93"/>
      <c r="N502" s="37"/>
      <c r="O502" s="93"/>
    </row>
    <row r="503">
      <c r="A503" s="94" t="s">
        <v>22</v>
      </c>
      <c r="B503" s="46">
        <v>115.0</v>
      </c>
      <c r="C503" s="48">
        <v>6.0</v>
      </c>
      <c r="D503" s="1" t="s">
        <v>132</v>
      </c>
      <c r="E503" s="26" t="s">
        <v>84</v>
      </c>
      <c r="F503" s="46">
        <v>90.0</v>
      </c>
      <c r="G503" s="48">
        <v>6.0</v>
      </c>
      <c r="H503" s="30"/>
      <c r="I503" s="93"/>
      <c r="J503" s="46">
        <v>125.0</v>
      </c>
      <c r="K503" s="48">
        <v>6.0</v>
      </c>
      <c r="L503" s="30"/>
      <c r="M503" s="93"/>
      <c r="N503" s="30"/>
      <c r="O503" s="93"/>
    </row>
    <row r="504">
      <c r="A504" s="37" t="s">
        <v>23</v>
      </c>
      <c r="B504" s="46">
        <v>120.0</v>
      </c>
      <c r="C504" s="48">
        <v>6.0</v>
      </c>
      <c r="D504" s="23" t="s">
        <v>85</v>
      </c>
      <c r="E504" s="26"/>
      <c r="F504" s="47"/>
      <c r="G504" s="48"/>
      <c r="H504" s="30"/>
      <c r="I504" s="93"/>
      <c r="J504" s="37"/>
      <c r="K504" s="93"/>
      <c r="L504" s="30"/>
      <c r="M504" s="93"/>
      <c r="N504" s="37"/>
      <c r="O504" s="93"/>
    </row>
    <row r="505">
      <c r="A505" s="37"/>
      <c r="B505" s="37"/>
      <c r="C505" s="93"/>
      <c r="D505" s="73" t="s">
        <v>86</v>
      </c>
      <c r="E505" s="26"/>
      <c r="F505" s="37"/>
      <c r="G505" s="95"/>
      <c r="H505" s="37"/>
      <c r="I505" s="95"/>
      <c r="J505" s="37"/>
      <c r="K505" s="93"/>
      <c r="L505" s="37"/>
      <c r="M505" s="93"/>
      <c r="N505" s="37"/>
      <c r="O505" s="93"/>
    </row>
    <row r="506">
      <c r="A506" s="37" t="s">
        <v>113</v>
      </c>
      <c r="B506" s="96" t="s">
        <v>25</v>
      </c>
      <c r="C506" s="97">
        <f>C501*B501 + B502*C502 + B503*C503 + B504*C504 + B505*C505</f>
        <v>2670</v>
      </c>
      <c r="D506" s="98" t="s">
        <v>25</v>
      </c>
      <c r="E506" s="99" t="str">
        <f>E501*D501 + D502*#REF! + E502*E503 + D504*E504 + D505*E505</f>
        <v>#VALUE!</v>
      </c>
      <c r="F506" s="96" t="s">
        <v>25</v>
      </c>
      <c r="G506" s="97">
        <f>G501*F501 + F502*G502 + F503*G503 + F504*G504 + F505*G505</f>
        <v>1530</v>
      </c>
      <c r="H506" s="96" t="s">
        <v>25</v>
      </c>
      <c r="I506" s="100" t="str">
        <f>I501*H501 + H502*I502 + H503*I503 + H504*I504 + H505*I505</f>
        <v>#VALUE!</v>
      </c>
      <c r="J506" s="96" t="s">
        <v>25</v>
      </c>
      <c r="K506" s="97">
        <f>K501*J501 + J502*K502 + J503*K503 + J504*K504 + J505*K505</f>
        <v>2130</v>
      </c>
      <c r="L506" s="96" t="s">
        <v>25</v>
      </c>
      <c r="M506" s="97" t="str">
        <f>M501*L501 + L502*M502 + L503*M503 + L504*M504 + L505*M505</f>
        <v>#VALUE!</v>
      </c>
      <c r="N506" s="96" t="s">
        <v>25</v>
      </c>
      <c r="O506" s="97">
        <f>O501*N501 + N502*O502 + N503*O503 + N504*O504 + N505*O505</f>
        <v>0</v>
      </c>
    </row>
    <row r="507">
      <c r="A507" s="37"/>
      <c r="B507" s="37" t="s">
        <v>26</v>
      </c>
      <c r="C507" s="38">
        <f>(B501*C501 + B502*C502 + B503*C503 + B504*C504 + B505*C505)/SUM(C501:C505)</f>
        <v>111.25</v>
      </c>
      <c r="D507" s="30" t="s">
        <v>26</v>
      </c>
      <c r="E507" s="101" t="str">
        <f>(D501*E501 + D502*#REF! + E502*E503 + D504*E504 + D505*E505)/SUM(E501:E505)</f>
        <v>#VALUE!</v>
      </c>
      <c r="F507" s="37" t="s">
        <v>26</v>
      </c>
      <c r="G507" s="102">
        <f>(F501*G501 + F502*G502 + F503*G503 + F504*G504 + F505*G505)/SUM(G501:G505)</f>
        <v>85</v>
      </c>
      <c r="H507" s="37" t="s">
        <v>26</v>
      </c>
      <c r="I507" s="101" t="str">
        <f>(H501*I501 + H502*I502 + H503*I503 + H504*I504 + H505*I505)/SUM(I501:I505)</f>
        <v>#VALUE!</v>
      </c>
      <c r="J507" s="64" t="s">
        <v>26</v>
      </c>
      <c r="K507" s="38">
        <f>(J501*K501 + J502*K502 + J503*K503 + J504*K504 + J505*K505)/SUM(K501:K505)</f>
        <v>118.3333333</v>
      </c>
      <c r="L507" s="37" t="s">
        <v>26</v>
      </c>
      <c r="M507" s="103" t="str">
        <f>(L501*M501 + L502*M502 + L503*M503 + L504*M504 + L505*M505)/SUM(M501:M505)</f>
        <v>#VALUE!</v>
      </c>
      <c r="N507" s="37" t="s">
        <v>26</v>
      </c>
      <c r="O507" s="102" t="str">
        <f>(N501*O501 + N502*O502 + N503*O503 + N504*O504 + N505*O505)/SUM(O501:O505)</f>
        <v>#DIV/0!</v>
      </c>
    </row>
    <row r="508">
      <c r="A508" s="37" t="s">
        <v>27</v>
      </c>
      <c r="B508" s="88" t="s">
        <v>10</v>
      </c>
      <c r="C508" s="89" t="s">
        <v>11</v>
      </c>
      <c r="D508" s="88" t="s">
        <v>10</v>
      </c>
      <c r="E508" s="89" t="s">
        <v>11</v>
      </c>
      <c r="F508" s="88" t="s">
        <v>10</v>
      </c>
      <c r="G508" s="89" t="s">
        <v>11</v>
      </c>
      <c r="H508" s="88" t="s">
        <v>10</v>
      </c>
      <c r="I508" s="89" t="s">
        <v>11</v>
      </c>
      <c r="J508" s="88" t="s">
        <v>10</v>
      </c>
      <c r="K508" s="89" t="s">
        <v>11</v>
      </c>
      <c r="L508" s="88" t="s">
        <v>10</v>
      </c>
      <c r="M508" s="89" t="s">
        <v>11</v>
      </c>
      <c r="N508" s="88" t="s">
        <v>10</v>
      </c>
      <c r="O508" s="89" t="s">
        <v>11</v>
      </c>
    </row>
    <row r="509">
      <c r="A509" s="104" t="s">
        <v>28</v>
      </c>
      <c r="B509" s="20" t="s">
        <v>74</v>
      </c>
      <c r="C509" s="17"/>
      <c r="D509" s="45" t="s">
        <v>91</v>
      </c>
      <c r="E509" s="91" t="s">
        <v>49</v>
      </c>
      <c r="F509" s="20" t="s">
        <v>133</v>
      </c>
      <c r="G509" s="17"/>
      <c r="H509" s="70" t="s">
        <v>91</v>
      </c>
      <c r="I509" s="91" t="s">
        <v>90</v>
      </c>
      <c r="J509" s="70" t="s">
        <v>135</v>
      </c>
      <c r="K509" s="17"/>
      <c r="L509" s="42" t="s">
        <v>91</v>
      </c>
      <c r="M509" s="91" t="s">
        <v>90</v>
      </c>
      <c r="N509" s="92"/>
      <c r="O509" s="91"/>
    </row>
    <row r="510">
      <c r="A510" s="37"/>
      <c r="B510" s="46">
        <v>100.0</v>
      </c>
      <c r="C510" s="48">
        <v>6.0</v>
      </c>
      <c r="D510" s="1">
        <v>30.0</v>
      </c>
      <c r="E510" s="93"/>
      <c r="F510" s="46">
        <v>120.0</v>
      </c>
      <c r="G510" s="48">
        <v>6.0</v>
      </c>
      <c r="H510" s="46">
        <v>30.0</v>
      </c>
      <c r="I510" s="93"/>
      <c r="J510" s="28">
        <v>75.0</v>
      </c>
      <c r="K510" s="54">
        <v>8.0</v>
      </c>
      <c r="L510" s="21">
        <v>30.0</v>
      </c>
      <c r="M510" s="93"/>
      <c r="N510" s="37"/>
      <c r="O510" s="93"/>
    </row>
    <row r="511">
      <c r="A511" s="37" t="s">
        <v>37</v>
      </c>
      <c r="B511" s="46">
        <v>110.0</v>
      </c>
      <c r="C511" s="48">
        <v>6.0</v>
      </c>
      <c r="D511" s="1">
        <v>60.0</v>
      </c>
      <c r="E511" s="93"/>
      <c r="F511" s="46">
        <v>130.0</v>
      </c>
      <c r="G511" s="48">
        <v>6.0</v>
      </c>
      <c r="H511" s="108">
        <v>60.0</v>
      </c>
      <c r="I511" s="93"/>
      <c r="J511" s="27">
        <v>80.0</v>
      </c>
      <c r="K511" s="54">
        <v>8.0</v>
      </c>
      <c r="L511" s="21">
        <v>40.0</v>
      </c>
      <c r="M511" s="93"/>
      <c r="N511" s="37"/>
      <c r="O511" s="93"/>
    </row>
    <row r="512">
      <c r="A512" s="37" t="s">
        <v>39</v>
      </c>
      <c r="B512" s="46">
        <v>120.0</v>
      </c>
      <c r="C512" s="48">
        <v>6.0</v>
      </c>
      <c r="D512" s="1">
        <v>80.0</v>
      </c>
      <c r="E512" s="93"/>
      <c r="F512" s="46">
        <v>140.0</v>
      </c>
      <c r="G512" s="48">
        <v>6.0</v>
      </c>
      <c r="H512" s="46">
        <v>60.0</v>
      </c>
      <c r="I512" s="93"/>
      <c r="J512" s="27">
        <v>85.0</v>
      </c>
      <c r="K512" s="54">
        <v>8.0</v>
      </c>
      <c r="L512" s="21">
        <v>60.0</v>
      </c>
      <c r="M512" s="93"/>
      <c r="N512" s="37"/>
      <c r="O512" s="93"/>
    </row>
    <row r="513">
      <c r="A513" s="37"/>
      <c r="B513" s="46">
        <v>125.0</v>
      </c>
      <c r="C513" s="48">
        <v>6.0</v>
      </c>
      <c r="D513" s="1">
        <v>40.0</v>
      </c>
      <c r="E513" s="93"/>
      <c r="F513" s="46">
        <v>150.0</v>
      </c>
      <c r="G513" s="48">
        <v>6.0</v>
      </c>
      <c r="H513" s="46">
        <v>30.0</v>
      </c>
      <c r="I513" s="93"/>
      <c r="J513" s="37"/>
      <c r="K513" s="93"/>
      <c r="L513" s="21">
        <v>30.0</v>
      </c>
      <c r="M513" s="93"/>
      <c r="N513" s="37"/>
      <c r="O513" s="93"/>
    </row>
    <row r="514">
      <c r="A514" s="37" t="s">
        <v>41</v>
      </c>
      <c r="B514" s="37"/>
      <c r="C514" s="93"/>
      <c r="D514" s="1">
        <v>30.0</v>
      </c>
      <c r="E514" s="54" t="s">
        <v>103</v>
      </c>
      <c r="F514" s="30"/>
      <c r="G514" s="93"/>
      <c r="H514" s="46">
        <v>60.0</v>
      </c>
      <c r="I514" s="93"/>
      <c r="J514" s="30"/>
      <c r="K514" s="93"/>
      <c r="L514" s="32"/>
      <c r="M514" s="93"/>
      <c r="N514" s="37"/>
      <c r="O514" s="93"/>
    </row>
    <row r="515">
      <c r="A515" s="37" t="s">
        <v>43</v>
      </c>
      <c r="B515" s="37"/>
      <c r="C515" s="95"/>
      <c r="D515" s="28" t="s">
        <v>101</v>
      </c>
      <c r="E515" s="95"/>
      <c r="F515" s="37"/>
      <c r="G515" s="95"/>
      <c r="H515" s="37" t="s">
        <v>140</v>
      </c>
      <c r="I515" s="93"/>
      <c r="J515" s="37"/>
      <c r="K515" s="93"/>
      <c r="L515" s="37" t="s">
        <v>140</v>
      </c>
      <c r="M515" s="93" t="s">
        <v>42</v>
      </c>
      <c r="N515" s="37"/>
      <c r="O515" s="93"/>
    </row>
    <row r="516">
      <c r="A516" s="37"/>
      <c r="B516" s="96" t="s">
        <v>25</v>
      </c>
      <c r="C516" s="97">
        <f>C510*B510 + B511*C511 + B512*C512 + B513*C513 + B515*C515</f>
        <v>2730</v>
      </c>
      <c r="D516" s="96" t="s">
        <v>25</v>
      </c>
      <c r="E516" s="99" t="str">
        <f>E510*D510 + D511*E511 + D512*E512 + D513*E513 + D515*E515</f>
        <v>#VALUE!</v>
      </c>
      <c r="F516" s="96" t="s">
        <v>25</v>
      </c>
      <c r="G516" s="97">
        <f>G510*F510 + F511*G511 + F512*G512 + F513*G513 + F515*G515</f>
        <v>3240</v>
      </c>
      <c r="H516" s="96" t="s">
        <v>25</v>
      </c>
      <c r="I516" s="100" t="str">
        <f>I510*H510 + H511*I511 + H512*I512 + H513*I513 + H515*I515</f>
        <v>#VALUE!</v>
      </c>
      <c r="J516" s="96" t="s">
        <v>25</v>
      </c>
      <c r="K516" s="97">
        <f>K510*J510 + J511*K511 + J512*K512 + J513*K513 + J515*K515</f>
        <v>1920</v>
      </c>
      <c r="L516" s="96" t="s">
        <v>25</v>
      </c>
      <c r="M516" s="97" t="str">
        <f>M510*L510 + L511*M511 + L512*M512 + L513*M513 + L515*M515</f>
        <v>#VALUE!</v>
      </c>
      <c r="N516" s="96" t="s">
        <v>25</v>
      </c>
      <c r="O516" s="97">
        <f>O510*N510 + N511*O511 + N512*O512 + N513*O513 + N515*O515</f>
        <v>0</v>
      </c>
    </row>
    <row r="517">
      <c r="A517" s="37" t="s">
        <v>116</v>
      </c>
      <c r="B517" s="64" t="s">
        <v>26</v>
      </c>
      <c r="C517" s="38">
        <f>(B511*C511 + B512*C512 + B513*C513 + B514*C514 + B515*C515)/SUM(C511:C515)</f>
        <v>118.3333333</v>
      </c>
      <c r="D517" s="64" t="s">
        <v>26</v>
      </c>
      <c r="E517" s="105" t="str">
        <f>(D510*E510 + D511*E511 + D512*E512 + D513*E513 + D515*E515)/SUM(E510:E515)</f>
        <v>#VALUE!</v>
      </c>
      <c r="F517" s="64" t="s">
        <v>26</v>
      </c>
      <c r="G517" s="38">
        <f>(F511*G511 + F512*G512 + F513*G513 + F514*G514 + F515*G515)/SUM(G511:G515)</f>
        <v>140</v>
      </c>
      <c r="H517" s="64" t="s">
        <v>26</v>
      </c>
      <c r="I517" s="105" t="str">
        <f>(H510*I510 + H511*I511 + H512*I512 + H513*I513 + H515*I515)/SUM(I510:I515)</f>
        <v>#VALUE!</v>
      </c>
      <c r="J517" s="64" t="s">
        <v>26</v>
      </c>
      <c r="K517" s="102">
        <f>(J511*K511 + J512*K512 + J513*K513 + J514*K514 + J515*K515)/SUM(K511:K515)</f>
        <v>82.5</v>
      </c>
      <c r="L517" s="64" t="s">
        <v>26</v>
      </c>
      <c r="M517" s="102" t="str">
        <f>(L510*M510 + L511*M511 + L512*M512 + L513*M513 + L515*M515)/SUM(M510:M515)</f>
        <v>#VALUE!</v>
      </c>
      <c r="N517" s="64" t="s">
        <v>26</v>
      </c>
      <c r="O517" s="102" t="str">
        <f>(N511*O511 + N512*O512 + N513*O513 + N514*O514 + N515*O515)/SUM(O511:O515)</f>
        <v>#DIV/0!</v>
      </c>
    </row>
    <row r="518">
      <c r="A518" s="37" t="s">
        <v>117</v>
      </c>
      <c r="B518" s="92" t="s">
        <v>118</v>
      </c>
      <c r="C518" s="91"/>
      <c r="D518" s="45"/>
      <c r="E518" s="91"/>
      <c r="F518" s="92" t="s">
        <v>119</v>
      </c>
      <c r="G518" s="91"/>
      <c r="H518" s="112"/>
      <c r="I518" s="91"/>
      <c r="J518" s="92" t="s">
        <v>71</v>
      </c>
      <c r="K518" s="91"/>
      <c r="L518" s="113" t="s">
        <v>105</v>
      </c>
      <c r="M518" s="91" t="s">
        <v>49</v>
      </c>
      <c r="N518" s="106"/>
      <c r="O518" s="107"/>
    </row>
    <row r="519">
      <c r="A519" s="37" t="s">
        <v>120</v>
      </c>
      <c r="B519" s="46">
        <v>70.0</v>
      </c>
      <c r="C519" s="109">
        <v>8.0</v>
      </c>
      <c r="D519" s="110">
        <v>80.0</v>
      </c>
      <c r="E519" s="93"/>
      <c r="F519" s="108">
        <v>40.0</v>
      </c>
      <c r="G519" s="109">
        <v>8.0</v>
      </c>
      <c r="H519" s="46">
        <v>60.0</v>
      </c>
      <c r="I519" s="93"/>
      <c r="J519" s="46">
        <v>72.5</v>
      </c>
      <c r="K519" s="109">
        <v>8.0</v>
      </c>
      <c r="L519" s="21">
        <v>40.0</v>
      </c>
      <c r="M519" s="93"/>
      <c r="N519" s="37"/>
      <c r="O519" s="93"/>
    </row>
    <row r="520">
      <c r="A520" s="37"/>
      <c r="B520" s="46">
        <v>72.5</v>
      </c>
      <c r="C520" s="109">
        <v>8.0</v>
      </c>
      <c r="D520" s="46">
        <v>30.0</v>
      </c>
      <c r="E520" s="93"/>
      <c r="F520" s="46">
        <v>45.0</v>
      </c>
      <c r="G520" s="109">
        <v>8.0</v>
      </c>
      <c r="H520" s="46">
        <v>30.0</v>
      </c>
      <c r="I520" s="93"/>
      <c r="J520" s="46">
        <v>75.0</v>
      </c>
      <c r="K520" s="109">
        <v>8.0</v>
      </c>
      <c r="L520" s="25">
        <v>60.0</v>
      </c>
      <c r="M520" s="93"/>
      <c r="N520" s="37"/>
      <c r="O520" s="93"/>
    </row>
    <row r="521">
      <c r="A521" s="37" t="s">
        <v>121</v>
      </c>
      <c r="B521" s="46">
        <v>75.0</v>
      </c>
      <c r="C521" s="109">
        <v>8.0</v>
      </c>
      <c r="D521" s="46">
        <v>60.0</v>
      </c>
      <c r="E521" s="93"/>
      <c r="F521" s="46">
        <v>50.0</v>
      </c>
      <c r="G521" s="109">
        <v>8.0</v>
      </c>
      <c r="H521" s="108">
        <v>60.0</v>
      </c>
      <c r="I521" s="93"/>
      <c r="J521" s="46">
        <v>77.5</v>
      </c>
      <c r="K521" s="109">
        <v>8.0</v>
      </c>
      <c r="L521" s="25">
        <v>30.0</v>
      </c>
      <c r="M521" s="93"/>
      <c r="N521" s="37"/>
      <c r="O521" s="93"/>
    </row>
    <row r="522">
      <c r="A522" s="37" t="s">
        <v>122</v>
      </c>
      <c r="B522" s="37"/>
      <c r="C522" s="95"/>
      <c r="D522" s="46">
        <v>40.0</v>
      </c>
      <c r="E522" s="95"/>
      <c r="F522" s="37"/>
      <c r="G522" s="95"/>
      <c r="H522" s="108">
        <v>30.0</v>
      </c>
      <c r="I522" s="95"/>
      <c r="J522" s="37"/>
      <c r="K522" s="93"/>
      <c r="L522" s="25">
        <v>30.0</v>
      </c>
      <c r="M522" s="93"/>
      <c r="N522" s="37"/>
      <c r="O522" s="93"/>
    </row>
    <row r="523">
      <c r="A523" s="37" t="s">
        <v>123</v>
      </c>
      <c r="B523" s="37"/>
      <c r="C523" s="95"/>
      <c r="D523" s="21"/>
      <c r="E523" s="95"/>
      <c r="F523" s="37"/>
      <c r="G523" s="95"/>
      <c r="H523" s="37"/>
      <c r="I523" s="95"/>
      <c r="J523" s="37"/>
      <c r="K523" s="93"/>
      <c r="L523" s="30"/>
      <c r="M523" s="93"/>
      <c r="N523" s="30"/>
      <c r="O523" s="93"/>
    </row>
    <row r="524">
      <c r="A524" s="37"/>
      <c r="B524" s="96" t="s">
        <v>25</v>
      </c>
      <c r="C524" s="99">
        <f>C519*B519 + B520*C520 + B521*C521 + B522*C522 + B523*C523</f>
        <v>1740</v>
      </c>
      <c r="D524" s="96" t="s">
        <v>25</v>
      </c>
      <c r="E524" s="99">
        <f>E519*D519 + D520*E520 + D521*E521 + D522*E522 + D523*E523</f>
        <v>0</v>
      </c>
      <c r="F524" s="96" t="s">
        <v>25</v>
      </c>
      <c r="G524" s="99">
        <f>G519*F519 + F520*G520 + F521*G521 + F522*G522 + F523*G523</f>
        <v>1080</v>
      </c>
      <c r="H524" s="96" t="s">
        <v>25</v>
      </c>
      <c r="I524" s="100">
        <f>I519*H519 + H520*I520 + H521*I521 + H522*I522 + H523*I523</f>
        <v>0</v>
      </c>
      <c r="J524" s="96" t="s">
        <v>25</v>
      </c>
      <c r="K524" s="97">
        <f>K519*J519 + J520*K520 + J521*K521 + J522*K522 + J523*K523</f>
        <v>1800</v>
      </c>
      <c r="L524" s="98" t="s">
        <v>25</v>
      </c>
      <c r="M524" s="111">
        <f>M519*L519 + L520*M520 + L521*M521 + L522*M522 + L523*M523</f>
        <v>0</v>
      </c>
      <c r="N524" s="98" t="s">
        <v>25</v>
      </c>
      <c r="O524" s="111">
        <f>O519*N519 + N520*O520 + N521*O521 + N522*O522 + N523*O523</f>
        <v>0</v>
      </c>
    </row>
    <row r="525">
      <c r="A525" s="37"/>
      <c r="B525" s="64" t="s">
        <v>26</v>
      </c>
      <c r="C525" s="102">
        <f>(B519*C519 + B520*C520 + B521*C521 + B522*C522 + B523*C523)/SUM(C519:C523)</f>
        <v>72.5</v>
      </c>
      <c r="D525" s="66" t="s">
        <v>26</v>
      </c>
      <c r="E525" s="102" t="str">
        <f>(D519*E519 + D520*E520 + D521*E521 + D522*E522 + D523*E523)/SUM(E519:E523)</f>
        <v>#DIV/0!</v>
      </c>
      <c r="F525" s="64" t="s">
        <v>26</v>
      </c>
      <c r="G525" s="102">
        <f>(F519*G519 + F520*G520 + F521*G521 + F522*G522 + F523*G523)/SUM(G519:G523)</f>
        <v>45</v>
      </c>
      <c r="H525" s="66" t="s">
        <v>26</v>
      </c>
      <c r="I525" s="102" t="str">
        <f>(H519*I519 + H520*I520 + H521*I521 + H522*I522 + H523*I523)/SUM(I519:I523)</f>
        <v>#DIV/0!</v>
      </c>
      <c r="J525" s="64" t="s">
        <v>26</v>
      </c>
      <c r="K525" s="102">
        <f>(J519*K519 + J520*K520 + J521*K521 + J522*K522 + J523*K523)/SUM(K519:K523)</f>
        <v>75</v>
      </c>
      <c r="L525" s="66" t="s">
        <v>26</v>
      </c>
      <c r="M525" s="102" t="str">
        <f>(L519*M519 + L520*M520 + L521*M521 + L522*M522 + L523*M523)/SUM(M519:M523)</f>
        <v>#DIV/0!</v>
      </c>
      <c r="N525" s="66" t="s">
        <v>26</v>
      </c>
      <c r="O525" s="102" t="str">
        <f>(N519*O519 + N520*O520 + N521*O521 + N522*O522 + N523*O523)/SUM(O523)</f>
        <v>#DIV/0!</v>
      </c>
    </row>
    <row r="526">
      <c r="A526" s="37" t="s">
        <v>124</v>
      </c>
      <c r="B526" s="28" t="s">
        <v>91</v>
      </c>
      <c r="C526" s="30" t="s">
        <v>49</v>
      </c>
      <c r="D526" s="37" t="s">
        <v>50</v>
      </c>
      <c r="E526" s="30" t="s">
        <v>49</v>
      </c>
      <c r="F526" s="37" t="s">
        <v>51</v>
      </c>
      <c r="G526" s="30" t="s">
        <v>49</v>
      </c>
      <c r="H526" s="28" t="s">
        <v>141</v>
      </c>
      <c r="I526" s="30" t="s">
        <v>49</v>
      </c>
      <c r="J526" s="28" t="s">
        <v>91</v>
      </c>
      <c r="K526" s="30" t="s">
        <v>49</v>
      </c>
      <c r="L526" s="37"/>
      <c r="M526" s="60" t="s">
        <v>49</v>
      </c>
      <c r="N526" s="37"/>
      <c r="O526" s="60" t="s">
        <v>49</v>
      </c>
    </row>
    <row r="527">
      <c r="A527" s="37" t="s">
        <v>125</v>
      </c>
      <c r="B527" s="27">
        <v>20.0</v>
      </c>
      <c r="C527" s="60"/>
      <c r="D527" s="30"/>
      <c r="E527" s="60"/>
      <c r="F527" s="37" t="s">
        <v>52</v>
      </c>
      <c r="G527" s="60"/>
      <c r="H527" s="30"/>
      <c r="I527" s="60"/>
      <c r="J527" s="27">
        <v>30.0</v>
      </c>
      <c r="K527" s="60"/>
      <c r="L527" s="37"/>
      <c r="M527" s="60"/>
      <c r="N527" s="37"/>
      <c r="O527" s="60"/>
    </row>
    <row r="528">
      <c r="A528" s="37"/>
      <c r="B528" s="27">
        <v>40.0</v>
      </c>
      <c r="C528" s="60"/>
      <c r="D528" s="30"/>
      <c r="E528" s="60"/>
      <c r="F528" s="37" t="s">
        <v>53</v>
      </c>
      <c r="G528" s="60"/>
      <c r="H528" s="30"/>
      <c r="I528" s="60"/>
      <c r="J528" s="27">
        <v>30.0</v>
      </c>
      <c r="K528" s="60"/>
      <c r="L528" s="37"/>
      <c r="M528" s="60"/>
      <c r="N528" s="37"/>
      <c r="O528" s="60"/>
    </row>
    <row r="529">
      <c r="A529" s="37"/>
      <c r="B529" s="28">
        <v>50.0</v>
      </c>
      <c r="C529" s="60"/>
      <c r="D529" s="30"/>
      <c r="E529" s="60"/>
      <c r="F529" s="37" t="s">
        <v>54</v>
      </c>
      <c r="G529" s="60"/>
      <c r="H529" s="30"/>
      <c r="I529" s="60"/>
      <c r="J529" s="28">
        <v>40.0</v>
      </c>
      <c r="K529" s="60"/>
      <c r="L529" s="30"/>
      <c r="M529" s="60"/>
      <c r="N529" s="30"/>
      <c r="O529" s="60"/>
    </row>
    <row r="530">
      <c r="A530" s="37"/>
      <c r="B530" s="28">
        <v>30.0</v>
      </c>
      <c r="C530" s="30"/>
      <c r="D530" s="37"/>
      <c r="E530" s="30"/>
      <c r="F530" s="37"/>
      <c r="G530" s="60"/>
      <c r="H530" s="30"/>
      <c r="I530" s="30"/>
      <c r="J530" s="28">
        <v>50.0</v>
      </c>
      <c r="K530" s="60"/>
      <c r="L530" s="30"/>
      <c r="M530" s="60"/>
      <c r="N530" s="30"/>
      <c r="O530" s="60"/>
    </row>
    <row r="531">
      <c r="A531" s="37"/>
      <c r="B531" s="37"/>
      <c r="C531" s="30"/>
      <c r="D531" s="37"/>
      <c r="E531" s="30"/>
      <c r="F531" s="37"/>
      <c r="G531" s="60"/>
      <c r="H531" s="37"/>
      <c r="I531" s="30"/>
      <c r="J531" s="37"/>
      <c r="K531" s="60"/>
      <c r="L531" s="30"/>
      <c r="M531" s="60"/>
      <c r="N531" s="30"/>
      <c r="O531" s="60"/>
    </row>
    <row r="532">
      <c r="A532" s="37"/>
      <c r="B532" s="37"/>
      <c r="C532" s="30"/>
      <c r="D532" s="37"/>
      <c r="E532" s="30"/>
      <c r="F532" s="37"/>
      <c r="G532" s="60"/>
      <c r="H532" s="30"/>
      <c r="I532" s="30"/>
      <c r="J532" s="37"/>
      <c r="K532" s="60"/>
      <c r="L532" s="30"/>
      <c r="M532" s="60"/>
      <c r="N532" s="30"/>
      <c r="O532" s="60"/>
    </row>
    <row r="533">
      <c r="A533" s="64"/>
      <c r="B533" s="64"/>
      <c r="C533" s="66"/>
      <c r="D533" s="64"/>
      <c r="E533" s="66"/>
      <c r="F533" s="64"/>
      <c r="G533" s="67"/>
      <c r="H533" s="66"/>
      <c r="I533" s="66"/>
      <c r="J533" s="64"/>
      <c r="K533" s="67"/>
      <c r="L533" s="66"/>
      <c r="M533" s="67"/>
      <c r="N533" s="66"/>
      <c r="O533" s="67"/>
    </row>
    <row r="535">
      <c r="A535" s="80" t="s">
        <v>2</v>
      </c>
      <c r="B535" s="81" t="s">
        <v>3</v>
      </c>
      <c r="C535" s="82">
        <f>O497+1</f>
        <v>45817</v>
      </c>
      <c r="D535" s="83" t="s">
        <v>4</v>
      </c>
      <c r="E535" s="84">
        <f>C535+1</f>
        <v>45818</v>
      </c>
      <c r="F535" s="81" t="s">
        <v>5</v>
      </c>
      <c r="G535" s="84">
        <f>E535+1</f>
        <v>45819</v>
      </c>
      <c r="H535" s="81" t="s">
        <v>6</v>
      </c>
      <c r="I535" s="84">
        <f>G535+1</f>
        <v>45820</v>
      </c>
      <c r="J535" s="81" t="s">
        <v>7</v>
      </c>
      <c r="K535" s="84">
        <f>I535+1</f>
        <v>45821</v>
      </c>
      <c r="L535" s="85" t="s">
        <v>8</v>
      </c>
      <c r="M535" s="86">
        <f>K535+1</f>
        <v>45822</v>
      </c>
      <c r="N535" s="85" t="s">
        <v>9</v>
      </c>
      <c r="O535" s="86">
        <f>M535+1</f>
        <v>45823</v>
      </c>
    </row>
    <row r="536">
      <c r="A536" s="87">
        <f>A498+1</f>
        <v>15</v>
      </c>
      <c r="B536" s="88" t="s">
        <v>10</v>
      </c>
      <c r="C536" s="89" t="s">
        <v>11</v>
      </c>
      <c r="D536" s="88" t="s">
        <v>10</v>
      </c>
      <c r="E536" s="89" t="s">
        <v>11</v>
      </c>
      <c r="F536" s="88" t="s">
        <v>10</v>
      </c>
      <c r="G536" s="89" t="s">
        <v>11</v>
      </c>
      <c r="H536" s="88" t="s">
        <v>10</v>
      </c>
      <c r="I536" s="89" t="s">
        <v>11</v>
      </c>
      <c r="J536" s="88" t="s">
        <v>10</v>
      </c>
      <c r="K536" s="89" t="s">
        <v>11</v>
      </c>
      <c r="L536" s="88" t="s">
        <v>10</v>
      </c>
      <c r="M536" s="89" t="s">
        <v>11</v>
      </c>
      <c r="N536" s="88" t="s">
        <v>10</v>
      </c>
      <c r="O536" s="89" t="s">
        <v>11</v>
      </c>
    </row>
    <row r="537">
      <c r="A537" s="37"/>
      <c r="B537" s="90"/>
      <c r="C537" s="15"/>
      <c r="D537" s="90"/>
      <c r="E537" s="15"/>
      <c r="F537" s="90"/>
      <c r="G537" s="15"/>
      <c r="H537" s="90"/>
      <c r="I537" s="15"/>
      <c r="J537" s="90"/>
      <c r="K537" s="15"/>
      <c r="L537" s="90"/>
      <c r="M537" s="15"/>
      <c r="N537" s="90"/>
      <c r="O537" s="15"/>
    </row>
    <row r="538">
      <c r="A538" s="37" t="s">
        <v>12</v>
      </c>
      <c r="B538" s="70" t="s">
        <v>142</v>
      </c>
      <c r="C538" s="76"/>
      <c r="D538" s="18" t="s">
        <v>14</v>
      </c>
      <c r="E538" s="17"/>
      <c r="F538" s="20" t="s">
        <v>143</v>
      </c>
      <c r="G538" s="17"/>
      <c r="H538" s="42" t="s">
        <v>15</v>
      </c>
      <c r="I538" s="91"/>
      <c r="J538" s="20" t="s">
        <v>142</v>
      </c>
      <c r="K538" s="17"/>
      <c r="L538" s="72" t="s">
        <v>14</v>
      </c>
      <c r="M538" s="91"/>
      <c r="N538" s="92" t="s">
        <v>17</v>
      </c>
      <c r="O538" s="91"/>
    </row>
    <row r="539">
      <c r="A539" s="37"/>
      <c r="B539" s="46">
        <v>110.0</v>
      </c>
      <c r="C539" s="48">
        <v>6.0</v>
      </c>
      <c r="D539" s="1" t="s">
        <v>129</v>
      </c>
      <c r="E539" s="24" t="s">
        <v>77</v>
      </c>
      <c r="F539" s="46">
        <v>85.0</v>
      </c>
      <c r="G539" s="48">
        <v>6.0</v>
      </c>
      <c r="H539" s="27" t="s">
        <v>130</v>
      </c>
      <c r="I539" s="93"/>
      <c r="J539" s="46">
        <v>120.0</v>
      </c>
      <c r="K539" s="48">
        <v>6.0</v>
      </c>
      <c r="L539" s="52" t="s">
        <v>79</v>
      </c>
      <c r="M539" s="93"/>
      <c r="N539" s="37"/>
      <c r="O539" s="93"/>
    </row>
    <row r="540">
      <c r="A540" s="37" t="s">
        <v>20</v>
      </c>
      <c r="B540" s="46">
        <v>120.0</v>
      </c>
      <c r="C540" s="48">
        <v>6.0</v>
      </c>
      <c r="D540" s="23" t="s">
        <v>80</v>
      </c>
      <c r="E540" s="26" t="s">
        <v>81</v>
      </c>
      <c r="F540" s="46">
        <v>90.0</v>
      </c>
      <c r="G540" s="48">
        <v>6.0</v>
      </c>
      <c r="H540" s="28" t="s">
        <v>131</v>
      </c>
      <c r="I540" s="93"/>
      <c r="J540" s="46">
        <v>125.0</v>
      </c>
      <c r="K540" s="48">
        <v>6.0</v>
      </c>
      <c r="L540" s="32" t="s">
        <v>82</v>
      </c>
      <c r="M540" s="93"/>
      <c r="N540" s="37"/>
      <c r="O540" s="93"/>
    </row>
    <row r="541">
      <c r="A541" s="94" t="s">
        <v>22</v>
      </c>
      <c r="B541" s="46">
        <v>125.0</v>
      </c>
      <c r="C541" s="48">
        <v>6.0</v>
      </c>
      <c r="D541" s="1" t="s">
        <v>132</v>
      </c>
      <c r="E541" s="26" t="s">
        <v>84</v>
      </c>
      <c r="F541" s="46">
        <v>95.0</v>
      </c>
      <c r="G541" s="48">
        <v>6.0</v>
      </c>
      <c r="H541" s="30"/>
      <c r="I541" s="93"/>
      <c r="J541" s="46">
        <v>130.0</v>
      </c>
      <c r="K541" s="48">
        <v>6.0</v>
      </c>
      <c r="L541" s="30"/>
      <c r="M541" s="93"/>
      <c r="N541" s="30"/>
      <c r="O541" s="93"/>
    </row>
    <row r="542">
      <c r="A542" s="37" t="s">
        <v>23</v>
      </c>
      <c r="B542" s="46">
        <v>130.0</v>
      </c>
      <c r="C542" s="48">
        <v>6.0</v>
      </c>
      <c r="D542" s="23" t="s">
        <v>85</v>
      </c>
      <c r="E542" s="26"/>
      <c r="F542" s="47"/>
      <c r="G542" s="48"/>
      <c r="H542" s="30"/>
      <c r="I542" s="93"/>
      <c r="J542" s="37"/>
      <c r="K542" s="93"/>
      <c r="L542" s="30"/>
      <c r="M542" s="93"/>
      <c r="N542" s="37"/>
      <c r="O542" s="93"/>
    </row>
    <row r="543">
      <c r="A543" s="37"/>
      <c r="B543" s="37"/>
      <c r="C543" s="93"/>
      <c r="D543" s="73" t="s">
        <v>86</v>
      </c>
      <c r="E543" s="26"/>
      <c r="F543" s="37"/>
      <c r="G543" s="95"/>
      <c r="H543" s="37"/>
      <c r="I543" s="95"/>
      <c r="J543" s="37"/>
      <c r="K543" s="93"/>
      <c r="L543" s="37"/>
      <c r="M543" s="93"/>
      <c r="N543" s="37"/>
      <c r="O543" s="93"/>
    </row>
    <row r="544">
      <c r="A544" s="37" t="s">
        <v>113</v>
      </c>
      <c r="B544" s="96" t="s">
        <v>25</v>
      </c>
      <c r="C544" s="97">
        <f>C539*B539 + B540*C540 + B541*C541 + B542*C542 + B543*C543</f>
        <v>2910</v>
      </c>
      <c r="D544" s="98" t="s">
        <v>25</v>
      </c>
      <c r="E544" s="99" t="str">
        <f>E539*D539 + D540*#REF! + E540*E541 + D542*E542 + D543*E543</f>
        <v>#VALUE!</v>
      </c>
      <c r="F544" s="96" t="s">
        <v>25</v>
      </c>
      <c r="G544" s="97">
        <f>G539*F539 + F540*G540 + F541*G541 + F542*G542 + F543*G543</f>
        <v>1620</v>
      </c>
      <c r="H544" s="96" t="s">
        <v>25</v>
      </c>
      <c r="I544" s="100" t="str">
        <f>I539*H539 + H540*I540 + H541*I541 + H542*I542 + H543*I543</f>
        <v>#VALUE!</v>
      </c>
      <c r="J544" s="96" t="s">
        <v>25</v>
      </c>
      <c r="K544" s="97">
        <f>K539*J539 + J540*K540 + J541*K541 + J542*K542 + J543*K543</f>
        <v>2250</v>
      </c>
      <c r="L544" s="96" t="s">
        <v>25</v>
      </c>
      <c r="M544" s="97" t="str">
        <f>M539*L539 + L540*M540 + L541*M541 + L542*M542 + L543*M543</f>
        <v>#VALUE!</v>
      </c>
      <c r="N544" s="96" t="s">
        <v>25</v>
      </c>
      <c r="O544" s="97">
        <f>O539*N539 + N540*O540 + N541*O541 + N542*O542 + N543*O543</f>
        <v>0</v>
      </c>
    </row>
    <row r="545">
      <c r="A545" s="37"/>
      <c r="B545" s="37" t="s">
        <v>26</v>
      </c>
      <c r="C545" s="38">
        <f>(B539*C539 + B540*C540 + B541*C541 + B542*C542 + B543*C543)/SUM(C539:C543)</f>
        <v>121.25</v>
      </c>
      <c r="D545" s="30" t="s">
        <v>26</v>
      </c>
      <c r="E545" s="101" t="str">
        <f>(D539*E539 + D540*#REF! + E540*E541 + D542*E542 + D543*E543)/SUM(E539:E543)</f>
        <v>#VALUE!</v>
      </c>
      <c r="F545" s="37" t="s">
        <v>26</v>
      </c>
      <c r="G545" s="102">
        <f>(F539*G539 + F540*G540 + F541*G541 + F542*G542 + F543*G543)/SUM(G539:G543)</f>
        <v>90</v>
      </c>
      <c r="H545" s="37" t="s">
        <v>26</v>
      </c>
      <c r="I545" s="101" t="str">
        <f>(H539*I539 + H540*I540 + H541*I541 + H542*I542 + H543*I543)/SUM(I539:I543)</f>
        <v>#VALUE!</v>
      </c>
      <c r="J545" s="64" t="s">
        <v>26</v>
      </c>
      <c r="K545" s="38">
        <f>(J539*K539 + J540*K540 + J541*K541 + J542*K542 + J543*K543)/SUM(K539:K543)</f>
        <v>125</v>
      </c>
      <c r="L545" s="37" t="s">
        <v>26</v>
      </c>
      <c r="M545" s="103" t="str">
        <f>(L539*M539 + L540*M540 + L541*M541 + L542*M542 + L543*M543)/SUM(M539:M543)</f>
        <v>#VALUE!</v>
      </c>
      <c r="N545" s="37" t="s">
        <v>26</v>
      </c>
      <c r="O545" s="102" t="str">
        <f>(N539*O539 + N540*O540 + N541*O541 + N542*O542 + N543*O543)/SUM(O539:O543)</f>
        <v>#DIV/0!</v>
      </c>
    </row>
    <row r="546">
      <c r="A546" s="37" t="s">
        <v>27</v>
      </c>
      <c r="B546" s="88" t="s">
        <v>10</v>
      </c>
      <c r="C546" s="89" t="s">
        <v>11</v>
      </c>
      <c r="D546" s="88" t="s">
        <v>10</v>
      </c>
      <c r="E546" s="89" t="s">
        <v>11</v>
      </c>
      <c r="F546" s="88" t="s">
        <v>10</v>
      </c>
      <c r="G546" s="89" t="s">
        <v>11</v>
      </c>
      <c r="H546" s="88" t="s">
        <v>10</v>
      </c>
      <c r="I546" s="89" t="s">
        <v>11</v>
      </c>
      <c r="J546" s="88" t="s">
        <v>10</v>
      </c>
      <c r="K546" s="89" t="s">
        <v>11</v>
      </c>
      <c r="L546" s="88" t="s">
        <v>10</v>
      </c>
      <c r="M546" s="89" t="s">
        <v>11</v>
      </c>
      <c r="N546" s="88" t="s">
        <v>10</v>
      </c>
      <c r="O546" s="89" t="s">
        <v>11</v>
      </c>
    </row>
    <row r="547">
      <c r="A547" s="104" t="s">
        <v>28</v>
      </c>
      <c r="B547" s="20" t="s">
        <v>74</v>
      </c>
      <c r="C547" s="17"/>
      <c r="D547" s="45" t="s">
        <v>91</v>
      </c>
      <c r="E547" s="91" t="s">
        <v>49</v>
      </c>
      <c r="F547" s="20" t="s">
        <v>133</v>
      </c>
      <c r="G547" s="17"/>
      <c r="H547" s="70" t="s">
        <v>91</v>
      </c>
      <c r="I547" s="91" t="s">
        <v>90</v>
      </c>
      <c r="J547" s="70" t="s">
        <v>135</v>
      </c>
      <c r="K547" s="17"/>
      <c r="L547" s="42" t="s">
        <v>91</v>
      </c>
      <c r="M547" s="91" t="s">
        <v>90</v>
      </c>
      <c r="N547" s="92"/>
      <c r="O547" s="91"/>
    </row>
    <row r="548">
      <c r="A548" s="37"/>
      <c r="B548" s="46">
        <v>110.0</v>
      </c>
      <c r="C548" s="48">
        <v>6.0</v>
      </c>
      <c r="D548" s="1">
        <v>40.0</v>
      </c>
      <c r="E548" s="93"/>
      <c r="F548" s="46">
        <v>130.0</v>
      </c>
      <c r="G548" s="48">
        <v>6.0</v>
      </c>
      <c r="H548" s="46">
        <v>30.0</v>
      </c>
      <c r="I548" s="93"/>
      <c r="J548" s="28">
        <v>80.0</v>
      </c>
      <c r="K548" s="54">
        <v>8.0</v>
      </c>
      <c r="L548" s="21">
        <v>30.0</v>
      </c>
      <c r="M548" s="93"/>
      <c r="N548" s="37"/>
      <c r="O548" s="93"/>
    </row>
    <row r="549">
      <c r="A549" s="37" t="s">
        <v>37</v>
      </c>
      <c r="B549" s="46">
        <v>120.0</v>
      </c>
      <c r="C549" s="48">
        <v>6.0</v>
      </c>
      <c r="D549" s="1">
        <v>80.0</v>
      </c>
      <c r="E549" s="93"/>
      <c r="F549" s="46">
        <v>140.0</v>
      </c>
      <c r="G549" s="48">
        <v>6.0</v>
      </c>
      <c r="H549" s="108">
        <v>60.0</v>
      </c>
      <c r="I549" s="93"/>
      <c r="J549" s="27">
        <v>85.0</v>
      </c>
      <c r="K549" s="54">
        <v>8.0</v>
      </c>
      <c r="L549" s="21">
        <v>40.0</v>
      </c>
      <c r="M549" s="93"/>
      <c r="N549" s="37"/>
      <c r="O549" s="93"/>
    </row>
    <row r="550">
      <c r="A550" s="37" t="s">
        <v>39</v>
      </c>
      <c r="B550" s="46">
        <v>130.0</v>
      </c>
      <c r="C550" s="48">
        <v>6.0</v>
      </c>
      <c r="D550" s="1">
        <v>60.0</v>
      </c>
      <c r="E550" s="93"/>
      <c r="F550" s="46">
        <v>150.0</v>
      </c>
      <c r="G550" s="48">
        <v>6.0</v>
      </c>
      <c r="H550" s="46">
        <v>60.0</v>
      </c>
      <c r="I550" s="93"/>
      <c r="J550" s="27">
        <v>90.0</v>
      </c>
      <c r="K550" s="54">
        <v>8.0</v>
      </c>
      <c r="L550" s="21">
        <v>60.0</v>
      </c>
      <c r="M550" s="93"/>
      <c r="N550" s="37"/>
      <c r="O550" s="93"/>
    </row>
    <row r="551">
      <c r="A551" s="37"/>
      <c r="B551" s="46">
        <v>140.0</v>
      </c>
      <c r="C551" s="48">
        <v>6.0</v>
      </c>
      <c r="D551" s="1">
        <v>30.0</v>
      </c>
      <c r="E551" s="93"/>
      <c r="F551" s="46">
        <v>160.0</v>
      </c>
      <c r="G551" s="48">
        <v>6.0</v>
      </c>
      <c r="H551" s="46">
        <v>30.0</v>
      </c>
      <c r="I551" s="93"/>
      <c r="J551" s="37"/>
      <c r="K551" s="93"/>
      <c r="L551" s="21">
        <v>30.0</v>
      </c>
      <c r="M551" s="93"/>
      <c r="N551" s="37"/>
      <c r="O551" s="93"/>
    </row>
    <row r="552">
      <c r="A552" s="37" t="s">
        <v>41</v>
      </c>
      <c r="B552" s="37"/>
      <c r="C552" s="93"/>
      <c r="D552" s="1">
        <v>30.0</v>
      </c>
      <c r="E552" s="54" t="s">
        <v>103</v>
      </c>
      <c r="F552" s="30"/>
      <c r="G552" s="93"/>
      <c r="H552" s="46">
        <v>60.0</v>
      </c>
      <c r="I552" s="93"/>
      <c r="J552" s="30"/>
      <c r="K552" s="93"/>
      <c r="L552" s="32"/>
      <c r="M552" s="93"/>
      <c r="N552" s="37"/>
      <c r="O552" s="93"/>
    </row>
    <row r="553">
      <c r="A553" s="37" t="s">
        <v>43</v>
      </c>
      <c r="B553" s="37"/>
      <c r="C553" s="95"/>
      <c r="D553" s="28" t="s">
        <v>101</v>
      </c>
      <c r="E553" s="95"/>
      <c r="F553" s="37"/>
      <c r="G553" s="95"/>
      <c r="H553" s="37" t="s">
        <v>140</v>
      </c>
      <c r="I553" s="93"/>
      <c r="J553" s="37"/>
      <c r="K553" s="93"/>
      <c r="L553" s="37" t="s">
        <v>140</v>
      </c>
      <c r="M553" s="93" t="s">
        <v>42</v>
      </c>
      <c r="N553" s="37"/>
      <c r="O553" s="93"/>
    </row>
    <row r="554">
      <c r="A554" s="37"/>
      <c r="B554" s="96" t="s">
        <v>25</v>
      </c>
      <c r="C554" s="97">
        <f>C548*B548 + B549*C549 + B550*C550 + B551*C551 + B553*C553</f>
        <v>3000</v>
      </c>
      <c r="D554" s="96" t="s">
        <v>25</v>
      </c>
      <c r="E554" s="99" t="str">
        <f>E548*D548 + D549*E549 + D550*E550 + D551*E551 + D553*E553</f>
        <v>#VALUE!</v>
      </c>
      <c r="F554" s="96" t="s">
        <v>25</v>
      </c>
      <c r="G554" s="97">
        <f>G548*F548 + F549*G549 + F550*G550 + F551*G551 + F553*G553</f>
        <v>3480</v>
      </c>
      <c r="H554" s="96" t="s">
        <v>25</v>
      </c>
      <c r="I554" s="100" t="str">
        <f>I548*H548 + H549*I549 + H550*I550 + H551*I551 + H553*I553</f>
        <v>#VALUE!</v>
      </c>
      <c r="J554" s="96" t="s">
        <v>25</v>
      </c>
      <c r="K554" s="97">
        <f>K548*J548 + J549*K549 + J550*K550 + J551*K551 + J553*K553</f>
        <v>2040</v>
      </c>
      <c r="L554" s="96" t="s">
        <v>25</v>
      </c>
      <c r="M554" s="97" t="str">
        <f>M548*L548 + L549*M549 + L550*M550 + L551*M551 + L553*M553</f>
        <v>#VALUE!</v>
      </c>
      <c r="N554" s="96" t="s">
        <v>25</v>
      </c>
      <c r="O554" s="97">
        <f>O548*N548 + N549*O549 + N550*O550 + N551*O551 + N553*O553</f>
        <v>0</v>
      </c>
    </row>
    <row r="555">
      <c r="A555" s="37" t="s">
        <v>116</v>
      </c>
      <c r="B555" s="64" t="s">
        <v>26</v>
      </c>
      <c r="C555" s="38">
        <f>(B549*C549 + B550*C550 + B551*C551 + B552*C552 + B553*C553)/SUM(C549:C553)</f>
        <v>130</v>
      </c>
      <c r="D555" s="64" t="s">
        <v>26</v>
      </c>
      <c r="E555" s="105" t="str">
        <f>(D548*E548 + D549*E549 + D550*E550 + D551*E551 + D553*E553)/SUM(E548:E553)</f>
        <v>#VALUE!</v>
      </c>
      <c r="F555" s="64" t="s">
        <v>26</v>
      </c>
      <c r="G555" s="38">
        <f>(F549*G549 + F550*G550 + F551*G551 + F552*G552 + F553*G553)/SUM(G549:G553)</f>
        <v>150</v>
      </c>
      <c r="H555" s="64" t="s">
        <v>26</v>
      </c>
      <c r="I555" s="105" t="str">
        <f>(H548*I548 + H549*I549 + H550*I550 + H551*I551 + H553*I553)/SUM(I548:I553)</f>
        <v>#VALUE!</v>
      </c>
      <c r="J555" s="64" t="s">
        <v>26</v>
      </c>
      <c r="K555" s="102">
        <f>(J549*K549 + J550*K550 + J551*K551 + J552*K552 + J553*K553)/SUM(K549:K553)</f>
        <v>87.5</v>
      </c>
      <c r="L555" s="64" t="s">
        <v>26</v>
      </c>
      <c r="M555" s="102" t="str">
        <f>(L548*M548 + L549*M549 + L550*M550 + L551*M551 + L553*M553)/SUM(M548:M553)</f>
        <v>#VALUE!</v>
      </c>
      <c r="N555" s="64" t="s">
        <v>26</v>
      </c>
      <c r="O555" s="102" t="str">
        <f>(N549*O549 + N550*O550 + N551*O551 + N552*O552 + N553*O553)/SUM(O549:O553)</f>
        <v>#DIV/0!</v>
      </c>
    </row>
    <row r="556">
      <c r="A556" s="37" t="s">
        <v>117</v>
      </c>
      <c r="B556" s="92" t="s">
        <v>118</v>
      </c>
      <c r="C556" s="91"/>
      <c r="D556" s="45"/>
      <c r="E556" s="91"/>
      <c r="F556" s="92" t="s">
        <v>119</v>
      </c>
      <c r="G556" s="91"/>
      <c r="H556" s="112"/>
      <c r="I556" s="91"/>
      <c r="J556" s="92" t="s">
        <v>71</v>
      </c>
      <c r="K556" s="91"/>
      <c r="L556" s="113" t="s">
        <v>105</v>
      </c>
      <c r="M556" s="91" t="s">
        <v>49</v>
      </c>
      <c r="N556" s="106"/>
      <c r="O556" s="107"/>
    </row>
    <row r="557">
      <c r="A557" s="37" t="s">
        <v>120</v>
      </c>
      <c r="B557" s="46">
        <v>70.0</v>
      </c>
      <c r="C557" s="109">
        <v>8.0</v>
      </c>
      <c r="D557" s="110">
        <v>30.0</v>
      </c>
      <c r="E557" s="93"/>
      <c r="F557" s="46">
        <v>45.0</v>
      </c>
      <c r="G557" s="109">
        <v>8.0</v>
      </c>
      <c r="H557" s="46">
        <v>60.0</v>
      </c>
      <c r="I557" s="93"/>
      <c r="J557" s="46">
        <v>72.5</v>
      </c>
      <c r="K557" s="109">
        <v>8.0</v>
      </c>
      <c r="L557" s="21">
        <v>40.0</v>
      </c>
      <c r="M557" s="93"/>
      <c r="N557" s="37"/>
      <c r="O557" s="93"/>
    </row>
    <row r="558">
      <c r="A558" s="37"/>
      <c r="B558" s="46">
        <v>72.5</v>
      </c>
      <c r="C558" s="109">
        <v>8.0</v>
      </c>
      <c r="D558" s="46">
        <v>40.0</v>
      </c>
      <c r="E558" s="93"/>
      <c r="F558" s="46">
        <v>50.0</v>
      </c>
      <c r="G558" s="109">
        <v>8.0</v>
      </c>
      <c r="H558" s="46">
        <v>30.0</v>
      </c>
      <c r="I558" s="93"/>
      <c r="J558" s="46">
        <v>75.0</v>
      </c>
      <c r="K558" s="109">
        <v>8.0</v>
      </c>
      <c r="L558" s="25">
        <v>60.0</v>
      </c>
      <c r="M558" s="93"/>
      <c r="N558" s="37"/>
      <c r="O558" s="93"/>
    </row>
    <row r="559">
      <c r="A559" s="37" t="s">
        <v>121</v>
      </c>
      <c r="B559" s="46">
        <v>75.0</v>
      </c>
      <c r="C559" s="109">
        <v>8.0</v>
      </c>
      <c r="D559" s="46">
        <v>80.0</v>
      </c>
      <c r="E559" s="93"/>
      <c r="F559" s="46">
        <v>55.0</v>
      </c>
      <c r="G559" s="109">
        <v>8.0</v>
      </c>
      <c r="H559" s="108">
        <v>60.0</v>
      </c>
      <c r="I559" s="93"/>
      <c r="J559" s="46">
        <v>77.5</v>
      </c>
      <c r="K559" s="109">
        <v>8.0</v>
      </c>
      <c r="L559" s="25">
        <v>30.0</v>
      </c>
      <c r="M559" s="93"/>
      <c r="N559" s="37"/>
      <c r="O559" s="93"/>
    </row>
    <row r="560">
      <c r="A560" s="37" t="s">
        <v>122</v>
      </c>
      <c r="B560" s="37"/>
      <c r="C560" s="95"/>
      <c r="D560" s="46">
        <v>60.0</v>
      </c>
      <c r="E560" s="95"/>
      <c r="F560" s="37"/>
      <c r="G560" s="95"/>
      <c r="H560" s="108">
        <v>30.0</v>
      </c>
      <c r="I560" s="95"/>
      <c r="J560" s="37"/>
      <c r="K560" s="93"/>
      <c r="L560" s="25">
        <v>30.0</v>
      </c>
      <c r="M560" s="93"/>
      <c r="N560" s="37"/>
      <c r="O560" s="93"/>
    </row>
    <row r="561">
      <c r="A561" s="37" t="s">
        <v>123</v>
      </c>
      <c r="B561" s="37"/>
      <c r="C561" s="95"/>
      <c r="D561" s="21"/>
      <c r="E561" s="95"/>
      <c r="F561" s="37"/>
      <c r="G561" s="95"/>
      <c r="H561" s="37"/>
      <c r="I561" s="95"/>
      <c r="J561" s="37"/>
      <c r="K561" s="93"/>
      <c r="L561" s="30"/>
      <c r="M561" s="93"/>
      <c r="N561" s="30"/>
      <c r="O561" s="93"/>
    </row>
    <row r="562">
      <c r="A562" s="37"/>
      <c r="B562" s="96" t="s">
        <v>25</v>
      </c>
      <c r="C562" s="99">
        <f>C557*B557 + B558*C558 + B559*C559 + B560*C560 + B561*C561</f>
        <v>1740</v>
      </c>
      <c r="D562" s="96" t="s">
        <v>25</v>
      </c>
      <c r="E562" s="99">
        <f>E557*D557 + D558*E558 + D559*E559 + D560*E560 + D561*E561</f>
        <v>0</v>
      </c>
      <c r="F562" s="96" t="s">
        <v>25</v>
      </c>
      <c r="G562" s="99">
        <f>G557*F557 + F558*G558 + F559*G559 + F560*G560 + F561*G561</f>
        <v>1200</v>
      </c>
      <c r="H562" s="96" t="s">
        <v>25</v>
      </c>
      <c r="I562" s="100">
        <f>I557*H557 + H558*I558 + H559*I559 + H560*I560 + H561*I561</f>
        <v>0</v>
      </c>
      <c r="J562" s="96" t="s">
        <v>25</v>
      </c>
      <c r="K562" s="97">
        <f>K557*J557 + J558*K558 + J559*K559 + J560*K560 + J561*K561</f>
        <v>1800</v>
      </c>
      <c r="L562" s="98" t="s">
        <v>25</v>
      </c>
      <c r="M562" s="111">
        <f>M557*L557 + L558*M558 + L559*M559 + L560*M560 + L561*M561</f>
        <v>0</v>
      </c>
      <c r="N562" s="98" t="s">
        <v>25</v>
      </c>
      <c r="O562" s="111">
        <f>O557*N557 + N558*O558 + N559*O559 + N560*O560 + N561*O561</f>
        <v>0</v>
      </c>
    </row>
    <row r="563">
      <c r="A563" s="37"/>
      <c r="B563" s="64" t="s">
        <v>26</v>
      </c>
      <c r="C563" s="102">
        <f>(B557*C557 + B558*C558 + B559*C559 + B560*C560 + B561*C561)/SUM(C557:C561)</f>
        <v>72.5</v>
      </c>
      <c r="D563" s="66" t="s">
        <v>26</v>
      </c>
      <c r="E563" s="102" t="str">
        <f>(D557*E557 + D558*E558 + D559*E559 + D560*E560 + D561*E561)/SUM(E557:E561)</f>
        <v>#DIV/0!</v>
      </c>
      <c r="F563" s="64" t="s">
        <v>26</v>
      </c>
      <c r="G563" s="102">
        <f>(F557*G557 + F558*G558 + F559*G559 + F560*G560 + F561*G561)/SUM(G557:G561)</f>
        <v>50</v>
      </c>
      <c r="H563" s="66" t="s">
        <v>26</v>
      </c>
      <c r="I563" s="102" t="str">
        <f>(H557*I557 + H558*I558 + H559*I559 + H560*I560 + H561*I561)/SUM(I557:I561)</f>
        <v>#DIV/0!</v>
      </c>
      <c r="J563" s="64" t="s">
        <v>26</v>
      </c>
      <c r="K563" s="102">
        <f>(J557*K557 + J558*K558 + J559*K559 + J560*K560 + J561*K561)/SUM(K557:K561)</f>
        <v>75</v>
      </c>
      <c r="L563" s="66" t="s">
        <v>26</v>
      </c>
      <c r="M563" s="102" t="str">
        <f>(L557*M557 + L558*M558 + L559*M559 + L560*M560 + L561*M561)/SUM(M557:M561)</f>
        <v>#DIV/0!</v>
      </c>
      <c r="N563" s="66" t="s">
        <v>26</v>
      </c>
      <c r="O563" s="102" t="str">
        <f>(N557*O557 + N558*O558 + N559*O559 + N560*O560 + N561*O561)/SUM(O561)</f>
        <v>#DIV/0!</v>
      </c>
    </row>
    <row r="564">
      <c r="A564" s="37" t="s">
        <v>124</v>
      </c>
      <c r="B564" s="28" t="s">
        <v>91</v>
      </c>
      <c r="C564" s="30" t="s">
        <v>49</v>
      </c>
      <c r="D564" s="37" t="s">
        <v>50</v>
      </c>
      <c r="E564" s="30" t="s">
        <v>49</v>
      </c>
      <c r="F564" s="37" t="s">
        <v>51</v>
      </c>
      <c r="G564" s="30" t="s">
        <v>49</v>
      </c>
      <c r="H564" s="28" t="s">
        <v>141</v>
      </c>
      <c r="I564" s="30" t="s">
        <v>49</v>
      </c>
      <c r="J564" s="28" t="s">
        <v>91</v>
      </c>
      <c r="K564" s="30" t="s">
        <v>49</v>
      </c>
      <c r="L564" s="37"/>
      <c r="M564" s="60" t="s">
        <v>49</v>
      </c>
      <c r="N564" s="37"/>
      <c r="O564" s="60" t="s">
        <v>49</v>
      </c>
    </row>
    <row r="565">
      <c r="A565" s="37" t="s">
        <v>125</v>
      </c>
      <c r="B565" s="27">
        <v>30.0</v>
      </c>
      <c r="C565" s="60"/>
      <c r="D565" s="30"/>
      <c r="E565" s="60"/>
      <c r="F565" s="37" t="s">
        <v>52</v>
      </c>
      <c r="G565" s="60"/>
      <c r="H565" s="30"/>
      <c r="I565" s="60"/>
      <c r="J565" s="27">
        <v>30.0</v>
      </c>
      <c r="K565" s="60"/>
      <c r="L565" s="37"/>
      <c r="M565" s="60"/>
      <c r="N565" s="37"/>
      <c r="O565" s="60"/>
    </row>
    <row r="566">
      <c r="A566" s="37"/>
      <c r="B566" s="27">
        <v>60.0</v>
      </c>
      <c r="C566" s="60"/>
      <c r="D566" s="30"/>
      <c r="E566" s="60"/>
      <c r="F566" s="37" t="s">
        <v>53</v>
      </c>
      <c r="G566" s="60"/>
      <c r="H566" s="30"/>
      <c r="I566" s="60"/>
      <c r="J566" s="27">
        <v>30.0</v>
      </c>
      <c r="K566" s="60"/>
      <c r="L566" s="37"/>
      <c r="M566" s="60"/>
      <c r="N566" s="37"/>
      <c r="O566" s="60"/>
    </row>
    <row r="567">
      <c r="A567" s="37"/>
      <c r="B567" s="28">
        <v>20.0</v>
      </c>
      <c r="C567" s="60"/>
      <c r="D567" s="30"/>
      <c r="E567" s="60"/>
      <c r="F567" s="37" t="s">
        <v>54</v>
      </c>
      <c r="G567" s="60"/>
      <c r="H567" s="30"/>
      <c r="I567" s="60"/>
      <c r="J567" s="28">
        <v>40.0</v>
      </c>
      <c r="K567" s="60"/>
      <c r="L567" s="30"/>
      <c r="M567" s="60"/>
      <c r="N567" s="30"/>
      <c r="O567" s="60"/>
    </row>
    <row r="568">
      <c r="A568" s="37"/>
      <c r="B568" s="28">
        <v>30.0</v>
      </c>
      <c r="C568" s="30"/>
      <c r="D568" s="37"/>
      <c r="E568" s="30"/>
      <c r="F568" s="37"/>
      <c r="G568" s="60"/>
      <c r="H568" s="30"/>
      <c r="I568" s="30"/>
      <c r="J568" s="28">
        <v>50.0</v>
      </c>
      <c r="K568" s="60"/>
      <c r="L568" s="30"/>
      <c r="M568" s="60"/>
      <c r="N568" s="30"/>
      <c r="O568" s="60"/>
    </row>
    <row r="569">
      <c r="A569" s="37"/>
      <c r="B569" s="37"/>
      <c r="C569" s="30"/>
      <c r="D569" s="37"/>
      <c r="E569" s="30"/>
      <c r="F569" s="37"/>
      <c r="G569" s="60"/>
      <c r="H569" s="37"/>
      <c r="I569" s="30"/>
      <c r="J569" s="37"/>
      <c r="K569" s="60"/>
      <c r="L569" s="30"/>
      <c r="M569" s="60"/>
      <c r="N569" s="30"/>
      <c r="O569" s="60"/>
    </row>
    <row r="570">
      <c r="A570" s="37"/>
      <c r="B570" s="37"/>
      <c r="C570" s="30"/>
      <c r="D570" s="37"/>
      <c r="E570" s="30"/>
      <c r="F570" s="37"/>
      <c r="G570" s="60"/>
      <c r="H570" s="30"/>
      <c r="I570" s="30"/>
      <c r="J570" s="37"/>
      <c r="K570" s="60"/>
      <c r="L570" s="30"/>
      <c r="M570" s="60"/>
      <c r="N570" s="30"/>
      <c r="O570" s="60"/>
    </row>
    <row r="571">
      <c r="A571" s="64"/>
      <c r="B571" s="64"/>
      <c r="C571" s="66"/>
      <c r="D571" s="64"/>
      <c r="E571" s="66"/>
      <c r="F571" s="64"/>
      <c r="G571" s="67"/>
      <c r="H571" s="66"/>
      <c r="I571" s="66"/>
      <c r="J571" s="64"/>
      <c r="K571" s="67"/>
      <c r="L571" s="66"/>
      <c r="M571" s="67"/>
      <c r="N571" s="66"/>
      <c r="O571" s="67"/>
    </row>
    <row r="573">
      <c r="A573" s="80" t="s">
        <v>2</v>
      </c>
      <c r="B573" s="81" t="s">
        <v>3</v>
      </c>
      <c r="C573" s="82">
        <f>O535+1</f>
        <v>45824</v>
      </c>
      <c r="D573" s="83" t="s">
        <v>4</v>
      </c>
      <c r="E573" s="84">
        <f>C573+1</f>
        <v>45825</v>
      </c>
      <c r="F573" s="81" t="s">
        <v>5</v>
      </c>
      <c r="G573" s="84">
        <f>E573+1</f>
        <v>45826</v>
      </c>
      <c r="H573" s="81" t="s">
        <v>6</v>
      </c>
      <c r="I573" s="84">
        <f>G573+1</f>
        <v>45827</v>
      </c>
      <c r="J573" s="81" t="s">
        <v>7</v>
      </c>
      <c r="K573" s="84">
        <f>I573+1</f>
        <v>45828</v>
      </c>
      <c r="L573" s="85" t="s">
        <v>8</v>
      </c>
      <c r="M573" s="86">
        <f>K573+1</f>
        <v>45829</v>
      </c>
      <c r="N573" s="85" t="s">
        <v>9</v>
      </c>
      <c r="O573" s="86">
        <f>M573+1</f>
        <v>45830</v>
      </c>
    </row>
    <row r="574">
      <c r="A574" s="87">
        <f>A536+1</f>
        <v>16</v>
      </c>
      <c r="B574" s="88" t="s">
        <v>10</v>
      </c>
      <c r="C574" s="89" t="s">
        <v>11</v>
      </c>
      <c r="D574" s="88" t="s">
        <v>10</v>
      </c>
      <c r="E574" s="89" t="s">
        <v>11</v>
      </c>
      <c r="F574" s="88" t="s">
        <v>10</v>
      </c>
      <c r="G574" s="89" t="s">
        <v>11</v>
      </c>
      <c r="H574" s="88" t="s">
        <v>10</v>
      </c>
      <c r="I574" s="89" t="s">
        <v>11</v>
      </c>
      <c r="J574" s="88" t="s">
        <v>10</v>
      </c>
      <c r="K574" s="89" t="s">
        <v>11</v>
      </c>
      <c r="L574" s="88" t="s">
        <v>10</v>
      </c>
      <c r="M574" s="89" t="s">
        <v>11</v>
      </c>
      <c r="N574" s="88" t="s">
        <v>10</v>
      </c>
      <c r="O574" s="89" t="s">
        <v>11</v>
      </c>
    </row>
    <row r="575">
      <c r="A575" s="37"/>
      <c r="B575" s="90"/>
      <c r="C575" s="15"/>
      <c r="D575" s="90"/>
      <c r="E575" s="15"/>
      <c r="F575" s="90"/>
      <c r="G575" s="15"/>
      <c r="H575" s="90"/>
      <c r="I575" s="15"/>
      <c r="J575" s="90"/>
      <c r="K575" s="15"/>
      <c r="L575" s="90"/>
      <c r="M575" s="15"/>
      <c r="N575" s="90"/>
      <c r="O575" s="15"/>
    </row>
    <row r="576">
      <c r="A576" s="37" t="s">
        <v>12</v>
      </c>
      <c r="B576" s="20" t="s">
        <v>143</v>
      </c>
      <c r="C576" s="76"/>
      <c r="D576" s="18" t="s">
        <v>14</v>
      </c>
      <c r="E576" s="17"/>
      <c r="F576" s="20" t="s">
        <v>142</v>
      </c>
      <c r="G576" s="17"/>
      <c r="H576" s="42" t="s">
        <v>15</v>
      </c>
      <c r="I576" s="91"/>
      <c r="J576" s="20" t="s">
        <v>143</v>
      </c>
      <c r="K576" s="17"/>
      <c r="L576" s="72" t="s">
        <v>14</v>
      </c>
      <c r="M576" s="91"/>
      <c r="N576" s="92" t="s">
        <v>17</v>
      </c>
      <c r="O576" s="91"/>
    </row>
    <row r="577">
      <c r="A577" s="37"/>
      <c r="B577" s="46">
        <v>90.0</v>
      </c>
      <c r="C577" s="48">
        <v>4.0</v>
      </c>
      <c r="D577" s="1" t="s">
        <v>129</v>
      </c>
      <c r="E577" s="24" t="s">
        <v>77</v>
      </c>
      <c r="F577" s="46">
        <v>125.0</v>
      </c>
      <c r="G577" s="48">
        <v>6.0</v>
      </c>
      <c r="H577" s="27" t="s">
        <v>130</v>
      </c>
      <c r="I577" s="93"/>
      <c r="J577" s="46">
        <v>95.0</v>
      </c>
      <c r="K577" s="48">
        <v>6.0</v>
      </c>
      <c r="L577" s="52" t="s">
        <v>79</v>
      </c>
      <c r="M577" s="93"/>
      <c r="N577" s="37"/>
      <c r="O577" s="93"/>
    </row>
    <row r="578">
      <c r="A578" s="37" t="s">
        <v>20</v>
      </c>
      <c r="B578" s="46">
        <v>95.0</v>
      </c>
      <c r="C578" s="48">
        <v>4.0</v>
      </c>
      <c r="D578" s="23" t="s">
        <v>80</v>
      </c>
      <c r="E578" s="26" t="s">
        <v>81</v>
      </c>
      <c r="F578" s="46">
        <v>130.0</v>
      </c>
      <c r="G578" s="48">
        <v>6.0</v>
      </c>
      <c r="H578" s="28" t="s">
        <v>131</v>
      </c>
      <c r="I578" s="93"/>
      <c r="J578" s="46">
        <v>100.0</v>
      </c>
      <c r="K578" s="48">
        <v>4.0</v>
      </c>
      <c r="L578" s="32" t="s">
        <v>82</v>
      </c>
      <c r="M578" s="93"/>
      <c r="N578" s="37"/>
      <c r="O578" s="93"/>
    </row>
    <row r="579">
      <c r="A579" s="94" t="s">
        <v>22</v>
      </c>
      <c r="B579" s="46">
        <v>100.0</v>
      </c>
      <c r="C579" s="48">
        <v>4.0</v>
      </c>
      <c r="D579" s="1" t="s">
        <v>132</v>
      </c>
      <c r="E579" s="26" t="s">
        <v>84</v>
      </c>
      <c r="F579" s="46">
        <v>135.0</v>
      </c>
      <c r="G579" s="48">
        <v>4.0</v>
      </c>
      <c r="H579" s="30"/>
      <c r="I579" s="93"/>
      <c r="J579" s="46">
        <v>105.0</v>
      </c>
      <c r="K579" s="48">
        <v>4.0</v>
      </c>
      <c r="L579" s="30"/>
      <c r="M579" s="93"/>
      <c r="N579" s="30"/>
      <c r="O579" s="93"/>
    </row>
    <row r="580">
      <c r="A580" s="37" t="s">
        <v>23</v>
      </c>
      <c r="B580" s="46">
        <v>105.0</v>
      </c>
      <c r="C580" s="48">
        <v>4.0</v>
      </c>
      <c r="D580" s="23" t="s">
        <v>85</v>
      </c>
      <c r="E580" s="26"/>
      <c r="F580" s="47"/>
      <c r="G580" s="48"/>
      <c r="H580" s="30"/>
      <c r="I580" s="93"/>
      <c r="J580" s="37"/>
      <c r="K580" s="93"/>
      <c r="L580" s="30"/>
      <c r="M580" s="93"/>
      <c r="N580" s="37"/>
      <c r="O580" s="93"/>
    </row>
    <row r="581">
      <c r="A581" s="37"/>
      <c r="B581" s="37"/>
      <c r="C581" s="93"/>
      <c r="D581" s="73" t="s">
        <v>86</v>
      </c>
      <c r="E581" s="26"/>
      <c r="F581" s="37"/>
      <c r="G581" s="95"/>
      <c r="H581" s="37"/>
      <c r="I581" s="95"/>
      <c r="J581" s="37"/>
      <c r="K581" s="93"/>
      <c r="L581" s="37"/>
      <c r="M581" s="93"/>
      <c r="N581" s="37"/>
      <c r="O581" s="93"/>
    </row>
    <row r="582">
      <c r="A582" s="37" t="s">
        <v>113</v>
      </c>
      <c r="B582" s="96" t="s">
        <v>25</v>
      </c>
      <c r="C582" s="97">
        <f>C577*B577 + B578*C578 + B579*C579 + B580*C580 + B581*C581</f>
        <v>1560</v>
      </c>
      <c r="D582" s="98" t="s">
        <v>25</v>
      </c>
      <c r="E582" s="99" t="str">
        <f>E577*D577 + D578*#REF! + E578*E579 + D580*E580 + D581*E581</f>
        <v>#VALUE!</v>
      </c>
      <c r="F582" s="96" t="s">
        <v>25</v>
      </c>
      <c r="G582" s="97">
        <f>G577*F577 + F578*G578 + F579*G579 + F580*G580 + F581*G581</f>
        <v>2070</v>
      </c>
      <c r="H582" s="96" t="s">
        <v>25</v>
      </c>
      <c r="I582" s="100" t="str">
        <f>I577*H577 + H578*I578 + H579*I579 + H580*I580 + H581*I581</f>
        <v>#VALUE!</v>
      </c>
      <c r="J582" s="96" t="s">
        <v>25</v>
      </c>
      <c r="K582" s="97">
        <f>K577*J577 + J578*K578 + J579*K579 + J580*K580 + J581*K581</f>
        <v>1390</v>
      </c>
      <c r="L582" s="96" t="s">
        <v>25</v>
      </c>
      <c r="M582" s="97" t="str">
        <f>M577*L577 + L578*M578 + L579*M579 + L580*M580 + L581*M581</f>
        <v>#VALUE!</v>
      </c>
      <c r="N582" s="96" t="s">
        <v>25</v>
      </c>
      <c r="O582" s="97">
        <f>O577*N577 + N578*O578 + N579*O579 + N580*O580 + N581*O581</f>
        <v>0</v>
      </c>
    </row>
    <row r="583">
      <c r="A583" s="37"/>
      <c r="B583" s="37" t="s">
        <v>26</v>
      </c>
      <c r="C583" s="38">
        <f>(B577*C577 + B578*C578 + B579*C579 + B580*C580 + B581*C581)/SUM(C577:C581)</f>
        <v>97.5</v>
      </c>
      <c r="D583" s="30" t="s">
        <v>26</v>
      </c>
      <c r="E583" s="101" t="str">
        <f>(D577*E577 + D578*#REF! + E578*E579 + D580*E580 + D581*E581)/SUM(E577:E581)</f>
        <v>#VALUE!</v>
      </c>
      <c r="F583" s="37" t="s">
        <v>26</v>
      </c>
      <c r="G583" s="102">
        <f>(F577*G577 + F578*G578 + F579*G579 + F580*G580 + F581*G581)/SUM(G577:G581)</f>
        <v>129.375</v>
      </c>
      <c r="H583" s="37" t="s">
        <v>26</v>
      </c>
      <c r="I583" s="101" t="str">
        <f>(H577*I577 + H578*I578 + H579*I579 + H580*I580 + H581*I581)/SUM(I577:I581)</f>
        <v>#VALUE!</v>
      </c>
      <c r="J583" s="64" t="s">
        <v>26</v>
      </c>
      <c r="K583" s="38">
        <f>(J577*K577 + J578*K578 + J579*K579 + J580*K580 + J581*K581)/SUM(K577:K581)</f>
        <v>99.28571429</v>
      </c>
      <c r="L583" s="37" t="s">
        <v>26</v>
      </c>
      <c r="M583" s="103" t="str">
        <f>(L577*M577 + L578*M578 + L579*M579 + L580*M580 + L581*M581)/SUM(M577:M581)</f>
        <v>#VALUE!</v>
      </c>
      <c r="N583" s="37" t="s">
        <v>26</v>
      </c>
      <c r="O583" s="102" t="str">
        <f>(N577*O577 + N578*O578 + N579*O579 + N580*O580 + N581*O581)/SUM(O577:O581)</f>
        <v>#DIV/0!</v>
      </c>
    </row>
    <row r="584">
      <c r="A584" s="37" t="s">
        <v>27</v>
      </c>
      <c r="B584" s="88" t="s">
        <v>10</v>
      </c>
      <c r="C584" s="89" t="s">
        <v>11</v>
      </c>
      <c r="D584" s="88" t="s">
        <v>10</v>
      </c>
      <c r="E584" s="89" t="s">
        <v>11</v>
      </c>
      <c r="F584" s="88" t="s">
        <v>10</v>
      </c>
      <c r="G584" s="89" t="s">
        <v>11</v>
      </c>
      <c r="H584" s="88" t="s">
        <v>10</v>
      </c>
      <c r="I584" s="89" t="s">
        <v>11</v>
      </c>
      <c r="J584" s="88" t="s">
        <v>10</v>
      </c>
      <c r="K584" s="89" t="s">
        <v>11</v>
      </c>
      <c r="L584" s="88" t="s">
        <v>10</v>
      </c>
      <c r="M584" s="89" t="s">
        <v>11</v>
      </c>
      <c r="N584" s="88" t="s">
        <v>10</v>
      </c>
      <c r="O584" s="89" t="s">
        <v>11</v>
      </c>
    </row>
    <row r="585">
      <c r="A585" s="104" t="s">
        <v>28</v>
      </c>
      <c r="B585" s="20" t="s">
        <v>133</v>
      </c>
      <c r="C585" s="17"/>
      <c r="D585" s="45" t="s">
        <v>91</v>
      </c>
      <c r="E585" s="91" t="s">
        <v>49</v>
      </c>
      <c r="F585" s="20" t="s">
        <v>144</v>
      </c>
      <c r="G585" s="17"/>
      <c r="H585" s="70" t="s">
        <v>91</v>
      </c>
      <c r="I585" s="91" t="s">
        <v>90</v>
      </c>
      <c r="J585" s="70" t="s">
        <v>135</v>
      </c>
      <c r="K585" s="17"/>
      <c r="L585" s="42" t="s">
        <v>91</v>
      </c>
      <c r="M585" s="91" t="s">
        <v>90</v>
      </c>
      <c r="N585" s="92"/>
      <c r="O585" s="91"/>
    </row>
    <row r="586">
      <c r="A586" s="37"/>
      <c r="B586" s="46">
        <v>140.0</v>
      </c>
      <c r="C586" s="48">
        <v>6.0</v>
      </c>
      <c r="D586" s="1">
        <v>40.0</v>
      </c>
      <c r="E586" s="93"/>
      <c r="F586" s="46">
        <v>120.0</v>
      </c>
      <c r="G586" s="48">
        <v>6.0</v>
      </c>
      <c r="H586" s="46">
        <v>30.0</v>
      </c>
      <c r="I586" s="93"/>
      <c r="J586" s="28">
        <v>80.0</v>
      </c>
      <c r="K586" s="54">
        <v>8.0</v>
      </c>
      <c r="L586" s="21">
        <v>30.0</v>
      </c>
      <c r="M586" s="93"/>
      <c r="N586" s="37"/>
      <c r="O586" s="93"/>
    </row>
    <row r="587">
      <c r="A587" s="37" t="s">
        <v>37</v>
      </c>
      <c r="B587" s="46">
        <v>150.0</v>
      </c>
      <c r="C587" s="48">
        <v>6.0</v>
      </c>
      <c r="D587" s="1">
        <v>80.0</v>
      </c>
      <c r="E587" s="93"/>
      <c r="F587" s="46">
        <v>130.0</v>
      </c>
      <c r="G587" s="48">
        <v>6.0</v>
      </c>
      <c r="H587" s="108">
        <v>60.0</v>
      </c>
      <c r="I587" s="93"/>
      <c r="J587" s="27">
        <v>85.0</v>
      </c>
      <c r="K587" s="54">
        <v>8.0</v>
      </c>
      <c r="L587" s="21">
        <v>40.0</v>
      </c>
      <c r="M587" s="93"/>
      <c r="N587" s="37"/>
      <c r="O587" s="93"/>
    </row>
    <row r="588">
      <c r="A588" s="37" t="s">
        <v>39</v>
      </c>
      <c r="B588" s="46">
        <v>160.0</v>
      </c>
      <c r="C588" s="48">
        <v>5.0</v>
      </c>
      <c r="D588" s="1">
        <v>60.0</v>
      </c>
      <c r="E588" s="93"/>
      <c r="F588" s="46">
        <v>140.0</v>
      </c>
      <c r="G588" s="48">
        <v>5.0</v>
      </c>
      <c r="H588" s="46">
        <v>60.0</v>
      </c>
      <c r="I588" s="93"/>
      <c r="J588" s="27">
        <v>90.0</v>
      </c>
      <c r="K588" s="54">
        <v>8.0</v>
      </c>
      <c r="L588" s="21">
        <v>60.0</v>
      </c>
      <c r="M588" s="93"/>
      <c r="N588" s="37"/>
      <c r="O588" s="93"/>
    </row>
    <row r="589">
      <c r="A589" s="37"/>
      <c r="B589" s="46">
        <v>170.0</v>
      </c>
      <c r="C589" s="48">
        <v>5.0</v>
      </c>
      <c r="D589" s="1">
        <v>30.0</v>
      </c>
      <c r="E589" s="93"/>
      <c r="F589" s="46">
        <v>150.0</v>
      </c>
      <c r="G589" s="48">
        <v>5.0</v>
      </c>
      <c r="H589" s="46">
        <v>30.0</v>
      </c>
      <c r="I589" s="93"/>
      <c r="J589" s="37"/>
      <c r="K589" s="93"/>
      <c r="L589" s="21">
        <v>30.0</v>
      </c>
      <c r="M589" s="93"/>
      <c r="N589" s="37"/>
      <c r="O589" s="93"/>
    </row>
    <row r="590">
      <c r="A590" s="37" t="s">
        <v>41</v>
      </c>
      <c r="B590" s="37"/>
      <c r="C590" s="93"/>
      <c r="D590" s="1">
        <v>30.0</v>
      </c>
      <c r="E590" s="54" t="s">
        <v>103</v>
      </c>
      <c r="F590" s="30"/>
      <c r="G590" s="93"/>
      <c r="H590" s="46">
        <v>60.0</v>
      </c>
      <c r="I590" s="93"/>
      <c r="J590" s="30"/>
      <c r="K590" s="93"/>
      <c r="L590" s="32"/>
      <c r="M590" s="93"/>
      <c r="N590" s="37"/>
      <c r="O590" s="93"/>
    </row>
    <row r="591">
      <c r="A591" s="37" t="s">
        <v>43</v>
      </c>
      <c r="B591" s="37"/>
      <c r="C591" s="95"/>
      <c r="D591" s="28" t="s">
        <v>101</v>
      </c>
      <c r="E591" s="95"/>
      <c r="F591" s="37"/>
      <c r="G591" s="95"/>
      <c r="H591" s="37" t="s">
        <v>140</v>
      </c>
      <c r="I591" s="93"/>
      <c r="J591" s="37"/>
      <c r="K591" s="93"/>
      <c r="L591" s="37" t="s">
        <v>140</v>
      </c>
      <c r="M591" s="93" t="s">
        <v>42</v>
      </c>
      <c r="N591" s="37"/>
      <c r="O591" s="93"/>
    </row>
    <row r="592">
      <c r="A592" s="37"/>
      <c r="B592" s="96" t="s">
        <v>25</v>
      </c>
      <c r="C592" s="97">
        <f>C586*B586 + B587*C587 + B588*C588 + B589*C589 + B591*C591</f>
        <v>3390</v>
      </c>
      <c r="D592" s="96" t="s">
        <v>25</v>
      </c>
      <c r="E592" s="99" t="str">
        <f>E586*D586 + D587*E587 + D588*E588 + D589*E589 + D591*E591</f>
        <v>#VALUE!</v>
      </c>
      <c r="F592" s="96" t="s">
        <v>25</v>
      </c>
      <c r="G592" s="97">
        <f>G586*F586 + F587*G587 + F588*G588 + F589*G589 + F591*G591</f>
        <v>2950</v>
      </c>
      <c r="H592" s="96" t="s">
        <v>25</v>
      </c>
      <c r="I592" s="100" t="str">
        <f>I586*H586 + H587*I587 + H588*I588 + H589*I589 + H591*I591</f>
        <v>#VALUE!</v>
      </c>
      <c r="J592" s="96" t="s">
        <v>25</v>
      </c>
      <c r="K592" s="97">
        <f>K586*J586 + J587*K587 + J588*K588 + J589*K589 + J591*K591</f>
        <v>2040</v>
      </c>
      <c r="L592" s="96" t="s">
        <v>25</v>
      </c>
      <c r="M592" s="97" t="str">
        <f>M586*L586 + L587*M587 + L588*M588 + L589*M589 + L591*M591</f>
        <v>#VALUE!</v>
      </c>
      <c r="N592" s="96" t="s">
        <v>25</v>
      </c>
      <c r="O592" s="97">
        <f>O586*N586 + N587*O587 + N588*O588 + N589*O589 + N591*O591</f>
        <v>0</v>
      </c>
    </row>
    <row r="593">
      <c r="A593" s="37" t="s">
        <v>116</v>
      </c>
      <c r="B593" s="64" t="s">
        <v>26</v>
      </c>
      <c r="C593" s="38">
        <f>(B587*C587 + B588*C588 + B589*C589 + B590*C590 + B591*C591)/SUM(C587:C591)</f>
        <v>159.375</v>
      </c>
      <c r="D593" s="64" t="s">
        <v>26</v>
      </c>
      <c r="E593" s="105" t="str">
        <f>(D586*E586 + D587*E587 + D588*E588 + D589*E589 + D591*E591)/SUM(E586:E591)</f>
        <v>#VALUE!</v>
      </c>
      <c r="F593" s="64" t="s">
        <v>26</v>
      </c>
      <c r="G593" s="38">
        <f>(F587*G587 + F588*G588 + F589*G589 + F590*G590 + F591*G591)/SUM(G587:G591)</f>
        <v>139.375</v>
      </c>
      <c r="H593" s="64" t="s">
        <v>26</v>
      </c>
      <c r="I593" s="105" t="str">
        <f>(H586*I586 + H587*I587 + H588*I588 + H589*I589 + H591*I591)/SUM(I586:I591)</f>
        <v>#VALUE!</v>
      </c>
      <c r="J593" s="64" t="s">
        <v>26</v>
      </c>
      <c r="K593" s="102">
        <f>(J587*K587 + J588*K588 + J589*K589 + J590*K590 + J591*K591)/SUM(K587:K591)</f>
        <v>87.5</v>
      </c>
      <c r="L593" s="64" t="s">
        <v>26</v>
      </c>
      <c r="M593" s="102" t="str">
        <f>(L586*M586 + L587*M587 + L588*M588 + L589*M589 + L591*M591)/SUM(M586:M591)</f>
        <v>#VALUE!</v>
      </c>
      <c r="N593" s="64" t="s">
        <v>26</v>
      </c>
      <c r="O593" s="102" t="str">
        <f>(N587*O587 + N588*O588 + N589*O589 + N590*O590 + N591*O591)/SUM(O587:O591)</f>
        <v>#DIV/0!</v>
      </c>
    </row>
    <row r="594">
      <c r="A594" s="37" t="s">
        <v>117</v>
      </c>
      <c r="B594" s="92" t="s">
        <v>118</v>
      </c>
      <c r="C594" s="91"/>
      <c r="D594" s="45"/>
      <c r="E594" s="91"/>
      <c r="F594" s="92" t="s">
        <v>119</v>
      </c>
      <c r="G594" s="91"/>
      <c r="H594" s="112"/>
      <c r="I594" s="91"/>
      <c r="J594" s="92" t="s">
        <v>71</v>
      </c>
      <c r="K594" s="91"/>
      <c r="L594" s="113" t="s">
        <v>105</v>
      </c>
      <c r="M594" s="91" t="s">
        <v>49</v>
      </c>
      <c r="N594" s="106"/>
      <c r="O594" s="107"/>
    </row>
    <row r="595">
      <c r="A595" s="37" t="s">
        <v>120</v>
      </c>
      <c r="B595" s="46">
        <v>70.0</v>
      </c>
      <c r="C595" s="109">
        <v>8.0</v>
      </c>
      <c r="D595" s="110">
        <v>30.0</v>
      </c>
      <c r="E595" s="93"/>
      <c r="F595" s="46">
        <v>45.0</v>
      </c>
      <c r="G595" s="109">
        <v>8.0</v>
      </c>
      <c r="H595" s="46">
        <v>60.0</v>
      </c>
      <c r="I595" s="93"/>
      <c r="J595" s="46">
        <v>72.5</v>
      </c>
      <c r="K595" s="109">
        <v>8.0</v>
      </c>
      <c r="L595" s="21">
        <v>40.0</v>
      </c>
      <c r="M595" s="93"/>
      <c r="N595" s="37"/>
      <c r="O595" s="93"/>
    </row>
    <row r="596">
      <c r="A596" s="37"/>
      <c r="B596" s="46">
        <v>72.5</v>
      </c>
      <c r="C596" s="109">
        <v>8.0</v>
      </c>
      <c r="D596" s="46">
        <v>40.0</v>
      </c>
      <c r="E596" s="93"/>
      <c r="F596" s="46">
        <v>50.0</v>
      </c>
      <c r="G596" s="109">
        <v>8.0</v>
      </c>
      <c r="H596" s="46">
        <v>30.0</v>
      </c>
      <c r="I596" s="93"/>
      <c r="J596" s="46">
        <v>75.0</v>
      </c>
      <c r="K596" s="109">
        <v>8.0</v>
      </c>
      <c r="L596" s="25">
        <v>60.0</v>
      </c>
      <c r="M596" s="93"/>
      <c r="N596" s="37"/>
      <c r="O596" s="93"/>
    </row>
    <row r="597">
      <c r="A597" s="37" t="s">
        <v>121</v>
      </c>
      <c r="B597" s="46">
        <v>75.0</v>
      </c>
      <c r="C597" s="109">
        <v>8.0</v>
      </c>
      <c r="D597" s="46">
        <v>80.0</v>
      </c>
      <c r="E597" s="93"/>
      <c r="F597" s="46">
        <v>55.0</v>
      </c>
      <c r="G597" s="109">
        <v>8.0</v>
      </c>
      <c r="H597" s="108">
        <v>60.0</v>
      </c>
      <c r="I597" s="93"/>
      <c r="J597" s="46">
        <v>77.5</v>
      </c>
      <c r="K597" s="109">
        <v>8.0</v>
      </c>
      <c r="L597" s="25">
        <v>30.0</v>
      </c>
      <c r="M597" s="93"/>
      <c r="N597" s="37"/>
      <c r="O597" s="93"/>
    </row>
    <row r="598">
      <c r="A598" s="37" t="s">
        <v>122</v>
      </c>
      <c r="B598" s="37"/>
      <c r="C598" s="95"/>
      <c r="D598" s="46">
        <v>60.0</v>
      </c>
      <c r="E598" s="95"/>
      <c r="F598" s="37"/>
      <c r="G598" s="95"/>
      <c r="H598" s="108">
        <v>30.0</v>
      </c>
      <c r="I598" s="95"/>
      <c r="J598" s="37"/>
      <c r="K598" s="93"/>
      <c r="L598" s="25">
        <v>30.0</v>
      </c>
      <c r="M598" s="93"/>
      <c r="N598" s="37"/>
      <c r="O598" s="93"/>
    </row>
    <row r="599">
      <c r="A599" s="37" t="s">
        <v>123</v>
      </c>
      <c r="B599" s="37"/>
      <c r="C599" s="95"/>
      <c r="D599" s="21"/>
      <c r="E599" s="95"/>
      <c r="F599" s="37"/>
      <c r="G599" s="95"/>
      <c r="H599" s="37"/>
      <c r="I599" s="95"/>
      <c r="J599" s="37"/>
      <c r="K599" s="93"/>
      <c r="L599" s="30"/>
      <c r="M599" s="93"/>
      <c r="N599" s="30"/>
      <c r="O599" s="93"/>
    </row>
    <row r="600">
      <c r="A600" s="37"/>
      <c r="B600" s="96" t="s">
        <v>25</v>
      </c>
      <c r="C600" s="99">
        <f>C595*B595 + B596*C596 + B597*C597 + B598*C598 + B599*C599</f>
        <v>1740</v>
      </c>
      <c r="D600" s="96" t="s">
        <v>25</v>
      </c>
      <c r="E600" s="99">
        <f>E595*D595 + D596*E596 + D597*E597 + D598*E598 + D599*E599</f>
        <v>0</v>
      </c>
      <c r="F600" s="96" t="s">
        <v>25</v>
      </c>
      <c r="G600" s="99">
        <f>G595*F595 + F596*G596 + F597*G597 + F598*G598 + F599*G599</f>
        <v>1200</v>
      </c>
      <c r="H600" s="96" t="s">
        <v>25</v>
      </c>
      <c r="I600" s="100">
        <f>I595*H595 + H596*I596 + H597*I597 + H598*I598 + H599*I599</f>
        <v>0</v>
      </c>
      <c r="J600" s="96" t="s">
        <v>25</v>
      </c>
      <c r="K600" s="97">
        <f>K595*J595 + J596*K596 + J597*K597 + J598*K598 + J599*K599</f>
        <v>1800</v>
      </c>
      <c r="L600" s="98" t="s">
        <v>25</v>
      </c>
      <c r="M600" s="111">
        <f>M595*L595 + L596*M596 + L597*M597 + L598*M598 + L599*M599</f>
        <v>0</v>
      </c>
      <c r="N600" s="98" t="s">
        <v>25</v>
      </c>
      <c r="O600" s="111">
        <f>O595*N595 + N596*O596 + N597*O597 + N598*O598 + N599*O599</f>
        <v>0</v>
      </c>
    </row>
    <row r="601">
      <c r="A601" s="37"/>
      <c r="B601" s="64" t="s">
        <v>26</v>
      </c>
      <c r="C601" s="102">
        <f>(B595*C595 + B596*C596 + B597*C597 + B598*C598 + B599*C599)/SUM(C595:C599)</f>
        <v>72.5</v>
      </c>
      <c r="D601" s="66" t="s">
        <v>26</v>
      </c>
      <c r="E601" s="102" t="str">
        <f>(D595*E595 + D596*E596 + D597*E597 + D598*E598 + D599*E599)/SUM(E595:E599)</f>
        <v>#DIV/0!</v>
      </c>
      <c r="F601" s="64" t="s">
        <v>26</v>
      </c>
      <c r="G601" s="102">
        <f>(F595*G595 + F596*G596 + F597*G597 + F598*G598 + F599*G599)/SUM(G595:G599)</f>
        <v>50</v>
      </c>
      <c r="H601" s="66" t="s">
        <v>26</v>
      </c>
      <c r="I601" s="102" t="str">
        <f>(H595*I595 + H596*I596 + H597*I597 + H598*I598 + H599*I599)/SUM(I595:I599)</f>
        <v>#DIV/0!</v>
      </c>
      <c r="J601" s="64" t="s">
        <v>26</v>
      </c>
      <c r="K601" s="102">
        <f>(J595*K595 + J596*K596 + J597*K597 + J598*K598 + J599*K599)/SUM(K595:K599)</f>
        <v>75</v>
      </c>
      <c r="L601" s="66" t="s">
        <v>26</v>
      </c>
      <c r="M601" s="102" t="str">
        <f>(L595*M595 + L596*M596 + L597*M597 + L598*M598 + L599*M599)/SUM(M595:M599)</f>
        <v>#DIV/0!</v>
      </c>
      <c r="N601" s="66" t="s">
        <v>26</v>
      </c>
      <c r="O601" s="102" t="str">
        <f>(N595*O595 + N596*O596 + N597*O597 + N598*O598 + N599*O599)/SUM(O599)</f>
        <v>#DIV/0!</v>
      </c>
    </row>
    <row r="602">
      <c r="A602" s="37" t="s">
        <v>124</v>
      </c>
      <c r="B602" s="28" t="s">
        <v>91</v>
      </c>
      <c r="C602" s="30" t="s">
        <v>49</v>
      </c>
      <c r="D602" s="37" t="s">
        <v>50</v>
      </c>
      <c r="E602" s="30" t="s">
        <v>49</v>
      </c>
      <c r="F602" s="37" t="s">
        <v>51</v>
      </c>
      <c r="G602" s="30" t="s">
        <v>49</v>
      </c>
      <c r="H602" s="28" t="s">
        <v>141</v>
      </c>
      <c r="I602" s="30" t="s">
        <v>49</v>
      </c>
      <c r="J602" s="28" t="s">
        <v>91</v>
      </c>
      <c r="K602" s="30" t="s">
        <v>49</v>
      </c>
      <c r="L602" s="37"/>
      <c r="M602" s="60" t="s">
        <v>49</v>
      </c>
      <c r="N602" s="37"/>
      <c r="O602" s="60" t="s">
        <v>49</v>
      </c>
    </row>
    <row r="603">
      <c r="A603" s="37" t="s">
        <v>125</v>
      </c>
      <c r="B603" s="27">
        <v>30.0</v>
      </c>
      <c r="C603" s="60"/>
      <c r="D603" s="30"/>
      <c r="E603" s="60"/>
      <c r="F603" s="37" t="s">
        <v>52</v>
      </c>
      <c r="G603" s="60"/>
      <c r="H603" s="30"/>
      <c r="I603" s="60"/>
      <c r="J603" s="27">
        <v>30.0</v>
      </c>
      <c r="K603" s="60"/>
      <c r="L603" s="37"/>
      <c r="M603" s="60"/>
      <c r="N603" s="37"/>
      <c r="O603" s="60"/>
    </row>
    <row r="604">
      <c r="A604" s="37"/>
      <c r="B604" s="27">
        <v>60.0</v>
      </c>
      <c r="C604" s="60"/>
      <c r="D604" s="30"/>
      <c r="E604" s="60"/>
      <c r="F604" s="37" t="s">
        <v>53</v>
      </c>
      <c r="G604" s="60"/>
      <c r="H604" s="30"/>
      <c r="I604" s="60"/>
      <c r="J604" s="27">
        <v>30.0</v>
      </c>
      <c r="K604" s="60"/>
      <c r="L604" s="37"/>
      <c r="M604" s="60"/>
      <c r="N604" s="37"/>
      <c r="O604" s="60"/>
    </row>
    <row r="605">
      <c r="A605" s="37"/>
      <c r="B605" s="28">
        <v>20.0</v>
      </c>
      <c r="C605" s="60"/>
      <c r="D605" s="30"/>
      <c r="E605" s="60"/>
      <c r="F605" s="37" t="s">
        <v>54</v>
      </c>
      <c r="G605" s="60"/>
      <c r="H605" s="30"/>
      <c r="I605" s="60"/>
      <c r="J605" s="28">
        <v>40.0</v>
      </c>
      <c r="K605" s="60"/>
      <c r="L605" s="30"/>
      <c r="M605" s="60"/>
      <c r="N605" s="30"/>
      <c r="O605" s="60"/>
    </row>
    <row r="606">
      <c r="A606" s="37"/>
      <c r="B606" s="28">
        <v>30.0</v>
      </c>
      <c r="C606" s="30"/>
      <c r="D606" s="37"/>
      <c r="E606" s="30"/>
      <c r="F606" s="37"/>
      <c r="G606" s="60"/>
      <c r="H606" s="30"/>
      <c r="I606" s="30"/>
      <c r="J606" s="28">
        <v>50.0</v>
      </c>
      <c r="K606" s="60"/>
      <c r="L606" s="30"/>
      <c r="M606" s="60"/>
      <c r="N606" s="30"/>
      <c r="O606" s="60"/>
    </row>
    <row r="607">
      <c r="A607" s="37"/>
      <c r="B607" s="37"/>
      <c r="C607" s="30"/>
      <c r="D607" s="37"/>
      <c r="E607" s="30"/>
      <c r="F607" s="37"/>
      <c r="G607" s="60"/>
      <c r="H607" s="37"/>
      <c r="I607" s="30"/>
      <c r="J607" s="37"/>
      <c r="K607" s="60"/>
      <c r="L607" s="30"/>
      <c r="M607" s="60"/>
      <c r="N607" s="30"/>
      <c r="O607" s="60"/>
    </row>
    <row r="608">
      <c r="A608" s="37"/>
      <c r="B608" s="37"/>
      <c r="C608" s="30"/>
      <c r="D608" s="37"/>
      <c r="E608" s="30"/>
      <c r="F608" s="37"/>
      <c r="G608" s="60"/>
      <c r="H608" s="30"/>
      <c r="I608" s="30"/>
      <c r="J608" s="37"/>
      <c r="K608" s="60"/>
      <c r="L608" s="30"/>
      <c r="M608" s="60"/>
      <c r="N608" s="30"/>
      <c r="O608" s="60"/>
    </row>
    <row r="609">
      <c r="A609" s="64"/>
      <c r="B609" s="64"/>
      <c r="C609" s="66"/>
      <c r="D609" s="64"/>
      <c r="E609" s="66"/>
      <c r="F609" s="64"/>
      <c r="G609" s="67"/>
      <c r="H609" s="66"/>
      <c r="I609" s="66"/>
      <c r="J609" s="64"/>
      <c r="K609" s="67"/>
      <c r="L609" s="66"/>
      <c r="M609" s="67"/>
      <c r="N609" s="66"/>
      <c r="O609" s="67"/>
    </row>
    <row r="611">
      <c r="A611" s="80" t="s">
        <v>2</v>
      </c>
      <c r="B611" s="81" t="s">
        <v>3</v>
      </c>
      <c r="C611" s="82">
        <f>O573+1</f>
        <v>45831</v>
      </c>
      <c r="D611" s="83" t="s">
        <v>4</v>
      </c>
      <c r="E611" s="84">
        <f>C611+1</f>
        <v>45832</v>
      </c>
      <c r="F611" s="81" t="s">
        <v>5</v>
      </c>
      <c r="G611" s="84">
        <f>E611+1</f>
        <v>45833</v>
      </c>
      <c r="H611" s="81" t="s">
        <v>6</v>
      </c>
      <c r="I611" s="84">
        <f>G611+1</f>
        <v>45834</v>
      </c>
      <c r="J611" s="81" t="s">
        <v>7</v>
      </c>
      <c r="K611" s="84">
        <f>I611+1</f>
        <v>45835</v>
      </c>
      <c r="L611" s="85" t="s">
        <v>8</v>
      </c>
      <c r="M611" s="86">
        <f>K611+1</f>
        <v>45836</v>
      </c>
      <c r="N611" s="85" t="s">
        <v>9</v>
      </c>
      <c r="O611" s="86">
        <f>M611+1</f>
        <v>45837</v>
      </c>
    </row>
    <row r="612">
      <c r="A612" s="87">
        <f>A574+1</f>
        <v>17</v>
      </c>
      <c r="B612" s="88" t="s">
        <v>10</v>
      </c>
      <c r="C612" s="89" t="s">
        <v>11</v>
      </c>
      <c r="D612" s="88" t="s">
        <v>10</v>
      </c>
      <c r="E612" s="89" t="s">
        <v>11</v>
      </c>
      <c r="F612" s="88" t="s">
        <v>10</v>
      </c>
      <c r="G612" s="89" t="s">
        <v>11</v>
      </c>
      <c r="H612" s="88" t="s">
        <v>10</v>
      </c>
      <c r="I612" s="89" t="s">
        <v>11</v>
      </c>
      <c r="J612" s="88" t="s">
        <v>10</v>
      </c>
      <c r="K612" s="89" t="s">
        <v>11</v>
      </c>
      <c r="L612" s="88" t="s">
        <v>10</v>
      </c>
      <c r="M612" s="89" t="s">
        <v>11</v>
      </c>
      <c r="N612" s="88" t="s">
        <v>10</v>
      </c>
      <c r="O612" s="89" t="s">
        <v>11</v>
      </c>
    </row>
    <row r="613">
      <c r="A613" s="37"/>
      <c r="B613" s="90"/>
      <c r="C613" s="15"/>
      <c r="D613" s="90"/>
      <c r="E613" s="15"/>
      <c r="F613" s="90"/>
      <c r="G613" s="15"/>
      <c r="H613" s="90"/>
      <c r="I613" s="15"/>
      <c r="J613" s="90"/>
      <c r="K613" s="15"/>
      <c r="L613" s="90"/>
      <c r="M613" s="15"/>
      <c r="N613" s="90"/>
      <c r="O613" s="15"/>
    </row>
    <row r="614">
      <c r="A614" s="37" t="s">
        <v>12</v>
      </c>
      <c r="B614" s="20" t="s">
        <v>145</v>
      </c>
      <c r="C614" s="76"/>
      <c r="D614" s="18" t="s">
        <v>14</v>
      </c>
      <c r="E614" s="17"/>
      <c r="F614" s="20" t="s">
        <v>146</v>
      </c>
      <c r="G614" s="17"/>
      <c r="H614" s="18" t="s">
        <v>14</v>
      </c>
      <c r="I614" s="17"/>
      <c r="J614" s="20" t="s">
        <v>145</v>
      </c>
      <c r="K614" s="76"/>
      <c r="L614" s="72" t="s">
        <v>14</v>
      </c>
      <c r="M614" s="91"/>
      <c r="N614" s="92" t="s">
        <v>17</v>
      </c>
      <c r="O614" s="91"/>
    </row>
    <row r="615">
      <c r="A615" s="37"/>
      <c r="B615" s="46">
        <v>80.0</v>
      </c>
      <c r="C615" s="48">
        <v>4.0</v>
      </c>
      <c r="D615" s="1" t="s">
        <v>129</v>
      </c>
      <c r="E615" s="24" t="s">
        <v>77</v>
      </c>
      <c r="F615" s="46">
        <v>120.0</v>
      </c>
      <c r="G615" s="48">
        <v>5.0</v>
      </c>
      <c r="H615" s="1" t="s">
        <v>147</v>
      </c>
      <c r="I615" s="54" t="s">
        <v>81</v>
      </c>
      <c r="J615" s="46">
        <v>82.5</v>
      </c>
      <c r="K615" s="48">
        <v>4.0</v>
      </c>
      <c r="L615" s="52" t="s">
        <v>79</v>
      </c>
      <c r="M615" s="93"/>
      <c r="N615" s="37"/>
      <c r="O615" s="93"/>
    </row>
    <row r="616">
      <c r="A616" s="37" t="s">
        <v>20</v>
      </c>
      <c r="B616" s="46">
        <v>85.0</v>
      </c>
      <c r="C616" s="48">
        <v>3.0</v>
      </c>
      <c r="D616" s="23" t="s">
        <v>80</v>
      </c>
      <c r="E616" s="26" t="s">
        <v>81</v>
      </c>
      <c r="F616" s="46">
        <v>130.0</v>
      </c>
      <c r="G616" s="48">
        <v>4.0</v>
      </c>
      <c r="H616" s="1" t="s">
        <v>148</v>
      </c>
      <c r="I616" s="26"/>
      <c r="J616" s="46">
        <v>87.5</v>
      </c>
      <c r="K616" s="48">
        <v>3.0</v>
      </c>
      <c r="L616" s="32" t="s">
        <v>82</v>
      </c>
      <c r="M616" s="93"/>
      <c r="N616" s="37"/>
      <c r="O616" s="93"/>
    </row>
    <row r="617">
      <c r="A617" s="94" t="s">
        <v>22</v>
      </c>
      <c r="B617" s="46">
        <v>87.5</v>
      </c>
      <c r="C617" s="48">
        <v>3.0</v>
      </c>
      <c r="D617" s="1" t="s">
        <v>132</v>
      </c>
      <c r="E617" s="26" t="s">
        <v>84</v>
      </c>
      <c r="F617" s="46">
        <v>135.0</v>
      </c>
      <c r="G617" s="48">
        <v>3.0</v>
      </c>
      <c r="H617" s="1"/>
      <c r="I617" s="26"/>
      <c r="J617" s="46">
        <v>90.0</v>
      </c>
      <c r="K617" s="48">
        <v>3.0</v>
      </c>
      <c r="L617" s="30"/>
      <c r="M617" s="93"/>
      <c r="N617" s="30"/>
      <c r="O617" s="93"/>
    </row>
    <row r="618">
      <c r="A618" s="37" t="s">
        <v>23</v>
      </c>
      <c r="B618" s="46"/>
      <c r="C618" s="48"/>
      <c r="D618" s="1" t="s">
        <v>149</v>
      </c>
      <c r="E618" s="54" t="s">
        <v>150</v>
      </c>
      <c r="F618" s="47"/>
      <c r="G618" s="48"/>
      <c r="H618" s="1" t="s">
        <v>149</v>
      </c>
      <c r="I618" s="26"/>
      <c r="J618" s="37"/>
      <c r="K618" s="93"/>
      <c r="L618" s="30"/>
      <c r="M618" s="93"/>
      <c r="N618" s="37"/>
      <c r="O618" s="93"/>
    </row>
    <row r="619">
      <c r="A619" s="37"/>
      <c r="B619" s="37"/>
      <c r="C619" s="93"/>
      <c r="D619" s="33" t="s">
        <v>151</v>
      </c>
      <c r="E619" s="26"/>
      <c r="F619" s="37"/>
      <c r="G619" s="95"/>
      <c r="H619" s="33" t="s">
        <v>152</v>
      </c>
      <c r="I619" s="26"/>
      <c r="J619" s="37"/>
      <c r="K619" s="93"/>
      <c r="L619" s="37"/>
      <c r="M619" s="93"/>
      <c r="N619" s="37"/>
      <c r="O619" s="93"/>
    </row>
    <row r="620">
      <c r="A620" s="37" t="s">
        <v>113</v>
      </c>
      <c r="B620" s="96" t="s">
        <v>25</v>
      </c>
      <c r="C620" s="97">
        <f>C615*B615 + B616*C616 + B617*C617 + B618*C618 + B619*C619</f>
        <v>837.5</v>
      </c>
      <c r="D620" s="98" t="s">
        <v>25</v>
      </c>
      <c r="E620" s="99" t="str">
        <f>E615*D615 + D616*#REF! + E616*E617 + D618*E618 + D619*E619</f>
        <v>#VALUE!</v>
      </c>
      <c r="F620" s="96" t="s">
        <v>25</v>
      </c>
      <c r="G620" s="97">
        <f>G615*F615 + F616*G616 + F617*G617 + F618*G618 + F619*G619</f>
        <v>1525</v>
      </c>
      <c r="H620" s="96" t="s">
        <v>25</v>
      </c>
      <c r="I620" s="100" t="str">
        <f>I615*H615 + H616*I616 + H617*I617 + H618*I618 + H619*I619</f>
        <v>#VALUE!</v>
      </c>
      <c r="J620" s="96" t="s">
        <v>25</v>
      </c>
      <c r="K620" s="97">
        <f>K615*J615 + J616*K616 + J617*K617 + J618*K618 + J619*K619</f>
        <v>862.5</v>
      </c>
      <c r="L620" s="96" t="s">
        <v>25</v>
      </c>
      <c r="M620" s="97" t="str">
        <f>M615*L615 + L616*M616 + L617*M617 + L618*M618 + L619*M619</f>
        <v>#VALUE!</v>
      </c>
      <c r="N620" s="96" t="s">
        <v>25</v>
      </c>
      <c r="O620" s="97">
        <f>O615*N615 + N616*O616 + N617*O617 + N618*O618 + N619*O619</f>
        <v>0</v>
      </c>
    </row>
    <row r="621">
      <c r="A621" s="37"/>
      <c r="B621" s="37" t="s">
        <v>26</v>
      </c>
      <c r="C621" s="38">
        <f>(B615*C615 + B616*C616 + B617*C617 + B618*C618 + B619*C619)/SUM(C615:C619)</f>
        <v>83.75</v>
      </c>
      <c r="D621" s="30" t="s">
        <v>26</v>
      </c>
      <c r="E621" s="101" t="str">
        <f>(D615*E615 + D616*#REF! + E616*E617 + D618*E618 + D619*E619)/SUM(E615:E619)</f>
        <v>#VALUE!</v>
      </c>
      <c r="F621" s="37" t="s">
        <v>26</v>
      </c>
      <c r="G621" s="102">
        <f>(F615*G615 + F616*G616 + F617*G617 + F618*G618 + F619*G619)/SUM(G615:G619)</f>
        <v>127.0833333</v>
      </c>
      <c r="H621" s="37" t="s">
        <v>26</v>
      </c>
      <c r="I621" s="101" t="str">
        <f>(H615*I615 + H616*I616 + H617*I617 + H618*I618 + H619*I619)/SUM(I615:I619)</f>
        <v>#VALUE!</v>
      </c>
      <c r="J621" s="64" t="s">
        <v>26</v>
      </c>
      <c r="K621" s="38">
        <f>(J615*K615 + J616*K616 + J617*K617 + J618*K618 + J619*K619)/SUM(K615:K619)</f>
        <v>86.25</v>
      </c>
      <c r="L621" s="37" t="s">
        <v>26</v>
      </c>
      <c r="M621" s="103" t="str">
        <f>(L615*M615 + L616*M616 + L617*M617 + L618*M618 + L619*M619)/SUM(M615:M619)</f>
        <v>#VALUE!</v>
      </c>
      <c r="N621" s="37" t="s">
        <v>26</v>
      </c>
      <c r="O621" s="102" t="str">
        <f>(N615*O615 + N616*O616 + N617*O617 + N618*O618 + N619*O619)/SUM(O615:O619)</f>
        <v>#DIV/0!</v>
      </c>
    </row>
    <row r="622">
      <c r="A622" s="37" t="s">
        <v>27</v>
      </c>
      <c r="B622" s="88" t="s">
        <v>10</v>
      </c>
      <c r="C622" s="89" t="s">
        <v>11</v>
      </c>
      <c r="D622" s="88" t="s">
        <v>10</v>
      </c>
      <c r="E622" s="89" t="s">
        <v>11</v>
      </c>
      <c r="F622" s="88" t="s">
        <v>10</v>
      </c>
      <c r="G622" s="89" t="s">
        <v>11</v>
      </c>
      <c r="H622" s="88" t="s">
        <v>10</v>
      </c>
      <c r="I622" s="89" t="s">
        <v>11</v>
      </c>
      <c r="J622" s="88" t="s">
        <v>10</v>
      </c>
      <c r="K622" s="89" t="s">
        <v>11</v>
      </c>
      <c r="L622" s="88" t="s">
        <v>10</v>
      </c>
      <c r="M622" s="89" t="s">
        <v>11</v>
      </c>
      <c r="N622" s="88" t="s">
        <v>10</v>
      </c>
      <c r="O622" s="89" t="s">
        <v>11</v>
      </c>
    </row>
    <row r="623">
      <c r="A623" s="104" t="s">
        <v>28</v>
      </c>
      <c r="B623" s="20" t="s">
        <v>133</v>
      </c>
      <c r="C623" s="17"/>
      <c r="D623" s="45" t="s">
        <v>91</v>
      </c>
      <c r="E623" s="91" t="s">
        <v>49</v>
      </c>
      <c r="F623" s="20" t="s">
        <v>144</v>
      </c>
      <c r="G623" s="17"/>
      <c r="H623" s="70" t="s">
        <v>91</v>
      </c>
      <c r="I623" s="91" t="s">
        <v>90</v>
      </c>
      <c r="J623" s="70" t="s">
        <v>135</v>
      </c>
      <c r="K623" s="17"/>
      <c r="L623" s="42" t="s">
        <v>91</v>
      </c>
      <c r="M623" s="91" t="s">
        <v>90</v>
      </c>
      <c r="N623" s="92"/>
      <c r="O623" s="91"/>
    </row>
    <row r="624">
      <c r="A624" s="37"/>
      <c r="B624" s="46">
        <v>150.0</v>
      </c>
      <c r="C624" s="48">
        <v>5.0</v>
      </c>
      <c r="D624" s="1">
        <v>40.0</v>
      </c>
      <c r="E624" s="93"/>
      <c r="F624" s="46">
        <v>130.0</v>
      </c>
      <c r="G624" s="48">
        <v>5.0</v>
      </c>
      <c r="H624" s="46"/>
      <c r="I624" s="93"/>
      <c r="J624" s="28">
        <v>85.0</v>
      </c>
      <c r="K624" s="54">
        <v>6.0</v>
      </c>
      <c r="L624" s="21">
        <v>30.0</v>
      </c>
      <c r="M624" s="93"/>
      <c r="N624" s="37"/>
      <c r="O624" s="93"/>
    </row>
    <row r="625">
      <c r="A625" s="37" t="s">
        <v>37</v>
      </c>
      <c r="B625" s="46">
        <v>160.0</v>
      </c>
      <c r="C625" s="48">
        <v>5.0</v>
      </c>
      <c r="D625" s="1">
        <v>80.0</v>
      </c>
      <c r="E625" s="93"/>
      <c r="F625" s="46">
        <v>140.0</v>
      </c>
      <c r="G625" s="48">
        <v>5.0</v>
      </c>
      <c r="H625" s="108"/>
      <c r="I625" s="93"/>
      <c r="J625" s="27">
        <v>90.0</v>
      </c>
      <c r="K625" s="54">
        <v>6.0</v>
      </c>
      <c r="L625" s="21">
        <v>40.0</v>
      </c>
      <c r="M625" s="93"/>
      <c r="N625" s="37"/>
      <c r="O625" s="93"/>
    </row>
    <row r="626">
      <c r="A626" s="37" t="s">
        <v>39</v>
      </c>
      <c r="B626" s="46">
        <v>170.0</v>
      </c>
      <c r="C626" s="48">
        <v>5.0</v>
      </c>
      <c r="D626" s="1">
        <v>60.0</v>
      </c>
      <c r="E626" s="93"/>
      <c r="F626" s="46">
        <v>150.0</v>
      </c>
      <c r="G626" s="48">
        <v>5.0</v>
      </c>
      <c r="H626" s="46"/>
      <c r="I626" s="93"/>
      <c r="J626" s="27">
        <v>95.0</v>
      </c>
      <c r="K626" s="54">
        <v>6.0</v>
      </c>
      <c r="L626" s="21">
        <v>60.0</v>
      </c>
      <c r="M626" s="93"/>
      <c r="N626" s="37"/>
      <c r="O626" s="93"/>
    </row>
    <row r="627">
      <c r="A627" s="37"/>
      <c r="B627" s="46">
        <v>180.0</v>
      </c>
      <c r="C627" s="48">
        <v>5.0</v>
      </c>
      <c r="D627" s="1">
        <v>30.0</v>
      </c>
      <c r="E627" s="93"/>
      <c r="F627" s="46">
        <v>160.0</v>
      </c>
      <c r="G627" s="48">
        <v>5.0</v>
      </c>
      <c r="H627" s="46"/>
      <c r="I627" s="93"/>
      <c r="J627" s="37"/>
      <c r="K627" s="93"/>
      <c r="L627" s="21">
        <v>30.0</v>
      </c>
      <c r="M627" s="93"/>
      <c r="N627" s="37"/>
      <c r="O627" s="93"/>
    </row>
    <row r="628">
      <c r="A628" s="37" t="s">
        <v>41</v>
      </c>
      <c r="B628" s="37"/>
      <c r="C628" s="93"/>
      <c r="D628" s="1">
        <v>30.0</v>
      </c>
      <c r="E628" s="54" t="s">
        <v>103</v>
      </c>
      <c r="F628" s="30"/>
      <c r="G628" s="93"/>
      <c r="H628" s="46"/>
      <c r="I628" s="93"/>
      <c r="J628" s="30"/>
      <c r="K628" s="93"/>
      <c r="L628" s="32"/>
      <c r="M628" s="93"/>
      <c r="N628" s="37"/>
      <c r="O628" s="93"/>
    </row>
    <row r="629">
      <c r="A629" s="37" t="s">
        <v>43</v>
      </c>
      <c r="B629" s="37"/>
      <c r="C629" s="95"/>
      <c r="D629" s="28" t="s">
        <v>101</v>
      </c>
      <c r="E629" s="95"/>
      <c r="F629" s="37"/>
      <c r="G629" s="95"/>
      <c r="H629" s="37" t="s">
        <v>140</v>
      </c>
      <c r="I629" s="93"/>
      <c r="J629" s="37"/>
      <c r="K629" s="93"/>
      <c r="L629" s="37" t="s">
        <v>140</v>
      </c>
      <c r="M629" s="93" t="s">
        <v>42</v>
      </c>
      <c r="N629" s="37"/>
      <c r="O629" s="93"/>
    </row>
    <row r="630">
      <c r="A630" s="37"/>
      <c r="B630" s="96" t="s">
        <v>25</v>
      </c>
      <c r="C630" s="97">
        <f>C624*B624 + B625*C625 + B626*C626 + B627*C627 + B629*C629</f>
        <v>3300</v>
      </c>
      <c r="D630" s="96" t="s">
        <v>25</v>
      </c>
      <c r="E630" s="99" t="str">
        <f>E624*D624 + D625*E625 + D626*E626 + D627*E627 + D629*E629</f>
        <v>#VALUE!</v>
      </c>
      <c r="F630" s="96" t="s">
        <v>25</v>
      </c>
      <c r="G630" s="97">
        <f>G624*F624 + F625*G625 + F626*G626 + F627*G627 + F629*G629</f>
        <v>2900</v>
      </c>
      <c r="H630" s="96" t="s">
        <v>25</v>
      </c>
      <c r="I630" s="100" t="str">
        <f>I624*H624 + H625*I625 + H626*I626 + H627*I627 + H629*I629</f>
        <v>#VALUE!</v>
      </c>
      <c r="J630" s="96" t="s">
        <v>25</v>
      </c>
      <c r="K630" s="97">
        <f>K624*J624 + J625*K625 + J626*K626 + J627*K627 + J629*K629</f>
        <v>1620</v>
      </c>
      <c r="L630" s="96" t="s">
        <v>25</v>
      </c>
      <c r="M630" s="97" t="str">
        <f>M624*L624 + L625*M625 + L626*M626 + L627*M627 + L629*M629</f>
        <v>#VALUE!</v>
      </c>
      <c r="N630" s="96" t="s">
        <v>25</v>
      </c>
      <c r="O630" s="97">
        <f>O624*N624 + N625*O625 + N626*O626 + N627*O627 + N629*O629</f>
        <v>0</v>
      </c>
    </row>
    <row r="631">
      <c r="A631" s="37" t="s">
        <v>116</v>
      </c>
      <c r="B631" s="64" t="s">
        <v>26</v>
      </c>
      <c r="C631" s="38">
        <f>(B625*C625 + B626*C626 + B627*C627 + B628*C628 + B629*C629)/SUM(C625:C629)</f>
        <v>170</v>
      </c>
      <c r="D631" s="64" t="s">
        <v>26</v>
      </c>
      <c r="E631" s="105" t="str">
        <f>(D624*E624 + D625*E625 + D626*E626 + D627*E627 + D629*E629)/SUM(E624:E629)</f>
        <v>#VALUE!</v>
      </c>
      <c r="F631" s="64" t="s">
        <v>26</v>
      </c>
      <c r="G631" s="38">
        <f>(F625*G625 + F626*G626 + F627*G627 + F628*G628 + F629*G629)/SUM(G625:G629)</f>
        <v>150</v>
      </c>
      <c r="H631" s="64" t="s">
        <v>26</v>
      </c>
      <c r="I631" s="105" t="str">
        <f>(H624*I624 + H625*I625 + H626*I626 + H627*I627 + H629*I629)/SUM(I624:I629)</f>
        <v>#VALUE!</v>
      </c>
      <c r="J631" s="64" t="s">
        <v>26</v>
      </c>
      <c r="K631" s="102">
        <f>(J625*K625 + J626*K626 + J627*K627 + J628*K628 + J629*K629)/SUM(K625:K629)</f>
        <v>92.5</v>
      </c>
      <c r="L631" s="64" t="s">
        <v>26</v>
      </c>
      <c r="M631" s="102" t="str">
        <f>(L624*M624 + L625*M625 + L626*M626 + L627*M627 + L629*M629)/SUM(M624:M629)</f>
        <v>#VALUE!</v>
      </c>
      <c r="N631" s="64" t="s">
        <v>26</v>
      </c>
      <c r="O631" s="102" t="str">
        <f>(N625*O625 + N626*O626 + N627*O627 + N628*O628 + N629*O629)/SUM(O625:O629)</f>
        <v>#DIV/0!</v>
      </c>
    </row>
    <row r="632">
      <c r="A632" s="37" t="s">
        <v>117</v>
      </c>
      <c r="B632" s="92" t="s">
        <v>118</v>
      </c>
      <c r="C632" s="91"/>
      <c r="D632" s="45"/>
      <c r="E632" s="91"/>
      <c r="F632" s="92" t="s">
        <v>119</v>
      </c>
      <c r="G632" s="91"/>
      <c r="H632" s="112"/>
      <c r="I632" s="91"/>
      <c r="J632" s="92" t="s">
        <v>71</v>
      </c>
      <c r="K632" s="91"/>
      <c r="L632" s="113" t="s">
        <v>105</v>
      </c>
      <c r="M632" s="91" t="s">
        <v>49</v>
      </c>
      <c r="N632" s="106"/>
      <c r="O632" s="107"/>
    </row>
    <row r="633">
      <c r="A633" s="37" t="s">
        <v>120</v>
      </c>
      <c r="B633" s="46">
        <v>75.0</v>
      </c>
      <c r="C633" s="109">
        <v>8.0</v>
      </c>
      <c r="D633" s="110">
        <v>30.0</v>
      </c>
      <c r="E633" s="93"/>
      <c r="F633" s="46">
        <v>50.0</v>
      </c>
      <c r="G633" s="109">
        <v>8.0</v>
      </c>
      <c r="H633" s="46"/>
      <c r="I633" s="93"/>
      <c r="J633" s="46">
        <v>77.5</v>
      </c>
      <c r="K633" s="109">
        <v>8.0</v>
      </c>
      <c r="L633" s="21">
        <v>40.0</v>
      </c>
      <c r="M633" s="93"/>
      <c r="N633" s="37"/>
      <c r="O633" s="93"/>
    </row>
    <row r="634">
      <c r="A634" s="37"/>
      <c r="B634" s="46">
        <v>80.0</v>
      </c>
      <c r="C634" s="109">
        <v>8.0</v>
      </c>
      <c r="D634" s="46">
        <v>40.0</v>
      </c>
      <c r="E634" s="93"/>
      <c r="F634" s="46">
        <v>55.0</v>
      </c>
      <c r="G634" s="109">
        <v>8.0</v>
      </c>
      <c r="H634" s="46"/>
      <c r="I634" s="93"/>
      <c r="J634" s="46">
        <v>80.0</v>
      </c>
      <c r="K634" s="109">
        <v>8.0</v>
      </c>
      <c r="L634" s="25">
        <v>60.0</v>
      </c>
      <c r="M634" s="93"/>
      <c r="N634" s="37"/>
      <c r="O634" s="93"/>
    </row>
    <row r="635">
      <c r="A635" s="37" t="s">
        <v>121</v>
      </c>
      <c r="B635" s="46">
        <v>82.5</v>
      </c>
      <c r="C635" s="109">
        <v>8.0</v>
      </c>
      <c r="D635" s="46">
        <v>80.0</v>
      </c>
      <c r="E635" s="93"/>
      <c r="F635" s="46">
        <v>60.0</v>
      </c>
      <c r="G635" s="109">
        <v>8.0</v>
      </c>
      <c r="H635" s="108"/>
      <c r="I635" s="93"/>
      <c r="J635" s="46">
        <v>82.5</v>
      </c>
      <c r="K635" s="109">
        <v>8.0</v>
      </c>
      <c r="L635" s="25">
        <v>30.0</v>
      </c>
      <c r="M635" s="93"/>
      <c r="N635" s="37"/>
      <c r="O635" s="93"/>
    </row>
    <row r="636">
      <c r="A636" s="37" t="s">
        <v>122</v>
      </c>
      <c r="B636" s="37"/>
      <c r="C636" s="95"/>
      <c r="D636" s="46">
        <v>60.0</v>
      </c>
      <c r="E636" s="95"/>
      <c r="F636" s="37"/>
      <c r="G636" s="95"/>
      <c r="H636" s="108"/>
      <c r="I636" s="95"/>
      <c r="J636" s="37"/>
      <c r="K636" s="93"/>
      <c r="L636" s="25">
        <v>30.0</v>
      </c>
      <c r="M636" s="93"/>
      <c r="N636" s="37"/>
      <c r="O636" s="93"/>
    </row>
    <row r="637">
      <c r="A637" s="37" t="s">
        <v>123</v>
      </c>
      <c r="B637" s="37"/>
      <c r="C637" s="95"/>
      <c r="D637" s="21"/>
      <c r="E637" s="95"/>
      <c r="F637" s="37"/>
      <c r="G637" s="95"/>
      <c r="H637" s="37"/>
      <c r="I637" s="95"/>
      <c r="J637" s="37"/>
      <c r="K637" s="93"/>
      <c r="L637" s="30"/>
      <c r="M637" s="93"/>
      <c r="N637" s="30"/>
      <c r="O637" s="93"/>
    </row>
    <row r="638">
      <c r="A638" s="37"/>
      <c r="B638" s="96" t="s">
        <v>25</v>
      </c>
      <c r="C638" s="99">
        <f>C633*B633 + B634*C634 + B635*C635 + B636*C636 + B637*C637</f>
        <v>1900</v>
      </c>
      <c r="D638" s="96" t="s">
        <v>25</v>
      </c>
      <c r="E638" s="99">
        <f>E633*D633 + D634*E634 + D635*E635 + D636*E636 + D637*E637</f>
        <v>0</v>
      </c>
      <c r="F638" s="96" t="s">
        <v>25</v>
      </c>
      <c r="G638" s="99">
        <f>G633*F633 + F634*G634 + F635*G635 + F636*G636 + F637*G637</f>
        <v>1320</v>
      </c>
      <c r="H638" s="96" t="s">
        <v>25</v>
      </c>
      <c r="I638" s="100">
        <f>I633*H633 + H634*I634 + H635*I635 + H636*I636 + H637*I637</f>
        <v>0</v>
      </c>
      <c r="J638" s="96" t="s">
        <v>25</v>
      </c>
      <c r="K638" s="97">
        <f>K633*J633 + J634*K634 + J635*K635 + J636*K636 + J637*K637</f>
        <v>1920</v>
      </c>
      <c r="L638" s="98" t="s">
        <v>25</v>
      </c>
      <c r="M638" s="111">
        <f>M633*L633 + L634*M634 + L635*M635 + L636*M636 + L637*M637</f>
        <v>0</v>
      </c>
      <c r="N638" s="98" t="s">
        <v>25</v>
      </c>
      <c r="O638" s="111">
        <f>O633*N633 + N634*O634 + N635*O635 + N636*O636 + N637*O637</f>
        <v>0</v>
      </c>
    </row>
    <row r="639">
      <c r="A639" s="37"/>
      <c r="B639" s="64" t="s">
        <v>26</v>
      </c>
      <c r="C639" s="102">
        <f>(B633*C633 + B634*C634 + B635*C635 + B636*C636 + B637*C637)/SUM(C633:C637)</f>
        <v>79.16666667</v>
      </c>
      <c r="D639" s="66" t="s">
        <v>26</v>
      </c>
      <c r="E639" s="102" t="str">
        <f>(D633*E633 + D634*E634 + D635*E635 + D636*E636 + D637*E637)/SUM(E633:E637)</f>
        <v>#DIV/0!</v>
      </c>
      <c r="F639" s="64" t="s">
        <v>26</v>
      </c>
      <c r="G639" s="102">
        <f>(F633*G633 + F634*G634 + F635*G635 + F636*G636 + F637*G637)/SUM(G633:G637)</f>
        <v>55</v>
      </c>
      <c r="H639" s="66" t="s">
        <v>26</v>
      </c>
      <c r="I639" s="102" t="str">
        <f>(H633*I633 + H634*I634 + H635*I635 + H636*I636 + H637*I637)/SUM(I633:I637)</f>
        <v>#DIV/0!</v>
      </c>
      <c r="J639" s="64" t="s">
        <v>26</v>
      </c>
      <c r="K639" s="102">
        <f>(J633*K633 + J634*K634 + J635*K635 + J636*K636 + J637*K637)/SUM(K633:K637)</f>
        <v>80</v>
      </c>
      <c r="L639" s="66" t="s">
        <v>26</v>
      </c>
      <c r="M639" s="102" t="str">
        <f>(L633*M633 + L634*M634 + L635*M635 + L636*M636 + L637*M637)/SUM(M633:M637)</f>
        <v>#DIV/0!</v>
      </c>
      <c r="N639" s="66" t="s">
        <v>26</v>
      </c>
      <c r="O639" s="102" t="str">
        <f>(N633*O633 + N634*O634 + N635*O635 + N636*O636 + N637*O637)/SUM(O637)</f>
        <v>#DIV/0!</v>
      </c>
    </row>
    <row r="640">
      <c r="A640" s="37" t="s">
        <v>124</v>
      </c>
      <c r="B640" s="28" t="s">
        <v>91</v>
      </c>
      <c r="C640" s="30" t="s">
        <v>49</v>
      </c>
      <c r="D640" s="37" t="s">
        <v>50</v>
      </c>
      <c r="E640" s="30" t="s">
        <v>49</v>
      </c>
      <c r="F640" s="37" t="s">
        <v>51</v>
      </c>
      <c r="G640" s="30" t="s">
        <v>49</v>
      </c>
      <c r="H640" s="28" t="s">
        <v>50</v>
      </c>
      <c r="I640" s="30" t="s">
        <v>49</v>
      </c>
      <c r="J640" s="28" t="s">
        <v>91</v>
      </c>
      <c r="K640" s="30" t="s">
        <v>49</v>
      </c>
      <c r="L640" s="37"/>
      <c r="M640" s="60" t="s">
        <v>49</v>
      </c>
      <c r="N640" s="37"/>
      <c r="O640" s="60" t="s">
        <v>49</v>
      </c>
    </row>
    <row r="641">
      <c r="A641" s="37" t="s">
        <v>125</v>
      </c>
      <c r="B641" s="27">
        <v>30.0</v>
      </c>
      <c r="C641" s="60"/>
      <c r="D641" s="30"/>
      <c r="E641" s="60"/>
      <c r="F641" s="27">
        <v>60.0</v>
      </c>
      <c r="G641" s="60"/>
      <c r="H641" s="27" t="s">
        <v>153</v>
      </c>
      <c r="I641" s="60"/>
      <c r="J641" s="27">
        <v>30.0</v>
      </c>
      <c r="K641" s="60"/>
      <c r="L641" s="37"/>
      <c r="M641" s="60"/>
      <c r="N641" s="37"/>
      <c r="O641" s="60"/>
    </row>
    <row r="642">
      <c r="A642" s="37"/>
      <c r="B642" s="27">
        <v>60.0</v>
      </c>
      <c r="C642" s="60"/>
      <c r="D642" s="30"/>
      <c r="E642" s="60"/>
      <c r="F642" s="69">
        <v>40.0</v>
      </c>
      <c r="G642" s="60"/>
      <c r="H642" s="27" t="s">
        <v>154</v>
      </c>
      <c r="I642" s="60"/>
      <c r="J642" s="27">
        <v>30.0</v>
      </c>
      <c r="K642" s="60"/>
      <c r="L642" s="37"/>
      <c r="M642" s="60"/>
      <c r="N642" s="37"/>
      <c r="O642" s="60"/>
    </row>
    <row r="643">
      <c r="A643" s="37"/>
      <c r="B643" s="28">
        <v>20.0</v>
      </c>
      <c r="C643" s="60"/>
      <c r="D643" s="30"/>
      <c r="E643" s="60"/>
      <c r="F643" s="1">
        <v>30.0</v>
      </c>
      <c r="G643" s="60"/>
      <c r="H643" s="28" t="s">
        <v>155</v>
      </c>
      <c r="I643" s="60"/>
      <c r="J643" s="28">
        <v>40.0</v>
      </c>
      <c r="K643" s="60"/>
      <c r="L643" s="30"/>
      <c r="M643" s="60"/>
      <c r="N643" s="30"/>
      <c r="O643" s="60"/>
    </row>
    <row r="644">
      <c r="A644" s="37"/>
      <c r="B644" s="28">
        <v>30.0</v>
      </c>
      <c r="C644" s="30"/>
      <c r="D644" s="37"/>
      <c r="E644" s="30"/>
      <c r="F644" s="28">
        <v>20.0</v>
      </c>
      <c r="G644" s="60"/>
      <c r="H644" s="28" t="s">
        <v>156</v>
      </c>
      <c r="I644" s="1"/>
      <c r="J644" s="28">
        <v>50.0</v>
      </c>
      <c r="K644" s="60"/>
      <c r="L644" s="30"/>
      <c r="M644" s="60"/>
      <c r="N644" s="30"/>
      <c r="O644" s="60"/>
    </row>
    <row r="645">
      <c r="A645" s="37"/>
      <c r="B645" s="37"/>
      <c r="C645" s="30"/>
      <c r="D645" s="37"/>
      <c r="E645" s="30"/>
      <c r="F645" s="37"/>
      <c r="G645" s="60"/>
      <c r="H645" s="28" t="s">
        <v>157</v>
      </c>
      <c r="I645" s="1"/>
      <c r="J645" s="37"/>
      <c r="K645" s="60"/>
      <c r="L645" s="30"/>
      <c r="M645" s="60"/>
      <c r="N645" s="30"/>
      <c r="O645" s="60"/>
    </row>
    <row r="646">
      <c r="A646" s="37"/>
      <c r="B646" s="37"/>
      <c r="C646" s="30"/>
      <c r="D646" s="37"/>
      <c r="E646" s="30"/>
      <c r="F646" s="37"/>
      <c r="G646" s="60"/>
      <c r="H646" s="30"/>
      <c r="I646" s="30"/>
      <c r="J646" s="37"/>
      <c r="K646" s="60"/>
      <c r="L646" s="30"/>
      <c r="M646" s="60"/>
      <c r="N646" s="30"/>
      <c r="O646" s="60"/>
    </row>
    <row r="647">
      <c r="A647" s="64"/>
      <c r="B647" s="64"/>
      <c r="C647" s="66"/>
      <c r="D647" s="64"/>
      <c r="E647" s="66"/>
      <c r="F647" s="64"/>
      <c r="G647" s="67"/>
      <c r="H647" s="114" t="s">
        <v>141</v>
      </c>
      <c r="I647" s="66"/>
      <c r="J647" s="64"/>
      <c r="K647" s="67"/>
      <c r="L647" s="66"/>
      <c r="M647" s="67"/>
      <c r="N647" s="66"/>
      <c r="O647" s="67"/>
    </row>
    <row r="649">
      <c r="A649" s="80" t="s">
        <v>2</v>
      </c>
      <c r="B649" s="81" t="s">
        <v>3</v>
      </c>
      <c r="C649" s="82">
        <f>O611+1</f>
        <v>45838</v>
      </c>
      <c r="D649" s="83" t="s">
        <v>4</v>
      </c>
      <c r="E649" s="84">
        <f>C649+1</f>
        <v>45839</v>
      </c>
      <c r="F649" s="81" t="s">
        <v>5</v>
      </c>
      <c r="G649" s="84">
        <f>E649+1</f>
        <v>45840</v>
      </c>
      <c r="H649" s="81" t="s">
        <v>6</v>
      </c>
      <c r="I649" s="84">
        <f>G649+1</f>
        <v>45841</v>
      </c>
      <c r="J649" s="81" t="s">
        <v>7</v>
      </c>
      <c r="K649" s="84">
        <f>I649+1</f>
        <v>45842</v>
      </c>
      <c r="L649" s="85" t="s">
        <v>8</v>
      </c>
      <c r="M649" s="86">
        <f>K649+1</f>
        <v>45843</v>
      </c>
      <c r="N649" s="85" t="s">
        <v>9</v>
      </c>
      <c r="O649" s="86">
        <f>M649+1</f>
        <v>45844</v>
      </c>
    </row>
    <row r="650">
      <c r="A650" s="87">
        <f>A612+1</f>
        <v>18</v>
      </c>
      <c r="B650" s="88" t="s">
        <v>10</v>
      </c>
      <c r="C650" s="89" t="s">
        <v>11</v>
      </c>
      <c r="D650" s="88" t="s">
        <v>10</v>
      </c>
      <c r="E650" s="89" t="s">
        <v>11</v>
      </c>
      <c r="F650" s="88" t="s">
        <v>10</v>
      </c>
      <c r="G650" s="89" t="s">
        <v>11</v>
      </c>
      <c r="H650" s="88" t="s">
        <v>10</v>
      </c>
      <c r="I650" s="89" t="s">
        <v>11</v>
      </c>
      <c r="J650" s="88" t="s">
        <v>10</v>
      </c>
      <c r="K650" s="89" t="s">
        <v>11</v>
      </c>
      <c r="L650" s="88" t="s">
        <v>10</v>
      </c>
      <c r="M650" s="89" t="s">
        <v>11</v>
      </c>
      <c r="N650" s="88" t="s">
        <v>10</v>
      </c>
      <c r="O650" s="89" t="s">
        <v>11</v>
      </c>
    </row>
    <row r="651">
      <c r="A651" s="37"/>
      <c r="B651" s="90"/>
      <c r="C651" s="15"/>
      <c r="D651" s="90"/>
      <c r="E651" s="15"/>
      <c r="F651" s="90"/>
      <c r="G651" s="15"/>
      <c r="H651" s="90"/>
      <c r="I651" s="15"/>
      <c r="J651" s="90"/>
      <c r="K651" s="15"/>
      <c r="L651" s="90"/>
      <c r="M651" s="15"/>
      <c r="N651" s="90"/>
      <c r="O651" s="15"/>
    </row>
    <row r="652">
      <c r="A652" s="37" t="s">
        <v>12</v>
      </c>
      <c r="B652" s="20" t="s">
        <v>158</v>
      </c>
      <c r="C652" s="76"/>
      <c r="D652" s="18" t="s">
        <v>14</v>
      </c>
      <c r="E652" s="17"/>
      <c r="F652" s="20" t="s">
        <v>145</v>
      </c>
      <c r="G652" s="76"/>
      <c r="H652" s="18" t="s">
        <v>14</v>
      </c>
      <c r="I652" s="17"/>
      <c r="J652" s="20" t="s">
        <v>158</v>
      </c>
      <c r="K652" s="76"/>
      <c r="L652" s="72" t="s">
        <v>14</v>
      </c>
      <c r="M652" s="91"/>
      <c r="N652" s="92" t="s">
        <v>17</v>
      </c>
      <c r="O652" s="91"/>
    </row>
    <row r="653">
      <c r="A653" s="37"/>
      <c r="B653" s="46">
        <v>110.0</v>
      </c>
      <c r="C653" s="48">
        <v>3.0</v>
      </c>
      <c r="D653" s="1" t="s">
        <v>76</v>
      </c>
      <c r="E653" s="24" t="s">
        <v>77</v>
      </c>
      <c r="F653" s="46">
        <v>85.0</v>
      </c>
      <c r="G653" s="48">
        <v>3.0</v>
      </c>
      <c r="H653" s="1" t="s">
        <v>147</v>
      </c>
      <c r="I653" s="54" t="s">
        <v>81</v>
      </c>
      <c r="J653" s="46">
        <v>115.0</v>
      </c>
      <c r="K653" s="48">
        <v>3.0</v>
      </c>
      <c r="L653" s="52" t="s">
        <v>79</v>
      </c>
      <c r="M653" s="93"/>
      <c r="N653" s="37"/>
      <c r="O653" s="93"/>
    </row>
    <row r="654">
      <c r="A654" s="37" t="s">
        <v>20</v>
      </c>
      <c r="B654" s="46">
        <v>120.0</v>
      </c>
      <c r="C654" s="48">
        <v>3.0</v>
      </c>
      <c r="D654" s="23" t="s">
        <v>80</v>
      </c>
      <c r="E654" s="26" t="s">
        <v>81</v>
      </c>
      <c r="F654" s="46">
        <v>90.0</v>
      </c>
      <c r="G654" s="48">
        <v>3.0</v>
      </c>
      <c r="H654" s="1" t="s">
        <v>148</v>
      </c>
      <c r="I654" s="26"/>
      <c r="J654" s="46">
        <v>125.0</v>
      </c>
      <c r="K654" s="48">
        <v>3.0</v>
      </c>
      <c r="L654" s="32" t="s">
        <v>82</v>
      </c>
      <c r="M654" s="93"/>
      <c r="N654" s="37"/>
      <c r="O654" s="93"/>
    </row>
    <row r="655">
      <c r="A655" s="94" t="s">
        <v>22</v>
      </c>
      <c r="B655" s="46">
        <v>130.0</v>
      </c>
      <c r="C655" s="48">
        <v>3.0</v>
      </c>
      <c r="D655" s="1" t="s">
        <v>132</v>
      </c>
      <c r="E655" s="26" t="s">
        <v>84</v>
      </c>
      <c r="F655" s="46">
        <v>95.0</v>
      </c>
      <c r="G655" s="48">
        <v>3.0</v>
      </c>
      <c r="H655" s="1"/>
      <c r="I655" s="26"/>
      <c r="J655" s="46">
        <v>130.0</v>
      </c>
      <c r="K655" s="48">
        <v>3.0</v>
      </c>
      <c r="L655" s="30"/>
      <c r="M655" s="93"/>
      <c r="N655" s="30"/>
      <c r="O655" s="93"/>
    </row>
    <row r="656">
      <c r="A656" s="37" t="s">
        <v>23</v>
      </c>
      <c r="B656" s="46"/>
      <c r="C656" s="48"/>
      <c r="D656" s="1" t="s">
        <v>159</v>
      </c>
      <c r="E656" s="54" t="s">
        <v>150</v>
      </c>
      <c r="F656" s="47"/>
      <c r="G656" s="48"/>
      <c r="H656" s="1" t="s">
        <v>149</v>
      </c>
      <c r="I656" s="26"/>
      <c r="J656" s="37"/>
      <c r="K656" s="93"/>
      <c r="L656" s="30"/>
      <c r="M656" s="93"/>
      <c r="N656" s="37"/>
      <c r="O656" s="93"/>
    </row>
    <row r="657">
      <c r="A657" s="37"/>
      <c r="B657" s="37"/>
      <c r="C657" s="93"/>
      <c r="D657" s="33" t="s">
        <v>151</v>
      </c>
      <c r="E657" s="26"/>
      <c r="F657" s="37"/>
      <c r="G657" s="95"/>
      <c r="H657" s="33" t="s">
        <v>152</v>
      </c>
      <c r="I657" s="26"/>
      <c r="J657" s="37"/>
      <c r="K657" s="93"/>
      <c r="L657" s="37"/>
      <c r="M657" s="93"/>
      <c r="N657" s="37"/>
      <c r="O657" s="93"/>
    </row>
    <row r="658">
      <c r="A658" s="37" t="s">
        <v>113</v>
      </c>
      <c r="B658" s="96" t="s">
        <v>25</v>
      </c>
      <c r="C658" s="97">
        <f>C653*B653 + B654*C654 + B655*C655 + B656*C656 + B657*C657</f>
        <v>1080</v>
      </c>
      <c r="D658" s="98" t="s">
        <v>25</v>
      </c>
      <c r="E658" s="99" t="str">
        <f>E653*D653 + D654*#REF! + E654*E655 + D656*E656 + D657*E657</f>
        <v>#VALUE!</v>
      </c>
      <c r="F658" s="96" t="s">
        <v>25</v>
      </c>
      <c r="G658" s="97">
        <f>G653*F653 + F654*G654 + F655*G655 + F656*G656 + F657*G657</f>
        <v>810</v>
      </c>
      <c r="H658" s="96" t="s">
        <v>25</v>
      </c>
      <c r="I658" s="100" t="str">
        <f>I653*H653 + H654*I654 + H655*I655 + H656*I656 + H657*I657</f>
        <v>#VALUE!</v>
      </c>
      <c r="J658" s="96" t="s">
        <v>25</v>
      </c>
      <c r="K658" s="97">
        <f>K653*J653 + J654*K654 + J655*K655 + J656*K656 + J657*K657</f>
        <v>1110</v>
      </c>
      <c r="L658" s="96" t="s">
        <v>25</v>
      </c>
      <c r="M658" s="97" t="str">
        <f>M653*L653 + L654*M654 + L655*M655 + L656*M656 + L657*M657</f>
        <v>#VALUE!</v>
      </c>
      <c r="N658" s="96" t="s">
        <v>25</v>
      </c>
      <c r="O658" s="97">
        <f>O653*N653 + N654*O654 + N655*O655 + N656*O656 + N657*O657</f>
        <v>0</v>
      </c>
    </row>
    <row r="659">
      <c r="A659" s="37"/>
      <c r="B659" s="37" t="s">
        <v>26</v>
      </c>
      <c r="C659" s="38">
        <f>(B653*C653 + B654*C654 + B655*C655 + B656*C656 + B657*C657)/SUM(C653:C657)</f>
        <v>120</v>
      </c>
      <c r="D659" s="30" t="s">
        <v>26</v>
      </c>
      <c r="E659" s="101" t="str">
        <f>(D653*E653 + D654*#REF! + E654*E655 + D656*E656 + D657*E657)/SUM(E653:E657)</f>
        <v>#VALUE!</v>
      </c>
      <c r="F659" s="37" t="s">
        <v>26</v>
      </c>
      <c r="G659" s="102">
        <f>(F653*G653 + F654*G654 + F655*G655 + F656*G656 + F657*G657)/SUM(G653:G657)</f>
        <v>90</v>
      </c>
      <c r="H659" s="37" t="s">
        <v>26</v>
      </c>
      <c r="I659" s="101" t="str">
        <f>(H653*I653 + H654*I654 + H655*I655 + H656*I656 + H657*I657)/SUM(I653:I657)</f>
        <v>#VALUE!</v>
      </c>
      <c r="J659" s="64" t="s">
        <v>26</v>
      </c>
      <c r="K659" s="38">
        <f>(J653*K653 + J654*K654 + J655*K655 + J656*K656 + J657*K657)/SUM(K653:K657)</f>
        <v>123.3333333</v>
      </c>
      <c r="L659" s="37" t="s">
        <v>26</v>
      </c>
      <c r="M659" s="103" t="str">
        <f>(L653*M653 + L654*M654 + L655*M655 + L656*M656 + L657*M657)/SUM(M653:M657)</f>
        <v>#VALUE!</v>
      </c>
      <c r="N659" s="37" t="s">
        <v>26</v>
      </c>
      <c r="O659" s="102" t="str">
        <f>(N653*O653 + N654*O654 + N655*O655 + N656*O656 + N657*O657)/SUM(O653:O657)</f>
        <v>#DIV/0!</v>
      </c>
    </row>
    <row r="660">
      <c r="A660" s="37" t="s">
        <v>27</v>
      </c>
      <c r="B660" s="88" t="s">
        <v>10</v>
      </c>
      <c r="C660" s="89" t="s">
        <v>11</v>
      </c>
      <c r="D660" s="88" t="s">
        <v>10</v>
      </c>
      <c r="E660" s="89" t="s">
        <v>11</v>
      </c>
      <c r="F660" s="88" t="s">
        <v>10</v>
      </c>
      <c r="G660" s="89" t="s">
        <v>11</v>
      </c>
      <c r="H660" s="88" t="s">
        <v>10</v>
      </c>
      <c r="I660" s="89" t="s">
        <v>11</v>
      </c>
      <c r="J660" s="88" t="s">
        <v>10</v>
      </c>
      <c r="K660" s="89" t="s">
        <v>11</v>
      </c>
      <c r="L660" s="88" t="s">
        <v>10</v>
      </c>
      <c r="M660" s="89" t="s">
        <v>11</v>
      </c>
      <c r="N660" s="88" t="s">
        <v>10</v>
      </c>
      <c r="O660" s="89" t="s">
        <v>11</v>
      </c>
    </row>
    <row r="661">
      <c r="A661" s="104" t="s">
        <v>28</v>
      </c>
      <c r="B661" s="20" t="s">
        <v>144</v>
      </c>
      <c r="C661" s="17"/>
      <c r="D661" s="42" t="s">
        <v>91</v>
      </c>
      <c r="E661" s="44" t="s">
        <v>49</v>
      </c>
      <c r="F661" s="20" t="s">
        <v>160</v>
      </c>
      <c r="G661" s="17"/>
      <c r="H661" s="70" t="s">
        <v>91</v>
      </c>
      <c r="I661" s="91" t="s">
        <v>90</v>
      </c>
      <c r="J661" s="70" t="s">
        <v>135</v>
      </c>
      <c r="K661" s="17"/>
      <c r="L661" s="42" t="s">
        <v>91</v>
      </c>
      <c r="M661" s="91" t="s">
        <v>90</v>
      </c>
      <c r="N661" s="92"/>
      <c r="O661" s="91"/>
    </row>
    <row r="662">
      <c r="A662" s="37"/>
      <c r="B662" s="46">
        <v>145.0</v>
      </c>
      <c r="C662" s="48">
        <v>5.0</v>
      </c>
      <c r="D662" s="21">
        <v>60.0</v>
      </c>
      <c r="E662" s="24"/>
      <c r="F662" s="46">
        <v>170.0</v>
      </c>
      <c r="G662" s="48">
        <v>5.0</v>
      </c>
      <c r="H662" s="46"/>
      <c r="I662" s="93"/>
      <c r="J662" s="28">
        <v>85.0</v>
      </c>
      <c r="K662" s="54">
        <v>6.0</v>
      </c>
      <c r="L662" s="21">
        <v>30.0</v>
      </c>
      <c r="M662" s="93"/>
      <c r="N662" s="37"/>
      <c r="O662" s="93"/>
    </row>
    <row r="663">
      <c r="A663" s="37" t="s">
        <v>37</v>
      </c>
      <c r="B663" s="46">
        <v>155.0</v>
      </c>
      <c r="C663" s="48">
        <v>5.0</v>
      </c>
      <c r="D663" s="21">
        <v>30.0</v>
      </c>
      <c r="E663" s="24" t="s">
        <v>161</v>
      </c>
      <c r="F663" s="46">
        <v>180.0</v>
      </c>
      <c r="G663" s="48">
        <v>5.0</v>
      </c>
      <c r="H663" s="108"/>
      <c r="I663" s="93"/>
      <c r="J663" s="27">
        <v>90.0</v>
      </c>
      <c r="K663" s="54">
        <v>6.0</v>
      </c>
      <c r="L663" s="21">
        <v>40.0</v>
      </c>
      <c r="M663" s="93"/>
      <c r="N663" s="37"/>
      <c r="O663" s="93"/>
    </row>
    <row r="664">
      <c r="A664" s="37" t="s">
        <v>39</v>
      </c>
      <c r="B664" s="46">
        <v>165.0</v>
      </c>
      <c r="C664" s="48">
        <v>5.0</v>
      </c>
      <c r="D664" s="46">
        <v>60.0</v>
      </c>
      <c r="E664" s="24"/>
      <c r="F664" s="46">
        <v>190.0</v>
      </c>
      <c r="G664" s="48">
        <v>5.0</v>
      </c>
      <c r="H664" s="46"/>
      <c r="I664" s="93"/>
      <c r="J664" s="27">
        <v>95.0</v>
      </c>
      <c r="K664" s="54">
        <v>6.0</v>
      </c>
      <c r="L664" s="21">
        <v>60.0</v>
      </c>
      <c r="M664" s="93"/>
      <c r="N664" s="37"/>
      <c r="O664" s="93"/>
    </row>
    <row r="665">
      <c r="A665" s="37"/>
      <c r="B665" s="46"/>
      <c r="C665" s="48"/>
      <c r="D665" s="21">
        <v>30.0</v>
      </c>
      <c r="E665" s="24" t="s">
        <v>162</v>
      </c>
      <c r="F665" s="46"/>
      <c r="G665" s="48"/>
      <c r="H665" s="46"/>
      <c r="I665" s="93"/>
      <c r="J665" s="37"/>
      <c r="K665" s="93"/>
      <c r="L665" s="21">
        <v>30.0</v>
      </c>
      <c r="M665" s="93"/>
      <c r="N665" s="37"/>
      <c r="O665" s="93"/>
    </row>
    <row r="666">
      <c r="A666" s="37" t="s">
        <v>41</v>
      </c>
      <c r="B666" s="37"/>
      <c r="C666" s="93"/>
      <c r="D666" s="1">
        <v>30.0</v>
      </c>
      <c r="E666" s="54" t="s">
        <v>103</v>
      </c>
      <c r="F666" s="30"/>
      <c r="G666" s="93"/>
      <c r="H666" s="46"/>
      <c r="I666" s="93"/>
      <c r="J666" s="30"/>
      <c r="K666" s="93"/>
      <c r="L666" s="32"/>
      <c r="M666" s="93"/>
      <c r="N666" s="37"/>
      <c r="O666" s="93"/>
    </row>
    <row r="667">
      <c r="A667" s="37" t="s">
        <v>43</v>
      </c>
      <c r="B667" s="37"/>
      <c r="C667" s="95"/>
      <c r="D667" s="28" t="s">
        <v>101</v>
      </c>
      <c r="E667" s="95"/>
      <c r="F667" s="37"/>
      <c r="G667" s="95"/>
      <c r="H667" s="37" t="s">
        <v>140</v>
      </c>
      <c r="I667" s="93"/>
      <c r="J667" s="37"/>
      <c r="K667" s="93"/>
      <c r="L667" s="37" t="s">
        <v>140</v>
      </c>
      <c r="M667" s="93" t="s">
        <v>42</v>
      </c>
      <c r="N667" s="37"/>
      <c r="O667" s="93"/>
    </row>
    <row r="668">
      <c r="A668" s="37"/>
      <c r="B668" s="96" t="s">
        <v>25</v>
      </c>
      <c r="C668" s="97">
        <f>C662*B662 + B663*C663 + B664*C664 + B665*C665 + B667*C667</f>
        <v>2325</v>
      </c>
      <c r="D668" s="96" t="s">
        <v>25</v>
      </c>
      <c r="E668" s="99" t="str">
        <f>E662*D662 + D663*E663 + D664*E664 + D665*E665 + D667*E667</f>
        <v>#VALUE!</v>
      </c>
      <c r="F668" s="96" t="s">
        <v>25</v>
      </c>
      <c r="G668" s="97">
        <f>G662*F662 + F663*G663 + F664*G664 + F665*G665 + F667*G667</f>
        <v>2700</v>
      </c>
      <c r="H668" s="96" t="s">
        <v>25</v>
      </c>
      <c r="I668" s="100" t="str">
        <f>I662*H662 + H663*I663 + H664*I664 + H665*I665 + H667*I667</f>
        <v>#VALUE!</v>
      </c>
      <c r="J668" s="96" t="s">
        <v>25</v>
      </c>
      <c r="K668" s="97">
        <f>K662*J662 + J663*K663 + J664*K664 + J665*K665 + J667*K667</f>
        <v>1620</v>
      </c>
      <c r="L668" s="96" t="s">
        <v>25</v>
      </c>
      <c r="M668" s="97" t="str">
        <f>M662*L662 + L663*M663 + L664*M664 + L665*M665 + L667*M667</f>
        <v>#VALUE!</v>
      </c>
      <c r="N668" s="96" t="s">
        <v>25</v>
      </c>
      <c r="O668" s="97">
        <f>O662*N662 + N663*O663 + N664*O664 + N665*O665 + N667*O667</f>
        <v>0</v>
      </c>
    </row>
    <row r="669">
      <c r="A669" s="37" t="s">
        <v>116</v>
      </c>
      <c r="B669" s="64" t="s">
        <v>26</v>
      </c>
      <c r="C669" s="38">
        <f>(B663*C663 + B664*C664 + B665*C665 + B666*C666 + B667*C667)/SUM(C663:C667)</f>
        <v>160</v>
      </c>
      <c r="D669" s="64" t="s">
        <v>26</v>
      </c>
      <c r="E669" s="105" t="str">
        <f>(D662*E662 + D663*E663 + D664*E664 + D665*E665 + D667*E667)/SUM(E662:E667)</f>
        <v>#VALUE!</v>
      </c>
      <c r="F669" s="64" t="s">
        <v>26</v>
      </c>
      <c r="G669" s="38">
        <f>(F663*G663 + F664*G664 + F665*G665 + F666*G666 + F667*G667)/SUM(G663:G667)</f>
        <v>185</v>
      </c>
      <c r="H669" s="64" t="s">
        <v>26</v>
      </c>
      <c r="I669" s="105" t="str">
        <f>(H662*I662 + H663*I663 + H664*I664 + H665*I665 + H667*I667)/SUM(I662:I667)</f>
        <v>#VALUE!</v>
      </c>
      <c r="J669" s="64" t="s">
        <v>26</v>
      </c>
      <c r="K669" s="102">
        <f>(J663*K663 + J664*K664 + J665*K665 + J666*K666 + J667*K667)/SUM(K663:K667)</f>
        <v>92.5</v>
      </c>
      <c r="L669" s="64" t="s">
        <v>26</v>
      </c>
      <c r="M669" s="102" t="str">
        <f>(L662*M662 + L663*M663 + L664*M664 + L665*M665 + L667*M667)/SUM(M662:M667)</f>
        <v>#VALUE!</v>
      </c>
      <c r="N669" s="64" t="s">
        <v>26</v>
      </c>
      <c r="O669" s="102" t="str">
        <f>(N663*O663 + N664*O664 + N665*O665 + N666*O666 + N667*O667)/SUM(O663:O667)</f>
        <v>#DIV/0!</v>
      </c>
    </row>
    <row r="670">
      <c r="A670" s="37" t="s">
        <v>117</v>
      </c>
      <c r="B670" s="92" t="s">
        <v>118</v>
      </c>
      <c r="C670" s="91"/>
      <c r="D670" s="45"/>
      <c r="E670" s="91"/>
      <c r="F670" s="92" t="s">
        <v>119</v>
      </c>
      <c r="G670" s="91"/>
      <c r="H670" s="112"/>
      <c r="I670" s="91"/>
      <c r="J670" s="92" t="s">
        <v>71</v>
      </c>
      <c r="K670" s="91"/>
      <c r="L670" s="113" t="s">
        <v>105</v>
      </c>
      <c r="M670" s="91" t="s">
        <v>49</v>
      </c>
      <c r="N670" s="106"/>
      <c r="O670" s="107"/>
    </row>
    <row r="671">
      <c r="A671" s="37" t="s">
        <v>120</v>
      </c>
      <c r="B671" s="46">
        <v>80.0</v>
      </c>
      <c r="C671" s="109">
        <v>8.0</v>
      </c>
      <c r="D671" s="21">
        <v>60.0</v>
      </c>
      <c r="E671" s="24"/>
      <c r="F671" s="46">
        <v>50.0</v>
      </c>
      <c r="G671" s="109">
        <v>8.0</v>
      </c>
      <c r="H671" s="46"/>
      <c r="I671" s="93"/>
      <c r="J671" s="46">
        <v>82.5</v>
      </c>
      <c r="K671" s="109">
        <v>8.0</v>
      </c>
      <c r="L671" s="21">
        <v>40.0</v>
      </c>
      <c r="M671" s="93"/>
      <c r="N671" s="37"/>
      <c r="O671" s="93"/>
    </row>
    <row r="672">
      <c r="A672" s="37"/>
      <c r="B672" s="46">
        <v>82.5</v>
      </c>
      <c r="C672" s="109">
        <v>8.0</v>
      </c>
      <c r="D672" s="21">
        <v>30.0</v>
      </c>
      <c r="E672" s="24" t="s">
        <v>163</v>
      </c>
      <c r="F672" s="46">
        <v>55.0</v>
      </c>
      <c r="G672" s="109">
        <v>8.0</v>
      </c>
      <c r="H672" s="46"/>
      <c r="I672" s="93"/>
      <c r="J672" s="46">
        <v>85.0</v>
      </c>
      <c r="K672" s="109">
        <v>8.0</v>
      </c>
      <c r="L672" s="25">
        <v>60.0</v>
      </c>
      <c r="M672" s="93"/>
      <c r="N672" s="37"/>
      <c r="O672" s="93"/>
    </row>
    <row r="673">
      <c r="A673" s="37" t="s">
        <v>121</v>
      </c>
      <c r="B673" s="46">
        <v>85.0</v>
      </c>
      <c r="C673" s="109">
        <v>8.0</v>
      </c>
      <c r="D673" s="21">
        <v>80.0</v>
      </c>
      <c r="E673" s="24"/>
      <c r="F673" s="46">
        <v>60.0</v>
      </c>
      <c r="G673" s="109">
        <v>8.0</v>
      </c>
      <c r="H673" s="108"/>
      <c r="I673" s="93"/>
      <c r="J673" s="46">
        <v>87.5</v>
      </c>
      <c r="K673" s="109">
        <v>8.0</v>
      </c>
      <c r="L673" s="25">
        <v>30.0</v>
      </c>
      <c r="M673" s="93"/>
      <c r="N673" s="37"/>
      <c r="O673" s="93"/>
    </row>
    <row r="674">
      <c r="A674" s="37" t="s">
        <v>122</v>
      </c>
      <c r="B674" s="37"/>
      <c r="C674" s="95"/>
      <c r="D674" s="21">
        <v>30.0</v>
      </c>
      <c r="E674" s="24" t="s">
        <v>161</v>
      </c>
      <c r="F674" s="37"/>
      <c r="G674" s="95"/>
      <c r="H674" s="108"/>
      <c r="I674" s="95"/>
      <c r="J674" s="37"/>
      <c r="K674" s="93"/>
      <c r="L674" s="25">
        <v>30.0</v>
      </c>
      <c r="M674" s="93"/>
      <c r="N674" s="37"/>
      <c r="O674" s="93"/>
    </row>
    <row r="675">
      <c r="A675" s="37" t="s">
        <v>123</v>
      </c>
      <c r="B675" s="37"/>
      <c r="C675" s="95"/>
      <c r="D675" s="21"/>
      <c r="E675" s="95"/>
      <c r="F675" s="37"/>
      <c r="G675" s="95"/>
      <c r="H675" s="37"/>
      <c r="I675" s="95"/>
      <c r="J675" s="37"/>
      <c r="K675" s="93"/>
      <c r="L675" s="30"/>
      <c r="M675" s="93"/>
      <c r="N675" s="30"/>
      <c r="O675" s="93"/>
    </row>
    <row r="676">
      <c r="A676" s="37"/>
      <c r="B676" s="96" t="s">
        <v>25</v>
      </c>
      <c r="C676" s="99">
        <f>C671*B671 + B672*C672 + B673*C673 + B674*C674 + B675*C675</f>
        <v>1980</v>
      </c>
      <c r="D676" s="96" t="s">
        <v>25</v>
      </c>
      <c r="E676" s="99" t="str">
        <f>E671*D671 + D672*E672 + D673*E673 + D674*E674 + D675*E675</f>
        <v>#VALUE!</v>
      </c>
      <c r="F676" s="96" t="s">
        <v>25</v>
      </c>
      <c r="G676" s="99">
        <f>G671*F671 + F672*G672 + F673*G673 + F674*G674 + F675*G675</f>
        <v>1320</v>
      </c>
      <c r="H676" s="96" t="s">
        <v>25</v>
      </c>
      <c r="I676" s="100">
        <f>I671*H671 + H672*I672 + H673*I673 + H674*I674 + H675*I675</f>
        <v>0</v>
      </c>
      <c r="J676" s="96" t="s">
        <v>25</v>
      </c>
      <c r="K676" s="97">
        <f>K671*J671 + J672*K672 + J673*K673 + J674*K674 + J675*K675</f>
        <v>2040</v>
      </c>
      <c r="L676" s="98" t="s">
        <v>25</v>
      </c>
      <c r="M676" s="111">
        <f>M671*L671 + L672*M672 + L673*M673 + L674*M674 + L675*M675</f>
        <v>0</v>
      </c>
      <c r="N676" s="98" t="s">
        <v>25</v>
      </c>
      <c r="O676" s="111">
        <f>O671*N671 + N672*O672 + N673*O673 + N674*O674 + N675*O675</f>
        <v>0</v>
      </c>
    </row>
    <row r="677">
      <c r="A677" s="37"/>
      <c r="B677" s="64" t="s">
        <v>26</v>
      </c>
      <c r="C677" s="38">
        <f>(B671*C671 + B672*C672 + B673*C673 + B674*C674 + B675*C675)/SUM(C671:C675)</f>
        <v>82.5</v>
      </c>
      <c r="D677" s="66" t="s">
        <v>26</v>
      </c>
      <c r="E677" s="102" t="str">
        <f>(D671*E671 + D672*E672 + D673*E673 + D674*E674 + D675*E675)/SUM(E671:E675)</f>
        <v>#VALUE!</v>
      </c>
      <c r="F677" s="64" t="s">
        <v>26</v>
      </c>
      <c r="G677" s="102">
        <f>(F671*G671 + F672*G672 + F673*G673 + F674*G674 + F675*G675)/SUM(G671:G675)</f>
        <v>55</v>
      </c>
      <c r="H677" s="66" t="s">
        <v>26</v>
      </c>
      <c r="I677" s="102" t="str">
        <f>(H671*I671 + H672*I672 + H673*I673 + H674*I674 + H675*I675)/SUM(I671:I675)</f>
        <v>#DIV/0!</v>
      </c>
      <c r="J677" s="64" t="s">
        <v>26</v>
      </c>
      <c r="K677" s="102">
        <f>(J671*K671 + J672*K672 + J673*K673 + J674*K674 + J675*K675)/SUM(K671:K675)</f>
        <v>85</v>
      </c>
      <c r="L677" s="66" t="s">
        <v>26</v>
      </c>
      <c r="M677" s="102" t="str">
        <f>(L671*M671 + L672*M672 + L673*M673 + L674*M674 + L675*M675)/SUM(M671:M675)</f>
        <v>#DIV/0!</v>
      </c>
      <c r="N677" s="66" t="s">
        <v>26</v>
      </c>
      <c r="O677" s="102" t="str">
        <f>(N671*O671 + N672*O672 + N673*O673 + N674*O674 + N675*O675)/SUM(O675)</f>
        <v>#DIV/0!</v>
      </c>
    </row>
    <row r="678">
      <c r="A678" s="37" t="s">
        <v>124</v>
      </c>
      <c r="B678" s="28" t="s">
        <v>91</v>
      </c>
      <c r="C678" s="30" t="s">
        <v>49</v>
      </c>
      <c r="D678" s="37" t="s">
        <v>50</v>
      </c>
      <c r="E678" s="30" t="s">
        <v>49</v>
      </c>
      <c r="F678" s="37" t="s">
        <v>51</v>
      </c>
      <c r="G678" s="30" t="s">
        <v>49</v>
      </c>
      <c r="H678" s="28" t="s">
        <v>50</v>
      </c>
      <c r="I678" s="30" t="s">
        <v>49</v>
      </c>
      <c r="J678" s="28" t="s">
        <v>91</v>
      </c>
      <c r="K678" s="30" t="s">
        <v>49</v>
      </c>
      <c r="L678" s="37"/>
      <c r="M678" s="60" t="s">
        <v>49</v>
      </c>
      <c r="N678" s="37"/>
      <c r="O678" s="60" t="s">
        <v>49</v>
      </c>
    </row>
    <row r="679">
      <c r="A679" s="37" t="s">
        <v>125</v>
      </c>
      <c r="B679" s="27">
        <v>30.0</v>
      </c>
      <c r="C679" s="60"/>
      <c r="D679" s="30"/>
      <c r="E679" s="60"/>
      <c r="F679" s="27">
        <v>60.0</v>
      </c>
      <c r="G679" s="60"/>
      <c r="H679" s="27" t="s">
        <v>153</v>
      </c>
      <c r="I679" s="60"/>
      <c r="J679" s="27">
        <v>30.0</v>
      </c>
      <c r="K679" s="60"/>
      <c r="L679" s="37"/>
      <c r="M679" s="60"/>
      <c r="N679" s="37"/>
      <c r="O679" s="60"/>
    </row>
    <row r="680">
      <c r="A680" s="37"/>
      <c r="B680" s="27">
        <v>60.0</v>
      </c>
      <c r="C680" s="60"/>
      <c r="D680" s="30"/>
      <c r="E680" s="60"/>
      <c r="F680" s="69">
        <v>40.0</v>
      </c>
      <c r="G680" s="60"/>
      <c r="H680" s="27" t="s">
        <v>154</v>
      </c>
      <c r="I680" s="60"/>
      <c r="J680" s="27">
        <v>30.0</v>
      </c>
      <c r="K680" s="60"/>
      <c r="L680" s="37"/>
      <c r="M680" s="60"/>
      <c r="N680" s="37"/>
      <c r="O680" s="60"/>
    </row>
    <row r="681">
      <c r="A681" s="37"/>
      <c r="B681" s="28">
        <v>20.0</v>
      </c>
      <c r="C681" s="60"/>
      <c r="D681" s="30"/>
      <c r="E681" s="60"/>
      <c r="F681" s="1">
        <v>30.0</v>
      </c>
      <c r="G681" s="60"/>
      <c r="H681" s="28" t="s">
        <v>155</v>
      </c>
      <c r="I681" s="60"/>
      <c r="J681" s="28">
        <v>40.0</v>
      </c>
      <c r="K681" s="60"/>
      <c r="L681" s="30"/>
      <c r="M681" s="60"/>
      <c r="N681" s="30"/>
      <c r="O681" s="60"/>
    </row>
    <row r="682">
      <c r="A682" s="37"/>
      <c r="B682" s="28">
        <v>30.0</v>
      </c>
      <c r="C682" s="30"/>
      <c r="D682" s="37"/>
      <c r="E682" s="30"/>
      <c r="F682" s="28">
        <v>20.0</v>
      </c>
      <c r="G682" s="60"/>
      <c r="H682" s="28" t="s">
        <v>156</v>
      </c>
      <c r="I682" s="1"/>
      <c r="J682" s="28">
        <v>50.0</v>
      </c>
      <c r="K682" s="60"/>
      <c r="L682" s="30"/>
      <c r="M682" s="60"/>
      <c r="N682" s="30"/>
      <c r="O682" s="60"/>
    </row>
    <row r="683">
      <c r="A683" s="37"/>
      <c r="B683" s="37"/>
      <c r="C683" s="30"/>
      <c r="D683" s="37"/>
      <c r="E683" s="30"/>
      <c r="F683" s="37"/>
      <c r="G683" s="60"/>
      <c r="H683" s="28" t="s">
        <v>157</v>
      </c>
      <c r="I683" s="1"/>
      <c r="J683" s="37"/>
      <c r="K683" s="60"/>
      <c r="L683" s="30"/>
      <c r="M683" s="60"/>
      <c r="N683" s="30"/>
      <c r="O683" s="60"/>
    </row>
    <row r="684">
      <c r="A684" s="37"/>
      <c r="B684" s="37"/>
      <c r="C684" s="30"/>
      <c r="D684" s="37"/>
      <c r="E684" s="30"/>
      <c r="F684" s="37"/>
      <c r="G684" s="60"/>
      <c r="H684" s="30"/>
      <c r="I684" s="30"/>
      <c r="J684" s="37"/>
      <c r="K684" s="60"/>
      <c r="L684" s="30"/>
      <c r="M684" s="60"/>
      <c r="N684" s="30"/>
      <c r="O684" s="60"/>
    </row>
    <row r="685">
      <c r="A685" s="64"/>
      <c r="B685" s="64"/>
      <c r="C685" s="66"/>
      <c r="D685" s="64"/>
      <c r="E685" s="66"/>
      <c r="F685" s="64"/>
      <c r="G685" s="67"/>
      <c r="H685" s="114" t="s">
        <v>141</v>
      </c>
      <c r="I685" s="66"/>
      <c r="J685" s="64"/>
      <c r="K685" s="67"/>
      <c r="L685" s="66"/>
      <c r="M685" s="67"/>
      <c r="N685" s="66"/>
      <c r="O685" s="67"/>
    </row>
    <row r="687">
      <c r="A687" s="80" t="s">
        <v>2</v>
      </c>
      <c r="B687" s="81" t="s">
        <v>3</v>
      </c>
      <c r="C687" s="82">
        <f>O649+1</f>
        <v>45845</v>
      </c>
      <c r="D687" s="83" t="s">
        <v>4</v>
      </c>
      <c r="E687" s="84">
        <f>C687+1</f>
        <v>45846</v>
      </c>
      <c r="F687" s="81" t="s">
        <v>5</v>
      </c>
      <c r="G687" s="84">
        <f>E687+1</f>
        <v>45847</v>
      </c>
      <c r="H687" s="81" t="s">
        <v>6</v>
      </c>
      <c r="I687" s="84">
        <f>G687+1</f>
        <v>45848</v>
      </c>
      <c r="J687" s="81" t="s">
        <v>7</v>
      </c>
      <c r="K687" s="84">
        <f>I687+1</f>
        <v>45849</v>
      </c>
      <c r="L687" s="85" t="s">
        <v>8</v>
      </c>
      <c r="M687" s="86">
        <f>K687+1</f>
        <v>45850</v>
      </c>
      <c r="N687" s="85" t="s">
        <v>9</v>
      </c>
      <c r="O687" s="86">
        <f>M687+1</f>
        <v>45851</v>
      </c>
    </row>
    <row r="688">
      <c r="A688" s="87">
        <f>A650+1</f>
        <v>19</v>
      </c>
      <c r="B688" s="88" t="s">
        <v>10</v>
      </c>
      <c r="C688" s="89" t="s">
        <v>11</v>
      </c>
      <c r="D688" s="88" t="s">
        <v>10</v>
      </c>
      <c r="E688" s="89" t="s">
        <v>11</v>
      </c>
      <c r="F688" s="88" t="s">
        <v>10</v>
      </c>
      <c r="G688" s="89" t="s">
        <v>11</v>
      </c>
      <c r="H688" s="88" t="s">
        <v>10</v>
      </c>
      <c r="I688" s="89" t="s">
        <v>11</v>
      </c>
      <c r="J688" s="88" t="s">
        <v>10</v>
      </c>
      <c r="K688" s="89" t="s">
        <v>11</v>
      </c>
      <c r="L688" s="88" t="s">
        <v>10</v>
      </c>
      <c r="M688" s="89" t="s">
        <v>11</v>
      </c>
      <c r="N688" s="88" t="s">
        <v>10</v>
      </c>
      <c r="O688" s="89" t="s">
        <v>11</v>
      </c>
    </row>
    <row r="689">
      <c r="A689" s="37"/>
      <c r="B689" s="90"/>
      <c r="C689" s="15"/>
      <c r="D689" s="90"/>
      <c r="E689" s="15"/>
      <c r="F689" s="90"/>
      <c r="G689" s="15"/>
      <c r="H689" s="90"/>
      <c r="I689" s="15"/>
      <c r="J689" s="90"/>
      <c r="K689" s="15"/>
      <c r="L689" s="90"/>
      <c r="M689" s="15"/>
      <c r="N689" s="90"/>
      <c r="O689" s="15"/>
    </row>
    <row r="690">
      <c r="A690" s="37" t="s">
        <v>12</v>
      </c>
      <c r="B690" s="20" t="s">
        <v>158</v>
      </c>
      <c r="C690" s="76"/>
      <c r="D690" s="18" t="s">
        <v>14</v>
      </c>
      <c r="E690" s="17"/>
      <c r="F690" s="20" t="s">
        <v>145</v>
      </c>
      <c r="G690" s="76"/>
      <c r="H690" s="18" t="s">
        <v>14</v>
      </c>
      <c r="I690" s="17"/>
      <c r="J690" s="20" t="s">
        <v>158</v>
      </c>
      <c r="K690" s="76"/>
      <c r="L690" s="72" t="s">
        <v>14</v>
      </c>
      <c r="M690" s="91"/>
      <c r="N690" s="92" t="s">
        <v>17</v>
      </c>
      <c r="O690" s="91"/>
    </row>
    <row r="691">
      <c r="A691" s="37"/>
      <c r="B691" s="46">
        <v>115.0</v>
      </c>
      <c r="C691" s="48">
        <v>3.0</v>
      </c>
      <c r="D691" s="1" t="s">
        <v>76</v>
      </c>
      <c r="E691" s="24" t="s">
        <v>77</v>
      </c>
      <c r="F691" s="46">
        <v>85.0</v>
      </c>
      <c r="G691" s="48">
        <v>3.0</v>
      </c>
      <c r="H691" s="1" t="s">
        <v>147</v>
      </c>
      <c r="I691" s="54" t="s">
        <v>81</v>
      </c>
      <c r="J691" s="46">
        <v>115.0</v>
      </c>
      <c r="K691" s="48">
        <v>3.0</v>
      </c>
      <c r="L691" s="52" t="s">
        <v>79</v>
      </c>
      <c r="M691" s="93"/>
      <c r="N691" s="37"/>
      <c r="O691" s="93"/>
    </row>
    <row r="692">
      <c r="A692" s="37" t="s">
        <v>20</v>
      </c>
      <c r="B692" s="46">
        <v>125.0</v>
      </c>
      <c r="C692" s="48">
        <v>3.0</v>
      </c>
      <c r="D692" s="23" t="s">
        <v>80</v>
      </c>
      <c r="E692" s="26" t="s">
        <v>81</v>
      </c>
      <c r="F692" s="46">
        <v>90.0</v>
      </c>
      <c r="G692" s="48">
        <v>3.0</v>
      </c>
      <c r="H692" s="1" t="s">
        <v>148</v>
      </c>
      <c r="I692" s="26"/>
      <c r="J692" s="46">
        <v>125.0</v>
      </c>
      <c r="K692" s="48">
        <v>3.0</v>
      </c>
      <c r="L692" s="32" t="s">
        <v>82</v>
      </c>
      <c r="M692" s="93"/>
      <c r="N692" s="37"/>
      <c r="O692" s="93"/>
    </row>
    <row r="693">
      <c r="A693" s="94" t="s">
        <v>22</v>
      </c>
      <c r="B693" s="46">
        <v>130.0</v>
      </c>
      <c r="C693" s="48">
        <v>3.0</v>
      </c>
      <c r="D693" s="1" t="s">
        <v>132</v>
      </c>
      <c r="E693" s="26" t="s">
        <v>84</v>
      </c>
      <c r="F693" s="46">
        <v>95.0</v>
      </c>
      <c r="G693" s="48">
        <v>3.0</v>
      </c>
      <c r="H693" s="1"/>
      <c r="I693" s="26"/>
      <c r="J693" s="46">
        <v>130.0</v>
      </c>
      <c r="K693" s="48">
        <v>3.0</v>
      </c>
      <c r="L693" s="30"/>
      <c r="M693" s="93"/>
      <c r="N693" s="30"/>
      <c r="O693" s="93"/>
    </row>
    <row r="694">
      <c r="A694" s="37" t="s">
        <v>23</v>
      </c>
      <c r="B694" s="46"/>
      <c r="C694" s="48"/>
      <c r="D694" s="1" t="s">
        <v>159</v>
      </c>
      <c r="E694" s="54" t="s">
        <v>150</v>
      </c>
      <c r="F694" s="47"/>
      <c r="G694" s="48"/>
      <c r="H694" s="1" t="s">
        <v>149</v>
      </c>
      <c r="I694" s="26"/>
      <c r="J694" s="37"/>
      <c r="K694" s="93"/>
      <c r="L694" s="30"/>
      <c r="M694" s="93"/>
      <c r="N694" s="37"/>
      <c r="O694" s="93"/>
    </row>
    <row r="695">
      <c r="A695" s="37"/>
      <c r="B695" s="37"/>
      <c r="C695" s="93"/>
      <c r="D695" s="33" t="s">
        <v>151</v>
      </c>
      <c r="E695" s="26"/>
      <c r="F695" s="37"/>
      <c r="G695" s="95"/>
      <c r="H695" s="33" t="s">
        <v>152</v>
      </c>
      <c r="I695" s="26"/>
      <c r="J695" s="37"/>
      <c r="K695" s="93"/>
      <c r="L695" s="37"/>
      <c r="M695" s="93"/>
      <c r="N695" s="37"/>
      <c r="O695" s="93"/>
    </row>
    <row r="696">
      <c r="A696" s="37" t="s">
        <v>113</v>
      </c>
      <c r="B696" s="96" t="s">
        <v>25</v>
      </c>
      <c r="C696" s="97">
        <f>C691*B691 + B692*C692 + B693*C693 + B694*C694 + B695*C695</f>
        <v>1110</v>
      </c>
      <c r="D696" s="98" t="s">
        <v>25</v>
      </c>
      <c r="E696" s="99" t="str">
        <f>E691*D691 + D692*#REF! + E692*E693 + D694*E694 + D695*E695</f>
        <v>#VALUE!</v>
      </c>
      <c r="F696" s="96" t="s">
        <v>25</v>
      </c>
      <c r="G696" s="97">
        <f>G691*F691 + F692*G692 + F693*G693 + F694*G694 + F695*G695</f>
        <v>810</v>
      </c>
      <c r="H696" s="96" t="s">
        <v>25</v>
      </c>
      <c r="I696" s="100" t="str">
        <f>I691*H691 + H692*I692 + H693*I693 + H694*I694 + H695*I695</f>
        <v>#VALUE!</v>
      </c>
      <c r="J696" s="96" t="s">
        <v>25</v>
      </c>
      <c r="K696" s="97">
        <f>K691*J691 + J692*K692 + J693*K693 + J694*K694 + J695*K695</f>
        <v>1110</v>
      </c>
      <c r="L696" s="96" t="s">
        <v>25</v>
      </c>
      <c r="M696" s="97" t="str">
        <f>M691*L691 + L692*M692 + L693*M693 + L694*M694 + L695*M695</f>
        <v>#VALUE!</v>
      </c>
      <c r="N696" s="96" t="s">
        <v>25</v>
      </c>
      <c r="O696" s="97">
        <f>O691*N691 + N692*O692 + N693*O693 + N694*O694 + N695*O695</f>
        <v>0</v>
      </c>
    </row>
    <row r="697">
      <c r="A697" s="37"/>
      <c r="B697" s="37" t="s">
        <v>26</v>
      </c>
      <c r="C697" s="38">
        <f>(B691*C691 + B692*C692 + B693*C693 + B694*C694 + B695*C695)/SUM(C691:C695)</f>
        <v>123.3333333</v>
      </c>
      <c r="D697" s="30" t="s">
        <v>26</v>
      </c>
      <c r="E697" s="101" t="str">
        <f>(D691*E691 + D692*#REF! + E692*E693 + D694*E694 + D695*E695)/SUM(E691:E695)</f>
        <v>#VALUE!</v>
      </c>
      <c r="F697" s="37" t="s">
        <v>26</v>
      </c>
      <c r="G697" s="102">
        <f>(F691*G691 + F692*G692 + F693*G693 + F694*G694 + F695*G695)/SUM(G691:G695)</f>
        <v>90</v>
      </c>
      <c r="H697" s="37" t="s">
        <v>26</v>
      </c>
      <c r="I697" s="101" t="str">
        <f>(H691*I691 + H692*I692 + H693*I693 + H694*I694 + H695*I695)/SUM(I691:I695)</f>
        <v>#VALUE!</v>
      </c>
      <c r="J697" s="64" t="s">
        <v>26</v>
      </c>
      <c r="K697" s="38">
        <f>(J691*K691 + J692*K692 + J693*K693 + J694*K694 + J695*K695)/SUM(K691:K695)</f>
        <v>123.3333333</v>
      </c>
      <c r="L697" s="37" t="s">
        <v>26</v>
      </c>
      <c r="M697" s="103" t="str">
        <f>(L691*M691 + L692*M692 + L693*M693 + L694*M694 + L695*M695)/SUM(M691:M695)</f>
        <v>#VALUE!</v>
      </c>
      <c r="N697" s="37" t="s">
        <v>26</v>
      </c>
      <c r="O697" s="102" t="str">
        <f>(N691*O691 + N692*O692 + N693*O693 + N694*O694 + N695*O695)/SUM(O691:O695)</f>
        <v>#DIV/0!</v>
      </c>
    </row>
    <row r="698">
      <c r="A698" s="37" t="s">
        <v>27</v>
      </c>
      <c r="B698" s="88" t="s">
        <v>10</v>
      </c>
      <c r="C698" s="89" t="s">
        <v>11</v>
      </c>
      <c r="D698" s="88" t="s">
        <v>10</v>
      </c>
      <c r="E698" s="89" t="s">
        <v>11</v>
      </c>
      <c r="F698" s="88" t="s">
        <v>10</v>
      </c>
      <c r="G698" s="89" t="s">
        <v>11</v>
      </c>
      <c r="H698" s="88" t="s">
        <v>10</v>
      </c>
      <c r="I698" s="89" t="s">
        <v>11</v>
      </c>
      <c r="J698" s="88" t="s">
        <v>10</v>
      </c>
      <c r="K698" s="89" t="s">
        <v>11</v>
      </c>
      <c r="L698" s="88" t="s">
        <v>10</v>
      </c>
      <c r="M698" s="89" t="s">
        <v>11</v>
      </c>
      <c r="N698" s="88" t="s">
        <v>10</v>
      </c>
      <c r="O698" s="89" t="s">
        <v>11</v>
      </c>
    </row>
    <row r="699">
      <c r="A699" s="104" t="s">
        <v>28</v>
      </c>
      <c r="B699" s="20" t="s">
        <v>144</v>
      </c>
      <c r="C699" s="17"/>
      <c r="D699" s="42" t="s">
        <v>91</v>
      </c>
      <c r="E699" s="44" t="s">
        <v>49</v>
      </c>
      <c r="F699" s="20" t="s">
        <v>160</v>
      </c>
      <c r="G699" s="17"/>
      <c r="H699" s="70" t="s">
        <v>91</v>
      </c>
      <c r="I699" s="91" t="s">
        <v>90</v>
      </c>
      <c r="J699" s="70" t="s">
        <v>135</v>
      </c>
      <c r="K699" s="17"/>
      <c r="L699" s="42" t="s">
        <v>91</v>
      </c>
      <c r="M699" s="91" t="s">
        <v>90</v>
      </c>
      <c r="N699" s="92"/>
      <c r="O699" s="91"/>
    </row>
    <row r="700">
      <c r="A700" s="37"/>
      <c r="B700" s="46">
        <v>150.0</v>
      </c>
      <c r="C700" s="48">
        <v>5.0</v>
      </c>
      <c r="D700" s="21">
        <v>60.0</v>
      </c>
      <c r="E700" s="24"/>
      <c r="F700" s="46">
        <v>170.0</v>
      </c>
      <c r="G700" s="48">
        <v>5.0</v>
      </c>
      <c r="H700" s="46"/>
      <c r="I700" s="93"/>
      <c r="J700" s="28">
        <v>85.0</v>
      </c>
      <c r="K700" s="54">
        <v>6.0</v>
      </c>
      <c r="L700" s="21">
        <v>30.0</v>
      </c>
      <c r="M700" s="93"/>
      <c r="N700" s="37"/>
      <c r="O700" s="93"/>
    </row>
    <row r="701">
      <c r="A701" s="37" t="s">
        <v>37</v>
      </c>
      <c r="B701" s="46">
        <v>155.0</v>
      </c>
      <c r="C701" s="48">
        <v>5.0</v>
      </c>
      <c r="D701" s="21">
        <v>30.0</v>
      </c>
      <c r="E701" s="24" t="s">
        <v>161</v>
      </c>
      <c r="F701" s="46">
        <v>180.0</v>
      </c>
      <c r="G701" s="48">
        <v>5.0</v>
      </c>
      <c r="H701" s="108"/>
      <c r="I701" s="93"/>
      <c r="J701" s="27">
        <v>90.0</v>
      </c>
      <c r="K701" s="54">
        <v>6.0</v>
      </c>
      <c r="L701" s="21">
        <v>40.0</v>
      </c>
      <c r="M701" s="93"/>
      <c r="N701" s="37"/>
      <c r="O701" s="93"/>
    </row>
    <row r="702">
      <c r="A702" s="37" t="s">
        <v>39</v>
      </c>
      <c r="B702" s="46">
        <v>165.0</v>
      </c>
      <c r="C702" s="48">
        <v>5.0</v>
      </c>
      <c r="D702" s="46">
        <v>60.0</v>
      </c>
      <c r="E702" s="24"/>
      <c r="F702" s="46">
        <v>190.0</v>
      </c>
      <c r="G702" s="48">
        <v>5.0</v>
      </c>
      <c r="H702" s="46"/>
      <c r="I702" s="93"/>
      <c r="J702" s="27">
        <v>95.0</v>
      </c>
      <c r="K702" s="54">
        <v>6.0</v>
      </c>
      <c r="L702" s="21">
        <v>60.0</v>
      </c>
      <c r="M702" s="93"/>
      <c r="N702" s="37"/>
      <c r="O702" s="93"/>
    </row>
    <row r="703">
      <c r="A703" s="37"/>
      <c r="B703" s="46"/>
      <c r="C703" s="48"/>
      <c r="D703" s="21">
        <v>30.0</v>
      </c>
      <c r="E703" s="24" t="s">
        <v>162</v>
      </c>
      <c r="F703" s="46"/>
      <c r="G703" s="48"/>
      <c r="H703" s="46"/>
      <c r="I703" s="93"/>
      <c r="J703" s="37"/>
      <c r="K703" s="93"/>
      <c r="L703" s="21">
        <v>30.0</v>
      </c>
      <c r="M703" s="93"/>
      <c r="N703" s="37"/>
      <c r="O703" s="93"/>
    </row>
    <row r="704">
      <c r="A704" s="37" t="s">
        <v>41</v>
      </c>
      <c r="B704" s="37"/>
      <c r="C704" s="93"/>
      <c r="D704" s="1">
        <v>30.0</v>
      </c>
      <c r="E704" s="54" t="s">
        <v>103</v>
      </c>
      <c r="F704" s="30"/>
      <c r="G704" s="93"/>
      <c r="H704" s="46"/>
      <c r="I704" s="93"/>
      <c r="J704" s="30"/>
      <c r="K704" s="93"/>
      <c r="L704" s="32"/>
      <c r="M704" s="93"/>
      <c r="N704" s="37"/>
      <c r="O704" s="93"/>
    </row>
    <row r="705">
      <c r="A705" s="37" t="s">
        <v>43</v>
      </c>
      <c r="B705" s="37"/>
      <c r="C705" s="95"/>
      <c r="D705" s="28" t="s">
        <v>101</v>
      </c>
      <c r="E705" s="95"/>
      <c r="F705" s="37"/>
      <c r="G705" s="95"/>
      <c r="H705" s="37" t="s">
        <v>140</v>
      </c>
      <c r="I705" s="93"/>
      <c r="J705" s="37"/>
      <c r="K705" s="93"/>
      <c r="L705" s="37" t="s">
        <v>140</v>
      </c>
      <c r="M705" s="93" t="s">
        <v>42</v>
      </c>
      <c r="N705" s="37"/>
      <c r="O705" s="93"/>
    </row>
    <row r="706">
      <c r="A706" s="37"/>
      <c r="B706" s="96" t="s">
        <v>25</v>
      </c>
      <c r="C706" s="97">
        <f>C700*B700 + B701*C701 + B702*C702 + B703*C703 + B705*C705</f>
        <v>2350</v>
      </c>
      <c r="D706" s="96" t="s">
        <v>25</v>
      </c>
      <c r="E706" s="99" t="str">
        <f>E700*D700 + D701*E701 + D702*E702 + D703*E703 + D705*E705</f>
        <v>#VALUE!</v>
      </c>
      <c r="F706" s="96" t="s">
        <v>25</v>
      </c>
      <c r="G706" s="97">
        <f>G700*F700 + F701*G701 + F702*G702 + F703*G703 + F705*G705</f>
        <v>2700</v>
      </c>
      <c r="H706" s="96" t="s">
        <v>25</v>
      </c>
      <c r="I706" s="100" t="str">
        <f>I700*H700 + H701*I701 + H702*I702 + H703*I703 + H705*I705</f>
        <v>#VALUE!</v>
      </c>
      <c r="J706" s="96" t="s">
        <v>25</v>
      </c>
      <c r="K706" s="97">
        <f>K700*J700 + J701*K701 + J702*K702 + J703*K703 + J705*K705</f>
        <v>1620</v>
      </c>
      <c r="L706" s="96" t="s">
        <v>25</v>
      </c>
      <c r="M706" s="97" t="str">
        <f>M700*L700 + L701*M701 + L702*M702 + L703*M703 + L705*M705</f>
        <v>#VALUE!</v>
      </c>
      <c r="N706" s="96" t="s">
        <v>25</v>
      </c>
      <c r="O706" s="97">
        <f>O700*N700 + N701*O701 + N702*O702 + N703*O703 + N705*O705</f>
        <v>0</v>
      </c>
    </row>
    <row r="707">
      <c r="A707" s="37" t="s">
        <v>116</v>
      </c>
      <c r="B707" s="64" t="s">
        <v>26</v>
      </c>
      <c r="C707" s="38">
        <f>(B701*C701 + B702*C702 + B703*C703 + B704*C704 + B705*C705)/SUM(C701:C705)</f>
        <v>160</v>
      </c>
      <c r="D707" s="64" t="s">
        <v>26</v>
      </c>
      <c r="E707" s="105" t="str">
        <f>(D700*E700 + D701*E701 + D702*E702 + D703*E703 + D705*E705)/SUM(E700:E705)</f>
        <v>#VALUE!</v>
      </c>
      <c r="F707" s="64" t="s">
        <v>26</v>
      </c>
      <c r="G707" s="38">
        <f>(F701*G701 + F702*G702 + F703*G703 + F704*G704 + F705*G705)/SUM(G701:G705)</f>
        <v>185</v>
      </c>
      <c r="H707" s="64" t="s">
        <v>26</v>
      </c>
      <c r="I707" s="105" t="str">
        <f>(H700*I700 + H701*I701 + H702*I702 + H703*I703 + H705*I705)/SUM(I700:I705)</f>
        <v>#VALUE!</v>
      </c>
      <c r="J707" s="64" t="s">
        <v>26</v>
      </c>
      <c r="K707" s="102">
        <f>(J701*K701 + J702*K702 + J703*K703 + J704*K704 + J705*K705)/SUM(K701:K705)</f>
        <v>92.5</v>
      </c>
      <c r="L707" s="64" t="s">
        <v>26</v>
      </c>
      <c r="M707" s="102" t="str">
        <f>(L700*M700 + L701*M701 + L702*M702 + L703*M703 + L705*M705)/SUM(M700:M705)</f>
        <v>#VALUE!</v>
      </c>
      <c r="N707" s="64" t="s">
        <v>26</v>
      </c>
      <c r="O707" s="102" t="str">
        <f>(N701*O701 + N702*O702 + N703*O703 + N704*O704 + N705*O705)/SUM(O701:O705)</f>
        <v>#DIV/0!</v>
      </c>
    </row>
    <row r="708">
      <c r="A708" s="37" t="s">
        <v>117</v>
      </c>
      <c r="B708" s="92" t="s">
        <v>118</v>
      </c>
      <c r="C708" s="91"/>
      <c r="D708" s="45"/>
      <c r="E708" s="91"/>
      <c r="F708" s="92" t="s">
        <v>119</v>
      </c>
      <c r="G708" s="91"/>
      <c r="H708" s="112"/>
      <c r="I708" s="91"/>
      <c r="J708" s="92" t="s">
        <v>71</v>
      </c>
      <c r="K708" s="91"/>
      <c r="L708" s="113" t="s">
        <v>105</v>
      </c>
      <c r="M708" s="91" t="s">
        <v>49</v>
      </c>
      <c r="N708" s="106"/>
      <c r="O708" s="107"/>
    </row>
    <row r="709">
      <c r="A709" s="37" t="s">
        <v>120</v>
      </c>
      <c r="B709" s="46">
        <v>80.0</v>
      </c>
      <c r="C709" s="109">
        <v>8.0</v>
      </c>
      <c r="D709" s="21">
        <v>60.0</v>
      </c>
      <c r="E709" s="24"/>
      <c r="F709" s="46">
        <v>50.0</v>
      </c>
      <c r="G709" s="109">
        <v>8.0</v>
      </c>
      <c r="H709" s="46"/>
      <c r="I709" s="93"/>
      <c r="J709" s="46">
        <v>82.5</v>
      </c>
      <c r="K709" s="109">
        <v>8.0</v>
      </c>
      <c r="L709" s="21">
        <v>40.0</v>
      </c>
      <c r="M709" s="93"/>
      <c r="N709" s="37"/>
      <c r="O709" s="93"/>
    </row>
    <row r="710">
      <c r="A710" s="37"/>
      <c r="B710" s="46">
        <v>82.5</v>
      </c>
      <c r="C710" s="109">
        <v>8.0</v>
      </c>
      <c r="D710" s="21">
        <v>30.0</v>
      </c>
      <c r="E710" s="24" t="s">
        <v>163</v>
      </c>
      <c r="F710" s="46">
        <v>55.0</v>
      </c>
      <c r="G710" s="109">
        <v>8.0</v>
      </c>
      <c r="H710" s="46"/>
      <c r="I710" s="93"/>
      <c r="J710" s="46">
        <v>85.0</v>
      </c>
      <c r="K710" s="109">
        <v>8.0</v>
      </c>
      <c r="L710" s="25">
        <v>60.0</v>
      </c>
      <c r="M710" s="93"/>
      <c r="N710" s="37"/>
      <c r="O710" s="93"/>
    </row>
    <row r="711">
      <c r="A711" s="37" t="s">
        <v>121</v>
      </c>
      <c r="B711" s="46">
        <v>85.0</v>
      </c>
      <c r="C711" s="109">
        <v>8.0</v>
      </c>
      <c r="D711" s="21">
        <v>80.0</v>
      </c>
      <c r="E711" s="24"/>
      <c r="F711" s="46">
        <v>60.0</v>
      </c>
      <c r="G711" s="109">
        <v>8.0</v>
      </c>
      <c r="H711" s="108"/>
      <c r="I711" s="93"/>
      <c r="J711" s="46">
        <v>87.5</v>
      </c>
      <c r="K711" s="109">
        <v>8.0</v>
      </c>
      <c r="L711" s="25">
        <v>30.0</v>
      </c>
      <c r="M711" s="93"/>
      <c r="N711" s="37"/>
      <c r="O711" s="93"/>
    </row>
    <row r="712">
      <c r="A712" s="37" t="s">
        <v>122</v>
      </c>
      <c r="B712" s="37"/>
      <c r="C712" s="95"/>
      <c r="D712" s="21">
        <v>30.0</v>
      </c>
      <c r="E712" s="24" t="s">
        <v>161</v>
      </c>
      <c r="F712" s="37"/>
      <c r="G712" s="95"/>
      <c r="H712" s="108"/>
      <c r="I712" s="95"/>
      <c r="J712" s="37"/>
      <c r="K712" s="93"/>
      <c r="L712" s="25">
        <v>30.0</v>
      </c>
      <c r="M712" s="93"/>
      <c r="N712" s="37"/>
      <c r="O712" s="93"/>
    </row>
    <row r="713">
      <c r="A713" s="37" t="s">
        <v>123</v>
      </c>
      <c r="B713" s="37"/>
      <c r="C713" s="95"/>
      <c r="D713" s="21"/>
      <c r="E713" s="95"/>
      <c r="F713" s="37"/>
      <c r="G713" s="95"/>
      <c r="H713" s="37"/>
      <c r="I713" s="95"/>
      <c r="J713" s="37"/>
      <c r="K713" s="93"/>
      <c r="L713" s="30"/>
      <c r="M713" s="93"/>
      <c r="N713" s="30"/>
      <c r="O713" s="93"/>
    </row>
    <row r="714">
      <c r="A714" s="37"/>
      <c r="B714" s="96" t="s">
        <v>25</v>
      </c>
      <c r="C714" s="99">
        <f>C709*B709 + B710*C710 + B711*C711 + B712*C712 + B713*C713</f>
        <v>1980</v>
      </c>
      <c r="D714" s="96" t="s">
        <v>25</v>
      </c>
      <c r="E714" s="99" t="str">
        <f>E709*D709 + D710*E710 + D711*E711 + D712*E712 + D713*E713</f>
        <v>#VALUE!</v>
      </c>
      <c r="F714" s="96" t="s">
        <v>25</v>
      </c>
      <c r="G714" s="99">
        <f>G709*F709 + F710*G710 + F711*G711 + F712*G712 + F713*G713</f>
        <v>1320</v>
      </c>
      <c r="H714" s="96" t="s">
        <v>25</v>
      </c>
      <c r="I714" s="100">
        <f>I709*H709 + H710*I710 + H711*I711 + H712*I712 + H713*I713</f>
        <v>0</v>
      </c>
      <c r="J714" s="96" t="s">
        <v>25</v>
      </c>
      <c r="K714" s="97">
        <f>K709*J709 + J710*K710 + J711*K711 + J712*K712 + J713*K713</f>
        <v>2040</v>
      </c>
      <c r="L714" s="98" t="s">
        <v>25</v>
      </c>
      <c r="M714" s="111">
        <f>M709*L709 + L710*M710 + L711*M711 + L712*M712 + L713*M713</f>
        <v>0</v>
      </c>
      <c r="N714" s="98" t="s">
        <v>25</v>
      </c>
      <c r="O714" s="111">
        <f>O709*N709 + N710*O710 + N711*O711 + N712*O712 + N713*O713</f>
        <v>0</v>
      </c>
    </row>
    <row r="715">
      <c r="A715" s="37"/>
      <c r="B715" s="64" t="s">
        <v>26</v>
      </c>
      <c r="C715" s="38">
        <f>(B709*C709 + B710*C710 + B711*C711 + B712*C712 + B713*C713)/SUM(C709:C713)</f>
        <v>82.5</v>
      </c>
      <c r="D715" s="66" t="s">
        <v>26</v>
      </c>
      <c r="E715" s="102" t="str">
        <f>(D709*E709 + D710*E710 + D711*E711 + D712*E712 + D713*E713)/SUM(E709:E713)</f>
        <v>#VALUE!</v>
      </c>
      <c r="F715" s="64" t="s">
        <v>26</v>
      </c>
      <c r="G715" s="102">
        <f>(F709*G709 + F710*G710 + F711*G711 + F712*G712 + F713*G713)/SUM(G709:G713)</f>
        <v>55</v>
      </c>
      <c r="H715" s="66" t="s">
        <v>26</v>
      </c>
      <c r="I715" s="102" t="str">
        <f>(H709*I709 + H710*I710 + H711*I711 + H712*I712 + H713*I713)/SUM(I709:I713)</f>
        <v>#DIV/0!</v>
      </c>
      <c r="J715" s="64" t="s">
        <v>26</v>
      </c>
      <c r="K715" s="102">
        <f>(J709*K709 + J710*K710 + J711*K711 + J712*K712 + J713*K713)/SUM(K709:K713)</f>
        <v>85</v>
      </c>
      <c r="L715" s="66" t="s">
        <v>26</v>
      </c>
      <c r="M715" s="102" t="str">
        <f>(L709*M709 + L710*M710 + L711*M711 + L712*M712 + L713*M713)/SUM(M709:M713)</f>
        <v>#DIV/0!</v>
      </c>
      <c r="N715" s="66" t="s">
        <v>26</v>
      </c>
      <c r="O715" s="102" t="str">
        <f>(N709*O709 + N710*O710 + N711*O711 + N712*O712 + N713*O713)/SUM(O713)</f>
        <v>#DIV/0!</v>
      </c>
    </row>
    <row r="716">
      <c r="A716" s="37" t="s">
        <v>124</v>
      </c>
      <c r="B716" s="28" t="s">
        <v>91</v>
      </c>
      <c r="C716" s="30" t="s">
        <v>49</v>
      </c>
      <c r="D716" s="37" t="s">
        <v>50</v>
      </c>
      <c r="E716" s="30" t="s">
        <v>49</v>
      </c>
      <c r="F716" s="37" t="s">
        <v>51</v>
      </c>
      <c r="G716" s="30" t="s">
        <v>49</v>
      </c>
      <c r="H716" s="28" t="s">
        <v>50</v>
      </c>
      <c r="I716" s="30" t="s">
        <v>49</v>
      </c>
      <c r="J716" s="28" t="s">
        <v>91</v>
      </c>
      <c r="K716" s="30" t="s">
        <v>49</v>
      </c>
      <c r="L716" s="37"/>
      <c r="M716" s="60" t="s">
        <v>49</v>
      </c>
      <c r="N716" s="37"/>
      <c r="O716" s="60" t="s">
        <v>49</v>
      </c>
    </row>
    <row r="717">
      <c r="A717" s="37" t="s">
        <v>125</v>
      </c>
      <c r="B717" s="27">
        <v>30.0</v>
      </c>
      <c r="C717" s="60"/>
      <c r="D717" s="30"/>
      <c r="E717" s="60"/>
      <c r="F717" s="27">
        <v>60.0</v>
      </c>
      <c r="G717" s="60"/>
      <c r="H717" s="27" t="s">
        <v>153</v>
      </c>
      <c r="I717" s="60"/>
      <c r="J717" s="27">
        <v>30.0</v>
      </c>
      <c r="K717" s="60"/>
      <c r="L717" s="37"/>
      <c r="M717" s="60"/>
      <c r="N717" s="37"/>
      <c r="O717" s="60"/>
    </row>
    <row r="718">
      <c r="A718" s="37"/>
      <c r="B718" s="27">
        <v>60.0</v>
      </c>
      <c r="C718" s="60"/>
      <c r="D718" s="30"/>
      <c r="E718" s="60"/>
      <c r="F718" s="69">
        <v>40.0</v>
      </c>
      <c r="G718" s="60"/>
      <c r="H718" s="27" t="s">
        <v>154</v>
      </c>
      <c r="I718" s="60"/>
      <c r="J718" s="27">
        <v>30.0</v>
      </c>
      <c r="K718" s="60"/>
      <c r="L718" s="37"/>
      <c r="M718" s="60"/>
      <c r="N718" s="37"/>
      <c r="O718" s="60"/>
    </row>
    <row r="719">
      <c r="A719" s="37"/>
      <c r="B719" s="28">
        <v>20.0</v>
      </c>
      <c r="C719" s="60"/>
      <c r="D719" s="30"/>
      <c r="E719" s="60"/>
      <c r="F719" s="1">
        <v>30.0</v>
      </c>
      <c r="G719" s="60"/>
      <c r="H719" s="28" t="s">
        <v>155</v>
      </c>
      <c r="I719" s="60"/>
      <c r="J719" s="28">
        <v>40.0</v>
      </c>
      <c r="K719" s="60"/>
      <c r="L719" s="30"/>
      <c r="M719" s="60"/>
      <c r="N719" s="30"/>
      <c r="O719" s="60"/>
    </row>
    <row r="720">
      <c r="A720" s="37"/>
      <c r="B720" s="28">
        <v>30.0</v>
      </c>
      <c r="C720" s="30"/>
      <c r="D720" s="37"/>
      <c r="E720" s="30"/>
      <c r="F720" s="28">
        <v>20.0</v>
      </c>
      <c r="G720" s="60"/>
      <c r="H720" s="28" t="s">
        <v>156</v>
      </c>
      <c r="I720" s="1"/>
      <c r="J720" s="28">
        <v>50.0</v>
      </c>
      <c r="K720" s="60"/>
      <c r="L720" s="30"/>
      <c r="M720" s="60"/>
      <c r="N720" s="30"/>
      <c r="O720" s="60"/>
    </row>
    <row r="721">
      <c r="A721" s="37"/>
      <c r="B721" s="37"/>
      <c r="C721" s="30"/>
      <c r="D721" s="37"/>
      <c r="E721" s="30"/>
      <c r="F721" s="37"/>
      <c r="G721" s="60"/>
      <c r="H721" s="28" t="s">
        <v>157</v>
      </c>
      <c r="I721" s="1"/>
      <c r="J721" s="37"/>
      <c r="K721" s="60"/>
      <c r="L721" s="30"/>
      <c r="M721" s="60"/>
      <c r="N721" s="30"/>
      <c r="O721" s="60"/>
    </row>
    <row r="722">
      <c r="A722" s="37"/>
      <c r="B722" s="37"/>
      <c r="C722" s="30"/>
      <c r="D722" s="37"/>
      <c r="E722" s="30"/>
      <c r="F722" s="37"/>
      <c r="G722" s="60"/>
      <c r="H722" s="30"/>
      <c r="I722" s="30"/>
      <c r="J722" s="37"/>
      <c r="K722" s="60"/>
      <c r="L722" s="30"/>
      <c r="M722" s="60"/>
      <c r="N722" s="30"/>
      <c r="O722" s="60"/>
    </row>
    <row r="723">
      <c r="A723" s="64"/>
      <c r="B723" s="64"/>
      <c r="C723" s="66"/>
      <c r="D723" s="64"/>
      <c r="E723" s="66"/>
      <c r="F723" s="64"/>
      <c r="G723" s="67"/>
      <c r="H723" s="114" t="s">
        <v>141</v>
      </c>
      <c r="I723" s="66"/>
      <c r="J723" s="64"/>
      <c r="K723" s="67"/>
      <c r="L723" s="66"/>
      <c r="M723" s="67"/>
      <c r="N723" s="66"/>
      <c r="O723" s="67"/>
    </row>
  </sheetData>
  <mergeCells count="133">
    <mergeCell ref="B233:C233"/>
    <mergeCell ref="D233:E233"/>
    <mergeCell ref="F233:G233"/>
    <mergeCell ref="H233:I233"/>
    <mergeCell ref="J233:K233"/>
    <mergeCell ref="L233:M233"/>
    <mergeCell ref="N233:O233"/>
    <mergeCell ref="B271:C271"/>
    <mergeCell ref="D271:E271"/>
    <mergeCell ref="F271:G271"/>
    <mergeCell ref="H271:I271"/>
    <mergeCell ref="J271:K271"/>
    <mergeCell ref="L271:M271"/>
    <mergeCell ref="N271:O271"/>
    <mergeCell ref="B309:C309"/>
    <mergeCell ref="D309:E309"/>
    <mergeCell ref="F309:G309"/>
    <mergeCell ref="H309:I309"/>
    <mergeCell ref="J309:K309"/>
    <mergeCell ref="L309:M309"/>
    <mergeCell ref="N309:O309"/>
    <mergeCell ref="B347:C347"/>
    <mergeCell ref="D347:E347"/>
    <mergeCell ref="F347:G347"/>
    <mergeCell ref="H347:I347"/>
    <mergeCell ref="J347:K347"/>
    <mergeCell ref="L347:M347"/>
    <mergeCell ref="N347:O347"/>
    <mergeCell ref="B385:C385"/>
    <mergeCell ref="D385:E385"/>
    <mergeCell ref="F385:G385"/>
    <mergeCell ref="H385:I385"/>
    <mergeCell ref="J385:K385"/>
    <mergeCell ref="L385:M385"/>
    <mergeCell ref="N385:O385"/>
    <mergeCell ref="B423:C423"/>
    <mergeCell ref="D423:E423"/>
    <mergeCell ref="F423:G423"/>
    <mergeCell ref="H423:I423"/>
    <mergeCell ref="J423:K423"/>
    <mergeCell ref="L423:M423"/>
    <mergeCell ref="N423:O423"/>
    <mergeCell ref="B461:C461"/>
    <mergeCell ref="D461:E461"/>
    <mergeCell ref="F461:G461"/>
    <mergeCell ref="H461:I461"/>
    <mergeCell ref="J461:K461"/>
    <mergeCell ref="L461:M461"/>
    <mergeCell ref="N461:O461"/>
    <mergeCell ref="B499:C499"/>
    <mergeCell ref="D499:E499"/>
    <mergeCell ref="F499:G499"/>
    <mergeCell ref="H499:I499"/>
    <mergeCell ref="J499:K499"/>
    <mergeCell ref="L499:M499"/>
    <mergeCell ref="N499:O499"/>
    <mergeCell ref="B537:C537"/>
    <mergeCell ref="D537:E537"/>
    <mergeCell ref="F537:G537"/>
    <mergeCell ref="H537:I537"/>
    <mergeCell ref="J537:K537"/>
    <mergeCell ref="L537:M537"/>
    <mergeCell ref="N537:O537"/>
    <mergeCell ref="B575:C575"/>
    <mergeCell ref="D575:E575"/>
    <mergeCell ref="F575:G575"/>
    <mergeCell ref="H575:I575"/>
    <mergeCell ref="J575:K575"/>
    <mergeCell ref="L575:M575"/>
    <mergeCell ref="N575:O575"/>
    <mergeCell ref="B613:C613"/>
    <mergeCell ref="D613:E613"/>
    <mergeCell ref="F613:G613"/>
    <mergeCell ref="H613:I613"/>
    <mergeCell ref="J613:K613"/>
    <mergeCell ref="L613:M613"/>
    <mergeCell ref="N613:O613"/>
    <mergeCell ref="B651:C651"/>
    <mergeCell ref="D651:E651"/>
    <mergeCell ref="F651:G651"/>
    <mergeCell ref="H651:I651"/>
    <mergeCell ref="J651:K651"/>
    <mergeCell ref="L651:M651"/>
    <mergeCell ref="N651:O651"/>
    <mergeCell ref="B5:C5"/>
    <mergeCell ref="D5:E5"/>
    <mergeCell ref="F5:G5"/>
    <mergeCell ref="H5:I5"/>
    <mergeCell ref="J5:K5"/>
    <mergeCell ref="L5:M5"/>
    <mergeCell ref="N5:O5"/>
    <mergeCell ref="B43:C43"/>
    <mergeCell ref="D43:E43"/>
    <mergeCell ref="F43:G43"/>
    <mergeCell ref="H43:I43"/>
    <mergeCell ref="J43:K43"/>
    <mergeCell ref="L43:M43"/>
    <mergeCell ref="N43:O43"/>
    <mergeCell ref="B81:C81"/>
    <mergeCell ref="D81:E81"/>
    <mergeCell ref="F81:G81"/>
    <mergeCell ref="H81:I81"/>
    <mergeCell ref="J81:K81"/>
    <mergeCell ref="L81:M81"/>
    <mergeCell ref="N81:O81"/>
    <mergeCell ref="B119:C119"/>
    <mergeCell ref="D119:E119"/>
    <mergeCell ref="F119:G119"/>
    <mergeCell ref="H119:I119"/>
    <mergeCell ref="J119:K119"/>
    <mergeCell ref="L119:M119"/>
    <mergeCell ref="N119:O119"/>
    <mergeCell ref="B157:C157"/>
    <mergeCell ref="D157:E157"/>
    <mergeCell ref="F157:G157"/>
    <mergeCell ref="H157:I157"/>
    <mergeCell ref="J157:K157"/>
    <mergeCell ref="L157:M157"/>
    <mergeCell ref="N157:O157"/>
    <mergeCell ref="B195:C195"/>
    <mergeCell ref="D195:E195"/>
    <mergeCell ref="F195:G195"/>
    <mergeCell ref="H195:I195"/>
    <mergeCell ref="J195:K195"/>
    <mergeCell ref="L195:M195"/>
    <mergeCell ref="N195:O195"/>
    <mergeCell ref="B689:C689"/>
    <mergeCell ref="D689:E689"/>
    <mergeCell ref="F689:G689"/>
    <mergeCell ref="H689:I689"/>
    <mergeCell ref="J689:K689"/>
    <mergeCell ref="L689:M689"/>
    <mergeCell ref="N689:O68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8.71"/>
    <col customWidth="1" min="2" max="15" width="18.0"/>
    <col customWidth="1" min="16" max="18" width="8.71"/>
    <col customWidth="1" min="19" max="19" width="10.0"/>
    <col customWidth="1" min="20" max="20" width="8.71"/>
  </cols>
  <sheetData>
    <row r="1" ht="14.25" customHeight="1">
      <c r="A1" s="1" t="s">
        <v>164</v>
      </c>
      <c r="B1" s="1" t="s">
        <v>1</v>
      </c>
      <c r="C1" s="115"/>
      <c r="D1" s="31"/>
      <c r="E1" s="115"/>
      <c r="F1" s="31"/>
      <c r="G1" s="115"/>
      <c r="H1" s="31"/>
      <c r="I1" s="115"/>
      <c r="J1" s="31"/>
      <c r="K1" s="115"/>
      <c r="L1" s="31"/>
      <c r="M1" s="115"/>
    </row>
    <row r="2" ht="14.25" customHeight="1">
      <c r="A2" s="1"/>
      <c r="B2" s="31"/>
      <c r="C2" s="115"/>
      <c r="D2" s="31"/>
      <c r="E2" s="115"/>
      <c r="F2" s="31"/>
      <c r="G2" s="115"/>
      <c r="H2" s="31"/>
      <c r="I2" s="115"/>
      <c r="J2" s="31"/>
      <c r="K2" s="115"/>
      <c r="L2" s="31"/>
      <c r="M2" s="115"/>
    </row>
    <row r="3" ht="14.25" customHeight="1">
      <c r="A3" s="2" t="s">
        <v>2</v>
      </c>
      <c r="B3" s="3" t="s">
        <v>3</v>
      </c>
      <c r="C3" s="4">
        <v>45355.0</v>
      </c>
      <c r="D3" s="5" t="s">
        <v>4</v>
      </c>
      <c r="E3" s="6">
        <f>C3+1</f>
        <v>45356</v>
      </c>
      <c r="F3" s="3" t="s">
        <v>5</v>
      </c>
      <c r="G3" s="6">
        <f>E3+1</f>
        <v>45357</v>
      </c>
      <c r="H3" s="3" t="s">
        <v>6</v>
      </c>
      <c r="I3" s="6">
        <f>G3+1</f>
        <v>45358</v>
      </c>
      <c r="J3" s="3" t="s">
        <v>7</v>
      </c>
      <c r="K3" s="6">
        <f>I3+1</f>
        <v>45359</v>
      </c>
      <c r="L3" s="7" t="s">
        <v>8</v>
      </c>
      <c r="M3" s="8">
        <f>K3+1</f>
        <v>45360</v>
      </c>
    </row>
    <row r="4" ht="14.25" customHeight="1">
      <c r="A4" s="10">
        <v>1.0</v>
      </c>
      <c r="B4" s="11" t="s">
        <v>10</v>
      </c>
      <c r="C4" s="12" t="s">
        <v>11</v>
      </c>
      <c r="D4" s="11" t="s">
        <v>10</v>
      </c>
      <c r="E4" s="12" t="s">
        <v>11</v>
      </c>
      <c r="F4" s="11" t="s">
        <v>10</v>
      </c>
      <c r="G4" s="12" t="s">
        <v>11</v>
      </c>
      <c r="H4" s="11" t="s">
        <v>10</v>
      </c>
      <c r="I4" s="12" t="s">
        <v>11</v>
      </c>
      <c r="J4" s="11" t="s">
        <v>10</v>
      </c>
      <c r="K4" s="12" t="s">
        <v>11</v>
      </c>
      <c r="L4" s="11" t="s">
        <v>10</v>
      </c>
      <c r="M4" s="12" t="s">
        <v>11</v>
      </c>
    </row>
    <row r="5" ht="14.25" customHeight="1">
      <c r="A5" s="13" t="s">
        <v>12</v>
      </c>
      <c r="B5" s="16" t="s">
        <v>13</v>
      </c>
      <c r="C5" s="17"/>
      <c r="D5" s="18" t="s">
        <v>14</v>
      </c>
      <c r="E5" s="17"/>
      <c r="F5" s="19" t="s">
        <v>13</v>
      </c>
      <c r="G5" s="17"/>
      <c r="H5" s="18" t="s">
        <v>15</v>
      </c>
      <c r="I5" s="17"/>
      <c r="J5" s="19" t="s">
        <v>13</v>
      </c>
      <c r="K5" s="17"/>
      <c r="L5" s="18" t="s">
        <v>16</v>
      </c>
      <c r="M5" s="17"/>
    </row>
    <row r="6" ht="14.25" customHeight="1">
      <c r="A6" s="13"/>
      <c r="B6" s="21">
        <v>40.0</v>
      </c>
      <c r="C6" s="22">
        <v>8.0</v>
      </c>
      <c r="D6" s="23" t="s">
        <v>18</v>
      </c>
      <c r="E6" s="24"/>
      <c r="F6" s="25">
        <v>40.0</v>
      </c>
      <c r="G6" s="22">
        <v>8.0</v>
      </c>
      <c r="H6" s="23"/>
      <c r="I6" s="26"/>
      <c r="J6" s="25">
        <v>40.0</v>
      </c>
      <c r="K6" s="22">
        <v>8.0</v>
      </c>
      <c r="L6" s="23" t="s">
        <v>19</v>
      </c>
      <c r="M6" s="24"/>
    </row>
    <row r="7" ht="14.25" customHeight="1">
      <c r="A7" s="28" t="s">
        <v>20</v>
      </c>
      <c r="B7" s="21">
        <v>40.0</v>
      </c>
      <c r="C7" s="22">
        <v>8.0</v>
      </c>
      <c r="D7" s="23" t="s">
        <v>21</v>
      </c>
      <c r="E7" s="26"/>
      <c r="F7" s="25">
        <v>42.5</v>
      </c>
      <c r="G7" s="22">
        <v>8.0</v>
      </c>
      <c r="H7" s="23"/>
      <c r="I7" s="26"/>
      <c r="J7" s="25">
        <v>42.5</v>
      </c>
      <c r="K7" s="22">
        <v>8.0</v>
      </c>
      <c r="L7" s="23"/>
      <c r="M7" s="24"/>
    </row>
    <row r="8" ht="14.25" customHeight="1">
      <c r="A8" s="29" t="s">
        <v>22</v>
      </c>
      <c r="B8" s="21">
        <v>42.5</v>
      </c>
      <c r="C8" s="22">
        <v>8.0</v>
      </c>
      <c r="D8" s="30"/>
      <c r="E8" s="26"/>
      <c r="F8" s="25">
        <v>42.5</v>
      </c>
      <c r="G8" s="22">
        <v>8.0</v>
      </c>
      <c r="H8" s="23"/>
      <c r="I8" s="26"/>
      <c r="J8" s="25">
        <v>42.5</v>
      </c>
      <c r="K8" s="22">
        <v>8.0</v>
      </c>
      <c r="L8" s="23"/>
      <c r="M8" s="24"/>
    </row>
    <row r="9" ht="14.25" customHeight="1">
      <c r="A9" s="28" t="s">
        <v>23</v>
      </c>
      <c r="B9" s="21">
        <v>45.0</v>
      </c>
      <c r="C9" s="22">
        <v>8.0</v>
      </c>
      <c r="D9" s="23"/>
      <c r="E9" s="26"/>
      <c r="F9" s="25">
        <v>45.0</v>
      </c>
      <c r="G9" s="22">
        <v>8.0</v>
      </c>
      <c r="H9" s="31"/>
      <c r="I9" s="24"/>
      <c r="J9" s="25">
        <v>45.0</v>
      </c>
      <c r="K9" s="22">
        <v>8.0</v>
      </c>
      <c r="L9" s="23"/>
      <c r="M9" s="26"/>
    </row>
    <row r="10" ht="14.25" customHeight="1">
      <c r="A10" s="13"/>
      <c r="B10" s="13"/>
      <c r="C10" s="24"/>
      <c r="D10" s="73"/>
      <c r="E10" s="26"/>
      <c r="F10" s="13"/>
      <c r="G10" s="34"/>
      <c r="H10" s="13"/>
      <c r="I10" s="34"/>
      <c r="J10" s="13"/>
      <c r="K10" s="24"/>
      <c r="L10" s="13"/>
      <c r="M10" s="24"/>
    </row>
    <row r="11" ht="14.25" customHeight="1">
      <c r="A11" s="28" t="s">
        <v>113</v>
      </c>
      <c r="B11" s="35" t="s">
        <v>25</v>
      </c>
      <c r="C11" s="58">
        <f>C6*B6 + B7*C7 + B8*C8 + B9*C9 + B10*C10</f>
        <v>1340</v>
      </c>
      <c r="D11" s="57" t="s">
        <v>25</v>
      </c>
      <c r="E11" s="55" t="str">
        <f>E6*D6 + D7*#REF! + E7*E8 + D9*E9 + D10*E10</f>
        <v>#VALUE!</v>
      </c>
      <c r="F11" s="35" t="s">
        <v>25</v>
      </c>
      <c r="G11" s="56">
        <f>G6*F6 + F7*G7 + F8*G8 + F9*G9 + F10*G10</f>
        <v>1360</v>
      </c>
      <c r="H11" s="35" t="s">
        <v>25</v>
      </c>
      <c r="I11" s="56">
        <f>I6*H6 + H7*I7 + H8*I8 + H9*I9 + H10*I10</f>
        <v>0</v>
      </c>
      <c r="J11" s="35" t="s">
        <v>25</v>
      </c>
      <c r="K11" s="58">
        <f>K6*J6 + J7*K7 + J8*K8 + J9*K9 + J10*K10</f>
        <v>1360</v>
      </c>
      <c r="L11" s="35" t="s">
        <v>25</v>
      </c>
      <c r="M11" s="36" t="str">
        <f>M6*L6 + L7*M7 + L8*M8 + L9*M9 + L10*M10</f>
        <v>#VALUE!</v>
      </c>
    </row>
    <row r="12" ht="14.25" customHeight="1">
      <c r="A12" s="37"/>
      <c r="B12" s="39" t="s">
        <v>26</v>
      </c>
      <c r="C12" s="116">
        <f>(B6*C6 + B7*C7 + B8*C8 + B9*C9 + B10*C10)/SUM(C6:C10)</f>
        <v>41.875</v>
      </c>
      <c r="D12" s="31" t="s">
        <v>26</v>
      </c>
      <c r="E12" s="74" t="str">
        <f>(D6*E6 + D7*#REF! + E7*E8 + D9*E9 + D10*E10)/SUM(E6:E10)</f>
        <v>#VALUE!</v>
      </c>
      <c r="F12" s="13" t="s">
        <v>26</v>
      </c>
      <c r="G12" s="117">
        <f>(F6*G6 + F7*G7 + F8*G8 + F9*G9 + F10*G10)/SUM(G6:G10)</f>
        <v>42.5</v>
      </c>
      <c r="H12" s="13" t="s">
        <v>26</v>
      </c>
      <c r="I12" s="74" t="str">
        <f>(H6*I6 + H7*I7 + H8*I8 + H9*I9 + H10*I10)/SUM(I6:I10)</f>
        <v>#DIV/0!</v>
      </c>
      <c r="J12" s="39" t="s">
        <v>26</v>
      </c>
      <c r="K12" s="116">
        <f>(J6*K6 + J7*K7 + J8*K8 + J9*K9 + J10*K10)/SUM(K6:K10)</f>
        <v>42.5</v>
      </c>
      <c r="L12" s="13" t="s">
        <v>26</v>
      </c>
      <c r="M12" s="75" t="str">
        <f>(L6*M6 + L7*M7 + L8*M8 + L9*M9 + L10*M10)/SUM(M6:M10)</f>
        <v>#VALUE!</v>
      </c>
    </row>
    <row r="13" ht="14.25" customHeight="1">
      <c r="A13" s="28" t="s">
        <v>27</v>
      </c>
      <c r="B13" s="11" t="s">
        <v>10</v>
      </c>
      <c r="C13" s="12" t="s">
        <v>11</v>
      </c>
      <c r="D13" s="11" t="s">
        <v>10</v>
      </c>
      <c r="E13" s="12" t="s">
        <v>11</v>
      </c>
      <c r="F13" s="11" t="s">
        <v>10</v>
      </c>
      <c r="G13" s="12" t="s">
        <v>11</v>
      </c>
      <c r="H13" s="11" t="s">
        <v>10</v>
      </c>
      <c r="I13" s="12" t="s">
        <v>11</v>
      </c>
      <c r="J13" s="11" t="s">
        <v>10</v>
      </c>
      <c r="K13" s="12" t="s">
        <v>11</v>
      </c>
      <c r="L13" s="11" t="s">
        <v>10</v>
      </c>
      <c r="M13" s="12" t="s">
        <v>11</v>
      </c>
    </row>
    <row r="14" ht="14.25" customHeight="1">
      <c r="A14" s="41" t="s">
        <v>28</v>
      </c>
      <c r="B14" s="42" t="s">
        <v>29</v>
      </c>
      <c r="C14" s="17"/>
      <c r="D14" s="43" t="s">
        <v>30</v>
      </c>
      <c r="E14" s="44" t="s">
        <v>31</v>
      </c>
      <c r="F14" s="45" t="s">
        <v>32</v>
      </c>
      <c r="G14" s="17"/>
      <c r="H14" s="19" t="s">
        <v>33</v>
      </c>
      <c r="I14" s="44"/>
      <c r="J14" s="45" t="s">
        <v>34</v>
      </c>
      <c r="K14" s="17"/>
      <c r="L14" s="43"/>
      <c r="M14" s="44"/>
    </row>
    <row r="15" ht="14.25" customHeight="1">
      <c r="A15" s="28"/>
      <c r="B15" s="46">
        <v>85.0</v>
      </c>
      <c r="C15" s="22">
        <v>10.0</v>
      </c>
      <c r="D15" s="23" t="s">
        <v>35</v>
      </c>
      <c r="E15" s="24" t="s">
        <v>36</v>
      </c>
      <c r="F15" s="47">
        <v>50.0</v>
      </c>
      <c r="G15" s="22">
        <v>10.0</v>
      </c>
      <c r="H15" s="23"/>
      <c r="I15" s="24"/>
      <c r="J15" s="47">
        <v>60.0</v>
      </c>
      <c r="K15" s="22">
        <v>10.0</v>
      </c>
      <c r="L15" s="23"/>
      <c r="M15" s="26"/>
    </row>
    <row r="16" ht="14.25" customHeight="1">
      <c r="A16" s="28" t="s">
        <v>37</v>
      </c>
      <c r="B16" s="46">
        <v>90.0</v>
      </c>
      <c r="C16" s="22">
        <v>10.0</v>
      </c>
      <c r="D16" s="23" t="s">
        <v>35</v>
      </c>
      <c r="E16" s="26" t="s">
        <v>38</v>
      </c>
      <c r="F16" s="47">
        <v>60.0</v>
      </c>
      <c r="G16" s="22">
        <v>10.0</v>
      </c>
      <c r="H16" s="23"/>
      <c r="I16" s="24"/>
      <c r="J16" s="47">
        <v>62.5</v>
      </c>
      <c r="K16" s="22">
        <v>10.0</v>
      </c>
      <c r="L16" s="23"/>
      <c r="M16" s="24"/>
    </row>
    <row r="17" ht="14.25" customHeight="1">
      <c r="A17" s="28" t="s">
        <v>39</v>
      </c>
      <c r="B17" s="46">
        <v>95.0</v>
      </c>
      <c r="C17" s="22">
        <v>10.0</v>
      </c>
      <c r="D17" s="23" t="s">
        <v>40</v>
      </c>
      <c r="E17" s="24" t="s">
        <v>38</v>
      </c>
      <c r="F17" s="47">
        <v>65.0</v>
      </c>
      <c r="G17" s="22">
        <v>10.0</v>
      </c>
      <c r="H17" s="23"/>
      <c r="I17" s="24"/>
      <c r="J17" s="47">
        <v>65.0</v>
      </c>
      <c r="K17" s="22">
        <v>10.0</v>
      </c>
      <c r="L17" s="23"/>
      <c r="M17" s="24"/>
    </row>
    <row r="18" ht="14.25" customHeight="1">
      <c r="A18" s="28"/>
      <c r="B18" s="46">
        <v>97.5</v>
      </c>
      <c r="C18" s="22">
        <v>10.0</v>
      </c>
      <c r="D18" s="23" t="s">
        <v>35</v>
      </c>
      <c r="E18" s="26" t="s">
        <v>38</v>
      </c>
      <c r="F18" s="47">
        <v>67.5</v>
      </c>
      <c r="G18" s="22">
        <v>10.0</v>
      </c>
      <c r="H18" s="23"/>
      <c r="I18" s="24"/>
      <c r="J18" s="47">
        <v>67.5</v>
      </c>
      <c r="K18" s="22">
        <v>10.0</v>
      </c>
      <c r="L18" s="23"/>
      <c r="M18" s="26"/>
    </row>
    <row r="19" ht="14.25" customHeight="1">
      <c r="A19" s="28"/>
      <c r="B19" s="13"/>
      <c r="C19" s="24"/>
      <c r="D19" s="23" t="s">
        <v>35</v>
      </c>
      <c r="E19" s="24" t="s">
        <v>42</v>
      </c>
      <c r="F19" s="31"/>
      <c r="G19" s="24"/>
      <c r="H19" s="23"/>
      <c r="I19" s="24"/>
      <c r="J19" s="31"/>
      <c r="K19" s="24"/>
      <c r="L19" s="23"/>
      <c r="M19" s="24"/>
    </row>
    <row r="20" ht="14.25" customHeight="1">
      <c r="A20" s="28"/>
      <c r="B20" s="13"/>
      <c r="C20" s="34"/>
      <c r="D20" s="28"/>
      <c r="E20" s="34"/>
      <c r="F20" s="13"/>
      <c r="G20" s="34"/>
      <c r="H20" s="28"/>
      <c r="I20" s="34"/>
      <c r="J20" s="13"/>
      <c r="K20" s="24"/>
      <c r="L20" s="28"/>
      <c r="M20" s="24"/>
    </row>
    <row r="21" ht="14.25" customHeight="1">
      <c r="A21" s="28"/>
      <c r="B21" s="35" t="s">
        <v>25</v>
      </c>
      <c r="C21" s="55">
        <f>C15*B15 + B16*C16 + B17*C17 + B18*C18 + B20*C20</f>
        <v>3675</v>
      </c>
      <c r="D21" s="35" t="s">
        <v>25</v>
      </c>
      <c r="E21" s="55" t="str">
        <f>E15*D15 + D16*E16 + D17*E17 + D18*E18 + D20*E20</f>
        <v>#VALUE!</v>
      </c>
      <c r="F21" s="35" t="s">
        <v>25</v>
      </c>
      <c r="G21" s="55">
        <f>G15*F15 + F16*G16 + F17*G17 + F18*G18 + F20*G20</f>
        <v>2425</v>
      </c>
      <c r="H21" s="35" t="s">
        <v>25</v>
      </c>
      <c r="I21" s="56">
        <f>I15*H15 + H16*I16 + H17*I17 + H18*I18 + H20*I20</f>
        <v>0</v>
      </c>
      <c r="J21" s="35" t="s">
        <v>25</v>
      </c>
      <c r="K21" s="36">
        <f>K15*J15 + J16*K16 + J17*K17 + J18*K18 + J20*K20</f>
        <v>2550</v>
      </c>
      <c r="L21" s="35" t="s">
        <v>25</v>
      </c>
      <c r="M21" s="36">
        <f>M15*L15 + L16*M16 + L17*M17 + L18*M18 + L20*M20</f>
        <v>0</v>
      </c>
    </row>
    <row r="22" ht="14.25" customHeight="1">
      <c r="A22" s="28"/>
      <c r="B22" s="39" t="s">
        <v>26</v>
      </c>
      <c r="C22" s="77">
        <f>(B15*C15 + B16*C16 + B17*C17 + B18*C18 + B20*C20)/SUM(C15:C20)</f>
        <v>91.875</v>
      </c>
      <c r="D22" s="39" t="s">
        <v>26</v>
      </c>
      <c r="E22" s="77" t="str">
        <f>(D15*E15 + D16*E16 + D17*E17 + D18*E18 + D20*E20)/SUM(E15:E20)</f>
        <v>#VALUE!</v>
      </c>
      <c r="F22" s="39" t="s">
        <v>26</v>
      </c>
      <c r="G22" s="77">
        <f>(F15*G15 + F16*G16 + F17*G17 + F18*G18 + F20*G20)/SUM(G15:G20)</f>
        <v>60.625</v>
      </c>
      <c r="H22" s="39" t="s">
        <v>26</v>
      </c>
      <c r="I22" s="77" t="str">
        <f>(H15*I15 + H16*I16 + H17*I17 + H18*I18 + H20*I20)/SUM(I15:I20)</f>
        <v>#DIV/0!</v>
      </c>
      <c r="J22" s="39" t="s">
        <v>26</v>
      </c>
      <c r="K22" s="40">
        <f>(J15*K15 + J16*K16 + J17*K17 + J18*K18 + J20*K20)/SUM(K15:K20)</f>
        <v>63.75</v>
      </c>
      <c r="L22" s="39" t="s">
        <v>26</v>
      </c>
      <c r="M22" s="40" t="str">
        <f>(L15*M15 + L16*M16 + L17*M17 + L18*M18 + L20*M20)/SUM(M15:M20)</f>
        <v>#DIV/0!</v>
      </c>
    </row>
    <row r="23" ht="14.25" customHeight="1">
      <c r="A23" s="13"/>
      <c r="B23" s="42" t="s">
        <v>44</v>
      </c>
      <c r="C23" s="17"/>
      <c r="D23" s="18"/>
      <c r="E23" s="17"/>
      <c r="F23" s="43" t="s">
        <v>44</v>
      </c>
      <c r="G23" s="17"/>
      <c r="H23" s="43"/>
      <c r="I23" s="17"/>
      <c r="J23" s="43" t="s">
        <v>44</v>
      </c>
      <c r="K23" s="17"/>
      <c r="L23" s="49" t="s">
        <v>105</v>
      </c>
      <c r="M23" s="118" t="s">
        <v>49</v>
      </c>
    </row>
    <row r="24" ht="14.25" customHeight="1">
      <c r="A24" s="13"/>
      <c r="B24" s="32" t="s">
        <v>45</v>
      </c>
      <c r="C24" s="26"/>
      <c r="D24" s="51" t="s">
        <v>46</v>
      </c>
      <c r="E24" s="24"/>
      <c r="F24" s="23" t="s">
        <v>45</v>
      </c>
      <c r="G24" s="24"/>
      <c r="H24" s="23"/>
      <c r="I24" s="24"/>
      <c r="J24" s="23" t="s">
        <v>45</v>
      </c>
      <c r="K24" s="26"/>
      <c r="L24" s="119"/>
      <c r="M24" s="24"/>
    </row>
    <row r="25" ht="14.25" customHeight="1">
      <c r="A25" s="28"/>
      <c r="B25" s="52" t="s">
        <v>47</v>
      </c>
      <c r="C25" s="26"/>
      <c r="D25" s="23"/>
      <c r="E25" s="26"/>
      <c r="F25" s="53" t="s">
        <v>47</v>
      </c>
      <c r="G25" s="26"/>
      <c r="H25" s="23"/>
      <c r="I25" s="24"/>
      <c r="J25" s="53" t="s">
        <v>47</v>
      </c>
      <c r="K25" s="26"/>
      <c r="L25" s="1"/>
      <c r="M25" s="54"/>
    </row>
    <row r="26" ht="14.25" customHeight="1">
      <c r="A26" s="28"/>
      <c r="B26" s="52" t="s">
        <v>48</v>
      </c>
      <c r="C26" s="26"/>
      <c r="D26" s="23"/>
      <c r="E26" s="24"/>
      <c r="F26" s="53" t="s">
        <v>48</v>
      </c>
      <c r="G26" s="24"/>
      <c r="H26" s="23"/>
      <c r="I26" s="24"/>
      <c r="J26" s="53" t="s">
        <v>48</v>
      </c>
      <c r="K26" s="26"/>
      <c r="L26" s="1"/>
      <c r="M26" s="24"/>
    </row>
    <row r="27" ht="14.25" customHeight="1">
      <c r="A27" s="37"/>
      <c r="B27" s="28"/>
      <c r="C27" s="79"/>
      <c r="D27" s="28"/>
      <c r="E27" s="79"/>
      <c r="F27" s="28"/>
      <c r="G27" s="34"/>
      <c r="H27" s="28"/>
      <c r="I27" s="34"/>
      <c r="J27" s="28"/>
      <c r="K27" s="54"/>
      <c r="L27" s="1"/>
      <c r="M27" s="24"/>
    </row>
    <row r="28" ht="14.25" customHeight="1">
      <c r="A28" s="13"/>
      <c r="B28" s="13"/>
      <c r="C28" s="34"/>
      <c r="D28" s="28"/>
      <c r="E28" s="34"/>
      <c r="F28" s="13"/>
      <c r="G28" s="34"/>
      <c r="H28" s="28"/>
      <c r="I28" s="34"/>
      <c r="J28" s="13"/>
      <c r="K28" s="24"/>
      <c r="L28" s="31"/>
      <c r="M28" s="24"/>
    </row>
    <row r="29" ht="14.25" customHeight="1">
      <c r="A29" s="13"/>
      <c r="B29" s="35" t="s">
        <v>25</v>
      </c>
      <c r="C29" s="55" t="str">
        <f>C24*B24 + B25*C25 + B26*C26 + B27*C27 + B28*C28</f>
        <v>#VALUE!</v>
      </c>
      <c r="D29" s="35" t="s">
        <v>25</v>
      </c>
      <c r="E29" s="55" t="str">
        <f>E24*D24 + D25*E25 + D26*E26 + D27*E27 + D28*E28</f>
        <v>#VALUE!</v>
      </c>
      <c r="F29" s="35" t="s">
        <v>25</v>
      </c>
      <c r="G29" s="55" t="str">
        <f>G24*F24 + F25*G25 + F26*G26 + F27*G27 + F28*G28</f>
        <v>#VALUE!</v>
      </c>
      <c r="H29" s="35" t="s">
        <v>25</v>
      </c>
      <c r="I29" s="56">
        <f>I24*H24 + H25*I25 + H26*I26 + H27*I27 + H28*I28</f>
        <v>0</v>
      </c>
      <c r="J29" s="35" t="s">
        <v>25</v>
      </c>
      <c r="K29" s="36" t="str">
        <f>K24*J24 + J25*K25 + J26*K26 + J27*K27 + J28*K28</f>
        <v>#VALUE!</v>
      </c>
      <c r="L29" s="57" t="s">
        <v>25</v>
      </c>
      <c r="M29" s="58">
        <f>M24*L24 + L25*M25 + L26*M26 + L27*M27 + L28*M28</f>
        <v>0</v>
      </c>
    </row>
    <row r="30" ht="14.25" customHeight="1">
      <c r="A30" s="13"/>
      <c r="B30" s="39" t="s">
        <v>26</v>
      </c>
      <c r="C30" s="40" t="str">
        <f>(B24*C24 + B25*C25 + B26*C26 + B27*C27 + B28*C28)/SUM(C24:C28)</f>
        <v>#VALUE!</v>
      </c>
      <c r="D30" s="59" t="s">
        <v>26</v>
      </c>
      <c r="E30" s="40" t="str">
        <f>(D24*E24 + D25*E25 + D26*E26 + D27*E27 + D28*E28)/SUM(E24:E28)</f>
        <v>#VALUE!</v>
      </c>
      <c r="F30" s="31" t="s">
        <v>26</v>
      </c>
      <c r="G30" s="75" t="str">
        <f>(F24*G24 + F25*G25 + F26*G26 + F27*G27 + F28*G28)/SUM(G24:G28)</f>
        <v>#VALUE!</v>
      </c>
      <c r="H30" s="59" t="s">
        <v>26</v>
      </c>
      <c r="I30" s="40" t="str">
        <f>(H24*I24 + H25*I25 + H26*I26 + H27*I27 + H28*I28)/SUM(I24:I28)</f>
        <v>#DIV/0!</v>
      </c>
      <c r="J30" s="39" t="s">
        <v>26</v>
      </c>
      <c r="K30" s="40" t="str">
        <f>(J24*K24 + J25*K25 + J26*K26 + J27*K27 + J28*K28)/SUM(K24:K28)</f>
        <v>#VALUE!</v>
      </c>
      <c r="L30" s="59" t="s">
        <v>26</v>
      </c>
      <c r="M30" s="40" t="str">
        <f>(L24*M24 + L25*M25 + L26*M26 + L27*M27 + L28*M28)/SUM(M24:M28)</f>
        <v>#DIV/0!</v>
      </c>
    </row>
    <row r="31" ht="14.25" customHeight="1">
      <c r="A31" s="28"/>
      <c r="B31" s="28"/>
      <c r="C31" s="30" t="s">
        <v>49</v>
      </c>
      <c r="D31" s="37"/>
      <c r="E31" s="30" t="s">
        <v>49</v>
      </c>
      <c r="F31" s="120"/>
      <c r="G31" s="121" t="s">
        <v>49</v>
      </c>
      <c r="H31" s="122" t="s">
        <v>33</v>
      </c>
      <c r="I31" s="30"/>
      <c r="J31" s="28"/>
      <c r="K31" s="60" t="s">
        <v>49</v>
      </c>
      <c r="L31" s="30"/>
      <c r="M31" s="60" t="s">
        <v>49</v>
      </c>
    </row>
    <row r="32" ht="14.25" customHeight="1">
      <c r="A32" s="37"/>
      <c r="B32" s="52" t="s">
        <v>52</v>
      </c>
      <c r="C32" s="60"/>
      <c r="D32" s="23"/>
      <c r="E32" s="61"/>
      <c r="F32" s="62" t="s">
        <v>52</v>
      </c>
      <c r="G32" s="61"/>
      <c r="H32" s="30"/>
      <c r="I32" s="60"/>
      <c r="J32" s="62" t="s">
        <v>52</v>
      </c>
      <c r="K32" s="60"/>
      <c r="L32" s="62"/>
      <c r="M32" s="60"/>
    </row>
    <row r="33" ht="14.25" customHeight="1">
      <c r="A33" s="37"/>
      <c r="B33" s="52" t="s">
        <v>53</v>
      </c>
      <c r="C33" s="60"/>
      <c r="D33" s="23"/>
      <c r="E33" s="60"/>
      <c r="F33" s="53" t="s">
        <v>53</v>
      </c>
      <c r="G33" s="60"/>
      <c r="H33" s="30"/>
      <c r="I33" s="60"/>
      <c r="J33" s="53" t="s">
        <v>53</v>
      </c>
      <c r="K33" s="60"/>
      <c r="L33" s="30"/>
      <c r="M33" s="60"/>
    </row>
    <row r="34" ht="14.25" customHeight="1">
      <c r="A34" s="37"/>
      <c r="B34" s="32" t="s">
        <v>54</v>
      </c>
      <c r="C34" s="60"/>
      <c r="D34" s="23"/>
      <c r="E34" s="60"/>
      <c r="F34" s="23" t="s">
        <v>54</v>
      </c>
      <c r="G34" s="60"/>
      <c r="H34" s="30"/>
      <c r="I34" s="60"/>
      <c r="J34" s="30" t="s">
        <v>54</v>
      </c>
      <c r="K34" s="60"/>
      <c r="L34" s="30"/>
      <c r="M34" s="60"/>
    </row>
    <row r="35" ht="14.25" customHeight="1">
      <c r="A35" s="37"/>
      <c r="B35" s="28"/>
      <c r="C35" s="1"/>
      <c r="D35" s="28"/>
      <c r="E35" s="1"/>
      <c r="F35" s="28"/>
      <c r="G35" s="60"/>
      <c r="H35" s="30"/>
      <c r="I35" s="30"/>
      <c r="J35" s="37"/>
      <c r="K35" s="60"/>
      <c r="L35" s="30"/>
      <c r="M35" s="60"/>
    </row>
    <row r="36" ht="14.25" customHeight="1">
      <c r="A36" s="37"/>
      <c r="B36" s="28"/>
      <c r="C36" s="1"/>
      <c r="D36" s="28"/>
      <c r="E36" s="1"/>
      <c r="F36" s="28"/>
      <c r="G36" s="60"/>
      <c r="H36" s="30"/>
      <c r="I36" s="30"/>
      <c r="J36" s="37"/>
      <c r="K36" s="60"/>
      <c r="L36" s="30"/>
      <c r="M36" s="60"/>
    </row>
    <row r="37" ht="14.25" customHeight="1">
      <c r="A37" s="37"/>
      <c r="B37" s="28"/>
      <c r="C37" s="30"/>
      <c r="D37" s="28"/>
      <c r="E37" s="30"/>
      <c r="F37" s="37"/>
      <c r="G37" s="60"/>
      <c r="H37" s="30"/>
      <c r="I37" s="30"/>
      <c r="J37" s="37"/>
      <c r="K37" s="60"/>
      <c r="L37" s="30"/>
      <c r="M37" s="60"/>
    </row>
    <row r="38" ht="14.25" customHeight="1">
      <c r="A38" s="64"/>
      <c r="B38" s="65"/>
      <c r="C38" s="66"/>
      <c r="D38" s="65"/>
      <c r="E38" s="66"/>
      <c r="F38" s="64"/>
      <c r="G38" s="67"/>
      <c r="H38" s="66"/>
      <c r="I38" s="66"/>
      <c r="J38" s="64"/>
      <c r="K38" s="67"/>
      <c r="L38" s="66"/>
      <c r="M38" s="67"/>
    </row>
    <row r="39" ht="14.25" customHeight="1">
      <c r="A39" s="1"/>
      <c r="B39" s="31"/>
      <c r="C39" s="115"/>
      <c r="D39" s="31"/>
      <c r="E39" s="115"/>
      <c r="F39" s="31"/>
      <c r="G39" s="115"/>
      <c r="H39" s="31"/>
      <c r="I39" s="115"/>
      <c r="J39" s="31"/>
      <c r="K39" s="115"/>
      <c r="L39" s="31"/>
      <c r="M39" s="115"/>
    </row>
    <row r="40" ht="14.25" customHeight="1">
      <c r="A40" s="2" t="s">
        <v>2</v>
      </c>
      <c r="B40" s="3" t="s">
        <v>3</v>
      </c>
      <c r="C40" s="4">
        <f>M3+2</f>
        <v>45362</v>
      </c>
      <c r="D40" s="5" t="s">
        <v>4</v>
      </c>
      <c r="E40" s="6">
        <f>C40+1</f>
        <v>45363</v>
      </c>
      <c r="F40" s="3" t="s">
        <v>5</v>
      </c>
      <c r="G40" s="6">
        <f>E40+1</f>
        <v>45364</v>
      </c>
      <c r="H40" s="3" t="s">
        <v>6</v>
      </c>
      <c r="I40" s="6">
        <f>G40+1</f>
        <v>45365</v>
      </c>
      <c r="J40" s="3" t="s">
        <v>7</v>
      </c>
      <c r="K40" s="6">
        <f>I40+1</f>
        <v>45366</v>
      </c>
      <c r="L40" s="7" t="s">
        <v>8</v>
      </c>
      <c r="M40" s="8">
        <f>K40+1</f>
        <v>45367</v>
      </c>
    </row>
    <row r="41" ht="14.25" customHeight="1">
      <c r="A41" s="10">
        <f>A4+1</f>
        <v>2</v>
      </c>
      <c r="B41" s="11" t="s">
        <v>10</v>
      </c>
      <c r="C41" s="12" t="s">
        <v>11</v>
      </c>
      <c r="D41" s="11" t="s">
        <v>10</v>
      </c>
      <c r="E41" s="12" t="s">
        <v>11</v>
      </c>
      <c r="F41" s="11" t="s">
        <v>10</v>
      </c>
      <c r="G41" s="12" t="s">
        <v>11</v>
      </c>
      <c r="H41" s="11" t="s">
        <v>10</v>
      </c>
      <c r="I41" s="12" t="s">
        <v>11</v>
      </c>
      <c r="J41" s="11" t="s">
        <v>10</v>
      </c>
      <c r="K41" s="12" t="s">
        <v>11</v>
      </c>
      <c r="L41" s="11" t="s">
        <v>10</v>
      </c>
      <c r="M41" s="12" t="s">
        <v>11</v>
      </c>
    </row>
    <row r="42" ht="14.25" customHeight="1">
      <c r="A42" s="13" t="s">
        <v>12</v>
      </c>
      <c r="B42" s="16" t="s">
        <v>13</v>
      </c>
      <c r="C42" s="17"/>
      <c r="D42" s="18" t="s">
        <v>14</v>
      </c>
      <c r="E42" s="17"/>
      <c r="F42" s="19" t="s">
        <v>13</v>
      </c>
      <c r="G42" s="17"/>
      <c r="H42" s="18" t="s">
        <v>15</v>
      </c>
      <c r="I42" s="17"/>
      <c r="J42" s="19" t="s">
        <v>13</v>
      </c>
      <c r="K42" s="17"/>
      <c r="L42" s="18" t="s">
        <v>16</v>
      </c>
      <c r="M42" s="17"/>
    </row>
    <row r="43" ht="14.25" customHeight="1">
      <c r="A43" s="13"/>
      <c r="B43" s="46">
        <v>42.5</v>
      </c>
      <c r="C43" s="22">
        <v>8.0</v>
      </c>
      <c r="D43" s="23" t="s">
        <v>18</v>
      </c>
      <c r="E43" s="24"/>
      <c r="F43" s="47">
        <v>42.5</v>
      </c>
      <c r="G43" s="22">
        <v>8.0</v>
      </c>
      <c r="H43" s="23"/>
      <c r="I43" s="26"/>
      <c r="J43" s="47">
        <v>42.5</v>
      </c>
      <c r="K43" s="22">
        <v>8.0</v>
      </c>
      <c r="L43" s="23" t="s">
        <v>19</v>
      </c>
      <c r="M43" s="24"/>
    </row>
    <row r="44" ht="14.25" customHeight="1">
      <c r="A44" s="28" t="s">
        <v>20</v>
      </c>
      <c r="B44" s="46">
        <v>42.5</v>
      </c>
      <c r="C44" s="22">
        <v>8.0</v>
      </c>
      <c r="D44" s="23" t="s">
        <v>21</v>
      </c>
      <c r="E44" s="26"/>
      <c r="F44" s="25">
        <v>42.5</v>
      </c>
      <c r="G44" s="22">
        <v>8.0</v>
      </c>
      <c r="H44" s="23"/>
      <c r="I44" s="26"/>
      <c r="J44" s="47">
        <v>45.0</v>
      </c>
      <c r="K44" s="22">
        <v>8.0</v>
      </c>
      <c r="L44" s="23"/>
      <c r="M44" s="24"/>
    </row>
    <row r="45" ht="14.25" customHeight="1">
      <c r="A45" s="29" t="s">
        <v>22</v>
      </c>
      <c r="B45" s="46">
        <v>45.0</v>
      </c>
      <c r="C45" s="22">
        <v>8.0</v>
      </c>
      <c r="D45" s="30"/>
      <c r="E45" s="26"/>
      <c r="F45" s="47">
        <v>45.0</v>
      </c>
      <c r="G45" s="22">
        <v>8.0</v>
      </c>
      <c r="H45" s="23"/>
      <c r="I45" s="26"/>
      <c r="J45" s="47">
        <v>45.0</v>
      </c>
      <c r="K45" s="22">
        <v>8.0</v>
      </c>
      <c r="L45" s="23"/>
      <c r="M45" s="24"/>
    </row>
    <row r="46" ht="14.25" customHeight="1">
      <c r="A46" s="28" t="s">
        <v>23</v>
      </c>
      <c r="B46" s="21">
        <v>45.0</v>
      </c>
      <c r="C46" s="22">
        <v>8.0</v>
      </c>
      <c r="D46" s="23"/>
      <c r="E46" s="26"/>
      <c r="F46" s="47">
        <v>47.5</v>
      </c>
      <c r="G46" s="22">
        <v>8.0</v>
      </c>
      <c r="H46" s="31"/>
      <c r="I46" s="24"/>
      <c r="J46" s="47">
        <v>47.5</v>
      </c>
      <c r="K46" s="22">
        <v>8.0</v>
      </c>
      <c r="L46" s="23"/>
      <c r="M46" s="26"/>
    </row>
    <row r="47" ht="14.25" customHeight="1">
      <c r="A47" s="13"/>
      <c r="B47" s="13"/>
      <c r="C47" s="24"/>
      <c r="D47" s="73"/>
      <c r="E47" s="26"/>
      <c r="F47" s="13"/>
      <c r="G47" s="34"/>
      <c r="H47" s="13"/>
      <c r="I47" s="34"/>
      <c r="J47" s="13"/>
      <c r="K47" s="24"/>
      <c r="L47" s="13"/>
      <c r="M47" s="24"/>
    </row>
    <row r="48" ht="14.25" customHeight="1">
      <c r="A48" s="28" t="s">
        <v>113</v>
      </c>
      <c r="B48" s="35" t="s">
        <v>25</v>
      </c>
      <c r="C48" s="58">
        <f>C43*B43 + B44*C44 + B45*C45 + B46*C46 + B47*C47</f>
        <v>1400</v>
      </c>
      <c r="D48" s="57" t="s">
        <v>25</v>
      </c>
      <c r="E48" s="55" t="str">
        <f>E43*D43 + D44*#REF! + E44*E45 + D46*E46 + D47*E47</f>
        <v>#VALUE!</v>
      </c>
      <c r="F48" s="35" t="s">
        <v>25</v>
      </c>
      <c r="G48" s="56">
        <f>G43*F43 + F44*G44 + F45*G45 + F46*G46 + F47*G47</f>
        <v>1420</v>
      </c>
      <c r="H48" s="35" t="s">
        <v>25</v>
      </c>
      <c r="I48" s="56">
        <f>I43*H43 + H44*I44 + H45*I45 + H46*I46 + H47*I47</f>
        <v>0</v>
      </c>
      <c r="J48" s="35" t="s">
        <v>25</v>
      </c>
      <c r="K48" s="58">
        <f>K43*J43 + J44*K44 + J45*K45 + J46*K46 + J47*K47</f>
        <v>1440</v>
      </c>
      <c r="L48" s="35" t="s">
        <v>25</v>
      </c>
      <c r="M48" s="36" t="str">
        <f>M43*L43 + L44*M44 + L45*M45 + L46*M46 + L47*M47</f>
        <v>#VALUE!</v>
      </c>
    </row>
    <row r="49" ht="14.25" customHeight="1">
      <c r="A49" s="37"/>
      <c r="B49" s="39" t="s">
        <v>26</v>
      </c>
      <c r="C49" s="116">
        <f>(B43*C43 + B44*C44 + B45*C45 + B46*C46 + B47*C47)/SUM(C43:C47)</f>
        <v>43.75</v>
      </c>
      <c r="D49" s="31" t="s">
        <v>26</v>
      </c>
      <c r="E49" s="74" t="str">
        <f>(D43*E43 + D44*#REF! + E44*E45 + D46*E46 + D47*E47)/SUM(E43:E47)</f>
        <v>#VALUE!</v>
      </c>
      <c r="F49" s="13" t="s">
        <v>26</v>
      </c>
      <c r="G49" s="117">
        <f>(F43*G43 + F44*G44 + F45*G45 + F46*G46 + F47*G47)/SUM(G43:G47)</f>
        <v>44.375</v>
      </c>
      <c r="H49" s="13" t="s">
        <v>26</v>
      </c>
      <c r="I49" s="74" t="str">
        <f>(H43*I43 + H44*I44 + H45*I45 + H46*I46 + H47*I47)/SUM(I43:I47)</f>
        <v>#DIV/0!</v>
      </c>
      <c r="J49" s="39" t="s">
        <v>26</v>
      </c>
      <c r="K49" s="116">
        <f>(J43*K43 + J44*K44 + J45*K45 + J46*K46 + J47*K47)/SUM(K43:K47)</f>
        <v>45</v>
      </c>
      <c r="L49" s="13" t="s">
        <v>26</v>
      </c>
      <c r="M49" s="75" t="str">
        <f>(L43*M43 + L44*M44 + L45*M45 + L46*M46 + L47*M47)/SUM(M43:M47)</f>
        <v>#VALUE!</v>
      </c>
    </row>
    <row r="50" ht="14.25" customHeight="1">
      <c r="A50" s="28" t="s">
        <v>27</v>
      </c>
      <c r="B50" s="11" t="s">
        <v>10</v>
      </c>
      <c r="C50" s="12" t="s">
        <v>11</v>
      </c>
      <c r="D50" s="11" t="s">
        <v>10</v>
      </c>
      <c r="E50" s="12" t="s">
        <v>11</v>
      </c>
      <c r="F50" s="11" t="s">
        <v>10</v>
      </c>
      <c r="G50" s="12" t="s">
        <v>11</v>
      </c>
      <c r="H50" s="11" t="s">
        <v>10</v>
      </c>
      <c r="I50" s="12" t="s">
        <v>11</v>
      </c>
      <c r="J50" s="11" t="s">
        <v>10</v>
      </c>
      <c r="K50" s="12" t="s">
        <v>11</v>
      </c>
      <c r="L50" s="11" t="s">
        <v>10</v>
      </c>
      <c r="M50" s="12" t="s">
        <v>11</v>
      </c>
    </row>
    <row r="51" ht="14.25" customHeight="1">
      <c r="A51" s="41" t="s">
        <v>28</v>
      </c>
      <c r="B51" s="42" t="s">
        <v>29</v>
      </c>
      <c r="C51" s="17"/>
      <c r="D51" s="43" t="s">
        <v>30</v>
      </c>
      <c r="E51" s="44" t="s">
        <v>31</v>
      </c>
      <c r="F51" s="45" t="s">
        <v>32</v>
      </c>
      <c r="G51" s="17"/>
      <c r="H51" s="19" t="s">
        <v>33</v>
      </c>
      <c r="I51" s="44"/>
      <c r="J51" s="45" t="s">
        <v>34</v>
      </c>
      <c r="K51" s="17"/>
      <c r="L51" s="43"/>
      <c r="M51" s="44"/>
    </row>
    <row r="52" ht="14.25" customHeight="1">
      <c r="A52" s="28"/>
      <c r="B52" s="46">
        <v>90.0</v>
      </c>
      <c r="C52" s="22">
        <v>10.0</v>
      </c>
      <c r="D52" s="23" t="s">
        <v>35</v>
      </c>
      <c r="E52" s="24" t="s">
        <v>36</v>
      </c>
      <c r="F52" s="47">
        <v>50.0</v>
      </c>
      <c r="G52" s="22">
        <v>10.0</v>
      </c>
      <c r="H52" s="23"/>
      <c r="I52" s="24"/>
      <c r="J52" s="47">
        <v>60.0</v>
      </c>
      <c r="K52" s="22">
        <v>10.0</v>
      </c>
      <c r="L52" s="23"/>
      <c r="M52" s="26"/>
    </row>
    <row r="53" ht="14.25" customHeight="1">
      <c r="A53" s="28" t="s">
        <v>37</v>
      </c>
      <c r="B53" s="46">
        <v>92.5</v>
      </c>
      <c r="C53" s="22">
        <v>10.0</v>
      </c>
      <c r="D53" s="23" t="s">
        <v>35</v>
      </c>
      <c r="E53" s="26" t="s">
        <v>38</v>
      </c>
      <c r="F53" s="47">
        <v>60.0</v>
      </c>
      <c r="G53" s="22">
        <v>10.0</v>
      </c>
      <c r="H53" s="23"/>
      <c r="I53" s="24"/>
      <c r="J53" s="47">
        <v>62.5</v>
      </c>
      <c r="K53" s="22">
        <v>10.0</v>
      </c>
      <c r="L53" s="23"/>
      <c r="M53" s="24"/>
    </row>
    <row r="54" ht="14.25" customHeight="1">
      <c r="A54" s="28" t="s">
        <v>39</v>
      </c>
      <c r="B54" s="46">
        <v>97.5</v>
      </c>
      <c r="C54" s="22">
        <v>10.0</v>
      </c>
      <c r="D54" s="23" t="s">
        <v>40</v>
      </c>
      <c r="E54" s="24" t="s">
        <v>38</v>
      </c>
      <c r="F54" s="47">
        <v>65.0</v>
      </c>
      <c r="G54" s="22">
        <v>10.0</v>
      </c>
      <c r="H54" s="23"/>
      <c r="I54" s="24"/>
      <c r="J54" s="47">
        <v>65.0</v>
      </c>
      <c r="K54" s="22">
        <v>10.0</v>
      </c>
      <c r="L54" s="23"/>
      <c r="M54" s="24"/>
    </row>
    <row r="55" ht="14.25" customHeight="1">
      <c r="A55" s="28"/>
      <c r="B55" s="46">
        <v>100.0</v>
      </c>
      <c r="C55" s="22">
        <v>10.0</v>
      </c>
      <c r="D55" s="23" t="s">
        <v>35</v>
      </c>
      <c r="E55" s="26" t="s">
        <v>38</v>
      </c>
      <c r="F55" s="47">
        <v>67.5</v>
      </c>
      <c r="G55" s="22">
        <v>10.0</v>
      </c>
      <c r="H55" s="23"/>
      <c r="I55" s="24"/>
      <c r="J55" s="47">
        <v>67.5</v>
      </c>
      <c r="K55" s="22">
        <v>10.0</v>
      </c>
      <c r="L55" s="23"/>
      <c r="M55" s="26"/>
    </row>
    <row r="56" ht="14.25" customHeight="1">
      <c r="A56" s="28"/>
      <c r="B56" s="13"/>
      <c r="C56" s="24"/>
      <c r="D56" s="23" t="s">
        <v>35</v>
      </c>
      <c r="E56" s="24" t="s">
        <v>42</v>
      </c>
      <c r="F56" s="31"/>
      <c r="G56" s="24"/>
      <c r="H56" s="23"/>
      <c r="I56" s="24"/>
      <c r="J56" s="31"/>
      <c r="K56" s="24"/>
      <c r="L56" s="23"/>
      <c r="M56" s="24"/>
    </row>
    <row r="57" ht="14.25" customHeight="1">
      <c r="A57" s="28"/>
      <c r="B57" s="13"/>
      <c r="C57" s="34"/>
      <c r="D57" s="28"/>
      <c r="E57" s="34"/>
      <c r="F57" s="13"/>
      <c r="G57" s="34"/>
      <c r="H57" s="28"/>
      <c r="I57" s="34"/>
      <c r="J57" s="13"/>
      <c r="K57" s="24"/>
      <c r="L57" s="28"/>
      <c r="M57" s="24"/>
    </row>
    <row r="58" ht="14.25" customHeight="1">
      <c r="A58" s="28"/>
      <c r="B58" s="35" t="s">
        <v>25</v>
      </c>
      <c r="C58" s="55">
        <f>C52*B52 + B53*C53 + B54*C54 + B55*C55 + B57*C57</f>
        <v>3800</v>
      </c>
      <c r="D58" s="35" t="s">
        <v>25</v>
      </c>
      <c r="E58" s="55" t="str">
        <f>E52*D52 + D53*E53 + D54*E54 + D55*E55 + D57*E57</f>
        <v>#VALUE!</v>
      </c>
      <c r="F58" s="35" t="s">
        <v>25</v>
      </c>
      <c r="G58" s="55">
        <f>G52*F52 + F53*G53 + F54*G54 + F55*G55 + F57*G57</f>
        <v>2425</v>
      </c>
      <c r="H58" s="35" t="s">
        <v>25</v>
      </c>
      <c r="I58" s="56">
        <f>I52*H52 + H53*I53 + H54*I54 + H55*I55 + H57*I57</f>
        <v>0</v>
      </c>
      <c r="J58" s="35" t="s">
        <v>25</v>
      </c>
      <c r="K58" s="36">
        <f>K52*J52 + J53*K53 + J54*K54 + J55*K55 + J57*K57</f>
        <v>2550</v>
      </c>
      <c r="L58" s="35" t="s">
        <v>25</v>
      </c>
      <c r="M58" s="36">
        <f>M52*L52 + L53*M53 + L54*M54 + L55*M55 + L57*M57</f>
        <v>0</v>
      </c>
    </row>
    <row r="59" ht="14.25" customHeight="1">
      <c r="A59" s="28"/>
      <c r="B59" s="39" t="s">
        <v>26</v>
      </c>
      <c r="C59" s="77">
        <f>(B52*C52 + B53*C53 + B54*C54 + B55*C55 + B57*C57)/SUM(C52:C57)</f>
        <v>95</v>
      </c>
      <c r="D59" s="39" t="s">
        <v>26</v>
      </c>
      <c r="E59" s="77" t="str">
        <f>(D52*E52 + D53*E53 + D54*E54 + D55*E55 + D57*E57)/SUM(E52:E57)</f>
        <v>#VALUE!</v>
      </c>
      <c r="F59" s="39" t="s">
        <v>26</v>
      </c>
      <c r="G59" s="77">
        <f>(F52*G52 + F53*G53 + F54*G54 + F55*G55 + F57*G57)/SUM(G52:G57)</f>
        <v>60.625</v>
      </c>
      <c r="H59" s="39" t="s">
        <v>26</v>
      </c>
      <c r="I59" s="77" t="str">
        <f>(H52*I52 + H53*I53 + H54*I54 + H55*I55 + H57*I57)/SUM(I52:I57)</f>
        <v>#DIV/0!</v>
      </c>
      <c r="J59" s="39" t="s">
        <v>26</v>
      </c>
      <c r="K59" s="40">
        <f>(J52*K52 + J53*K53 + J54*K54 + J55*K55 + J57*K57)/SUM(K52:K57)</f>
        <v>63.75</v>
      </c>
      <c r="L59" s="39" t="s">
        <v>26</v>
      </c>
      <c r="M59" s="40" t="str">
        <f>(L52*M52 + L53*M53 + L54*M54 + L55*M55 + L57*M57)/SUM(M52:M57)</f>
        <v>#DIV/0!</v>
      </c>
    </row>
    <row r="60" ht="14.25" customHeight="1">
      <c r="A60" s="13"/>
      <c r="B60" s="42" t="s">
        <v>44</v>
      </c>
      <c r="C60" s="17"/>
      <c r="D60" s="18"/>
      <c r="E60" s="17"/>
      <c r="F60" s="43" t="s">
        <v>44</v>
      </c>
      <c r="G60" s="17"/>
      <c r="H60" s="43"/>
      <c r="I60" s="17"/>
      <c r="J60" s="43" t="s">
        <v>44</v>
      </c>
      <c r="K60" s="17"/>
      <c r="L60" s="49" t="s">
        <v>105</v>
      </c>
      <c r="M60" s="118" t="s">
        <v>49</v>
      </c>
    </row>
    <row r="61" ht="14.25" customHeight="1">
      <c r="A61" s="13"/>
      <c r="B61" s="32" t="s">
        <v>45</v>
      </c>
      <c r="C61" s="26"/>
      <c r="D61" s="51" t="s">
        <v>46</v>
      </c>
      <c r="E61" s="24"/>
      <c r="F61" s="23" t="s">
        <v>45</v>
      </c>
      <c r="G61" s="24"/>
      <c r="H61" s="23"/>
      <c r="I61" s="24"/>
      <c r="J61" s="23" t="s">
        <v>45</v>
      </c>
      <c r="K61" s="26"/>
      <c r="L61" s="119"/>
      <c r="M61" s="24"/>
    </row>
    <row r="62" ht="14.25" customHeight="1">
      <c r="A62" s="28"/>
      <c r="B62" s="52" t="s">
        <v>47</v>
      </c>
      <c r="C62" s="26"/>
      <c r="D62" s="23"/>
      <c r="E62" s="26"/>
      <c r="F62" s="53" t="s">
        <v>47</v>
      </c>
      <c r="G62" s="26"/>
      <c r="H62" s="23"/>
      <c r="I62" s="24"/>
      <c r="J62" s="53" t="s">
        <v>47</v>
      </c>
      <c r="K62" s="26"/>
      <c r="L62" s="1"/>
      <c r="M62" s="54"/>
    </row>
    <row r="63" ht="14.25" customHeight="1">
      <c r="A63" s="28"/>
      <c r="B63" s="52" t="s">
        <v>48</v>
      </c>
      <c r="C63" s="26"/>
      <c r="D63" s="23"/>
      <c r="E63" s="24"/>
      <c r="F63" s="53" t="s">
        <v>48</v>
      </c>
      <c r="G63" s="24"/>
      <c r="H63" s="23"/>
      <c r="I63" s="24"/>
      <c r="J63" s="53" t="s">
        <v>48</v>
      </c>
      <c r="K63" s="26"/>
      <c r="L63" s="1"/>
      <c r="M63" s="24"/>
    </row>
    <row r="64" ht="14.25" customHeight="1">
      <c r="A64" s="37"/>
      <c r="B64" s="28"/>
      <c r="C64" s="79"/>
      <c r="D64" s="28"/>
      <c r="E64" s="79"/>
      <c r="F64" s="28"/>
      <c r="G64" s="34"/>
      <c r="H64" s="28"/>
      <c r="I64" s="34"/>
      <c r="J64" s="28"/>
      <c r="K64" s="54"/>
      <c r="L64" s="1"/>
      <c r="M64" s="24"/>
    </row>
    <row r="65" ht="14.25" customHeight="1">
      <c r="A65" s="13"/>
      <c r="B65" s="13"/>
      <c r="C65" s="34"/>
      <c r="D65" s="28"/>
      <c r="E65" s="34"/>
      <c r="F65" s="13"/>
      <c r="G65" s="34"/>
      <c r="H65" s="28"/>
      <c r="I65" s="34"/>
      <c r="J65" s="13"/>
      <c r="K65" s="24"/>
      <c r="L65" s="31"/>
      <c r="M65" s="24"/>
    </row>
    <row r="66" ht="14.25" customHeight="1">
      <c r="A66" s="13"/>
      <c r="B66" s="35" t="s">
        <v>25</v>
      </c>
      <c r="C66" s="55" t="str">
        <f>C61*B61 + B62*C62 + B63*C63 + B64*C64 + B65*C65</f>
        <v>#VALUE!</v>
      </c>
      <c r="D66" s="35" t="s">
        <v>25</v>
      </c>
      <c r="E66" s="55" t="str">
        <f>E61*D61 + D62*E62 + D63*E63 + D64*E64 + D65*E65</f>
        <v>#VALUE!</v>
      </c>
      <c r="F66" s="35" t="s">
        <v>25</v>
      </c>
      <c r="G66" s="55" t="str">
        <f>G61*F61 + F62*G62 + F63*G63 + F64*G64 + F65*G65</f>
        <v>#VALUE!</v>
      </c>
      <c r="H66" s="35" t="s">
        <v>25</v>
      </c>
      <c r="I66" s="56">
        <f>I61*H61 + H62*I62 + H63*I63 + H64*I64 + H65*I65</f>
        <v>0</v>
      </c>
      <c r="J66" s="35" t="s">
        <v>25</v>
      </c>
      <c r="K66" s="36" t="str">
        <f>K61*J61 + J62*K62 + J63*K63 + J64*K64 + J65*K65</f>
        <v>#VALUE!</v>
      </c>
      <c r="L66" s="57" t="s">
        <v>25</v>
      </c>
      <c r="M66" s="58">
        <f>M61*L61 + L62*M62 + L63*M63 + L64*M64 + L65*M65</f>
        <v>0</v>
      </c>
    </row>
    <row r="67" ht="14.25" customHeight="1">
      <c r="A67" s="13"/>
      <c r="B67" s="39" t="s">
        <v>26</v>
      </c>
      <c r="C67" s="40" t="str">
        <f>(B61*C61 + B62*C62 + B63*C63 + B64*C64 + B65*C65)/SUM(C61:C65)</f>
        <v>#VALUE!</v>
      </c>
      <c r="D67" s="59" t="s">
        <v>26</v>
      </c>
      <c r="E67" s="40" t="str">
        <f>(D61*E61 + D62*E62 + D63*E63 + D64*E64 + D65*E65)/SUM(E61:E65)</f>
        <v>#VALUE!</v>
      </c>
      <c r="F67" s="31" t="s">
        <v>26</v>
      </c>
      <c r="G67" s="75" t="str">
        <f>(F61*G61 + F62*G62 + F63*G63 + F64*G64 + F65*G65)/SUM(G61:G65)</f>
        <v>#VALUE!</v>
      </c>
      <c r="H67" s="59" t="s">
        <v>26</v>
      </c>
      <c r="I67" s="40" t="str">
        <f>(H61*I61 + H62*I62 + H63*I63 + H64*I64 + H65*I65)/SUM(I61:I65)</f>
        <v>#DIV/0!</v>
      </c>
      <c r="J67" s="39" t="s">
        <v>26</v>
      </c>
      <c r="K67" s="40" t="str">
        <f>(J61*K61 + J62*K62 + J63*K63 + J64*K64 + J65*K65)/SUM(K61:K65)</f>
        <v>#VALUE!</v>
      </c>
      <c r="L67" s="59" t="s">
        <v>26</v>
      </c>
      <c r="M67" s="40" t="str">
        <f>(L61*M61 + L62*M62 + L63*M63 + L64*M64 + L65*M65)/SUM(M61:M65)</f>
        <v>#DIV/0!</v>
      </c>
    </row>
    <row r="68" ht="14.25" customHeight="1">
      <c r="A68" s="28"/>
      <c r="B68" s="28"/>
      <c r="C68" s="30" t="s">
        <v>49</v>
      </c>
      <c r="D68" s="37"/>
      <c r="E68" s="30" t="s">
        <v>49</v>
      </c>
      <c r="F68" s="120"/>
      <c r="G68" s="121" t="s">
        <v>49</v>
      </c>
      <c r="H68" s="122" t="s">
        <v>33</v>
      </c>
      <c r="I68" s="30"/>
      <c r="J68" s="28"/>
      <c r="K68" s="60" t="s">
        <v>49</v>
      </c>
      <c r="L68" s="30"/>
      <c r="M68" s="60" t="s">
        <v>49</v>
      </c>
    </row>
    <row r="69" ht="14.25" customHeight="1">
      <c r="A69" s="37"/>
      <c r="B69" s="52" t="s">
        <v>52</v>
      </c>
      <c r="C69" s="60"/>
      <c r="D69" s="23"/>
      <c r="E69" s="61"/>
      <c r="F69" s="62" t="s">
        <v>52</v>
      </c>
      <c r="G69" s="61"/>
      <c r="H69" s="30"/>
      <c r="I69" s="60"/>
      <c r="J69" s="62" t="s">
        <v>52</v>
      </c>
      <c r="K69" s="60"/>
      <c r="L69" s="62"/>
      <c r="M69" s="60"/>
    </row>
    <row r="70" ht="14.25" customHeight="1">
      <c r="A70" s="37"/>
      <c r="B70" s="52" t="s">
        <v>53</v>
      </c>
      <c r="C70" s="60"/>
      <c r="D70" s="23"/>
      <c r="E70" s="60"/>
      <c r="F70" s="53" t="s">
        <v>53</v>
      </c>
      <c r="G70" s="60"/>
      <c r="H70" s="30"/>
      <c r="I70" s="60"/>
      <c r="J70" s="53" t="s">
        <v>53</v>
      </c>
      <c r="K70" s="60"/>
      <c r="L70" s="30"/>
      <c r="M70" s="60"/>
    </row>
    <row r="71" ht="14.25" customHeight="1">
      <c r="A71" s="37"/>
      <c r="B71" s="32" t="s">
        <v>54</v>
      </c>
      <c r="C71" s="60"/>
      <c r="D71" s="23"/>
      <c r="E71" s="60"/>
      <c r="F71" s="23" t="s">
        <v>54</v>
      </c>
      <c r="G71" s="60"/>
      <c r="H71" s="30"/>
      <c r="I71" s="60"/>
      <c r="J71" s="30" t="s">
        <v>54</v>
      </c>
      <c r="K71" s="60"/>
      <c r="L71" s="30"/>
      <c r="M71" s="60"/>
    </row>
    <row r="72" ht="14.25" customHeight="1">
      <c r="A72" s="37"/>
      <c r="B72" s="28"/>
      <c r="C72" s="1"/>
      <c r="D72" s="28"/>
      <c r="E72" s="1"/>
      <c r="F72" s="28"/>
      <c r="G72" s="60"/>
      <c r="H72" s="30"/>
      <c r="I72" s="30"/>
      <c r="J72" s="37"/>
      <c r="K72" s="60"/>
      <c r="L72" s="30"/>
      <c r="M72" s="60"/>
    </row>
    <row r="73" ht="14.25" customHeight="1">
      <c r="A73" s="37"/>
      <c r="B73" s="28"/>
      <c r="C73" s="1"/>
      <c r="D73" s="28"/>
      <c r="E73" s="1"/>
      <c r="F73" s="28"/>
      <c r="G73" s="60"/>
      <c r="H73" s="30"/>
      <c r="I73" s="30"/>
      <c r="J73" s="37"/>
      <c r="K73" s="60"/>
      <c r="L73" s="30"/>
      <c r="M73" s="60"/>
    </row>
    <row r="74" ht="14.25" customHeight="1">
      <c r="A74" s="37"/>
      <c r="B74" s="28"/>
      <c r="C74" s="1"/>
      <c r="D74" s="28"/>
      <c r="E74" s="1"/>
      <c r="F74" s="28"/>
      <c r="G74" s="60"/>
      <c r="H74" s="30"/>
      <c r="I74" s="30"/>
      <c r="J74" s="37"/>
      <c r="K74" s="60"/>
      <c r="L74" s="30"/>
      <c r="M74" s="60"/>
    </row>
    <row r="75" ht="14.25" customHeight="1">
      <c r="A75" s="64"/>
      <c r="B75" s="65"/>
      <c r="C75" s="66"/>
      <c r="D75" s="65"/>
      <c r="E75" s="66"/>
      <c r="F75" s="64"/>
      <c r="G75" s="67"/>
      <c r="H75" s="66"/>
      <c r="I75" s="66"/>
      <c r="J75" s="64"/>
      <c r="K75" s="67"/>
      <c r="L75" s="66"/>
      <c r="M75" s="67"/>
    </row>
    <row r="76" ht="14.25" customHeight="1">
      <c r="A76" s="30"/>
      <c r="B76" s="1"/>
      <c r="C76" s="1"/>
      <c r="D76" s="30"/>
      <c r="E76" s="30"/>
      <c r="F76" s="1"/>
      <c r="G76" s="30"/>
      <c r="H76" s="30"/>
      <c r="I76" s="30"/>
      <c r="J76" s="1"/>
      <c r="K76" s="30"/>
      <c r="L76" s="30"/>
      <c r="M76" s="30"/>
    </row>
    <row r="77" ht="14.25" customHeight="1">
      <c r="A77" s="2" t="s">
        <v>2</v>
      </c>
      <c r="B77" s="3" t="s">
        <v>3</v>
      </c>
      <c r="C77" s="4">
        <f>M40+2</f>
        <v>45369</v>
      </c>
      <c r="D77" s="5" t="s">
        <v>4</v>
      </c>
      <c r="E77" s="6">
        <f>C77+1</f>
        <v>45370</v>
      </c>
      <c r="F77" s="3" t="s">
        <v>5</v>
      </c>
      <c r="G77" s="6">
        <f>E77+1</f>
        <v>45371</v>
      </c>
      <c r="H77" s="3" t="s">
        <v>6</v>
      </c>
      <c r="I77" s="6">
        <f>G77+1</f>
        <v>45372</v>
      </c>
      <c r="J77" s="3" t="s">
        <v>7</v>
      </c>
      <c r="K77" s="6">
        <f>I77+1</f>
        <v>45373</v>
      </c>
      <c r="L77" s="7" t="s">
        <v>8</v>
      </c>
      <c r="M77" s="8">
        <f>K77+1</f>
        <v>45374</v>
      </c>
    </row>
    <row r="78" ht="14.25" customHeight="1">
      <c r="A78" s="10">
        <f>A41+1</f>
        <v>3</v>
      </c>
      <c r="B78" s="11" t="s">
        <v>10</v>
      </c>
      <c r="C78" s="12" t="s">
        <v>11</v>
      </c>
      <c r="D78" s="11" t="s">
        <v>10</v>
      </c>
      <c r="E78" s="12" t="s">
        <v>11</v>
      </c>
      <c r="F78" s="11" t="s">
        <v>10</v>
      </c>
      <c r="G78" s="12" t="s">
        <v>11</v>
      </c>
      <c r="H78" s="11" t="s">
        <v>10</v>
      </c>
      <c r="I78" s="12" t="s">
        <v>11</v>
      </c>
      <c r="J78" s="11" t="s">
        <v>10</v>
      </c>
      <c r="K78" s="12" t="s">
        <v>11</v>
      </c>
      <c r="L78" s="11" t="s">
        <v>10</v>
      </c>
      <c r="M78" s="12" t="s">
        <v>11</v>
      </c>
    </row>
    <row r="79" ht="14.25" customHeight="1">
      <c r="A79" s="13" t="s">
        <v>12</v>
      </c>
      <c r="B79" s="16" t="s">
        <v>13</v>
      </c>
      <c r="C79" s="17"/>
      <c r="D79" s="18" t="s">
        <v>14</v>
      </c>
      <c r="E79" s="17"/>
      <c r="F79" s="68" t="s">
        <v>55</v>
      </c>
      <c r="G79" s="17"/>
      <c r="H79" s="18" t="s">
        <v>15</v>
      </c>
      <c r="I79" s="17"/>
      <c r="J79" s="68" t="s">
        <v>56</v>
      </c>
      <c r="K79" s="17"/>
      <c r="L79" s="18" t="s">
        <v>16</v>
      </c>
      <c r="M79" s="17"/>
    </row>
    <row r="80" ht="14.25" customHeight="1">
      <c r="A80" s="13"/>
      <c r="B80" s="46">
        <v>42.5</v>
      </c>
      <c r="C80" s="22">
        <v>8.0</v>
      </c>
      <c r="D80" s="23" t="s">
        <v>18</v>
      </c>
      <c r="E80" s="24"/>
      <c r="F80" s="47">
        <v>20.0</v>
      </c>
      <c r="G80" s="22">
        <v>8.0</v>
      </c>
      <c r="H80" s="23"/>
      <c r="I80" s="26"/>
      <c r="J80" s="47">
        <v>42.5</v>
      </c>
      <c r="K80" s="22">
        <v>8.0</v>
      </c>
      <c r="L80" s="23" t="s">
        <v>19</v>
      </c>
      <c r="M80" s="24"/>
    </row>
    <row r="81" ht="14.25" customHeight="1">
      <c r="A81" s="28" t="s">
        <v>20</v>
      </c>
      <c r="B81" s="46">
        <v>45.0</v>
      </c>
      <c r="C81" s="22">
        <v>8.0</v>
      </c>
      <c r="D81" s="23" t="s">
        <v>21</v>
      </c>
      <c r="E81" s="26"/>
      <c r="F81" s="47">
        <v>22.5</v>
      </c>
      <c r="G81" s="22">
        <v>8.0</v>
      </c>
      <c r="H81" s="23"/>
      <c r="I81" s="26"/>
      <c r="J81" s="47">
        <v>45.0</v>
      </c>
      <c r="K81" s="22">
        <v>8.0</v>
      </c>
      <c r="L81" s="23"/>
      <c r="M81" s="24"/>
    </row>
    <row r="82" ht="14.25" customHeight="1">
      <c r="A82" s="29" t="s">
        <v>22</v>
      </c>
      <c r="B82" s="46">
        <v>47.5</v>
      </c>
      <c r="C82" s="22">
        <v>8.0</v>
      </c>
      <c r="D82" s="30"/>
      <c r="E82" s="26"/>
      <c r="F82" s="47">
        <v>22.5</v>
      </c>
      <c r="G82" s="22">
        <v>8.0</v>
      </c>
      <c r="H82" s="23"/>
      <c r="I82" s="26"/>
      <c r="J82" s="47">
        <v>45.0</v>
      </c>
      <c r="K82" s="22">
        <v>8.0</v>
      </c>
      <c r="L82" s="23"/>
      <c r="M82" s="24"/>
    </row>
    <row r="83" ht="14.25" customHeight="1">
      <c r="A83" s="28" t="s">
        <v>23</v>
      </c>
      <c r="B83" s="46">
        <v>50.0</v>
      </c>
      <c r="C83" s="22">
        <v>8.0</v>
      </c>
      <c r="D83" s="23"/>
      <c r="E83" s="26"/>
      <c r="F83" s="47">
        <v>25.0</v>
      </c>
      <c r="G83" s="22">
        <v>8.0</v>
      </c>
      <c r="H83" s="31"/>
      <c r="I83" s="24"/>
      <c r="J83" s="47">
        <v>47.5</v>
      </c>
      <c r="K83" s="22">
        <v>8.0</v>
      </c>
      <c r="L83" s="23"/>
      <c r="M83" s="26"/>
    </row>
    <row r="84" ht="14.25" customHeight="1">
      <c r="A84" s="13"/>
      <c r="B84" s="13"/>
      <c r="C84" s="24"/>
      <c r="D84" s="73"/>
      <c r="E84" s="26"/>
      <c r="F84" s="13"/>
      <c r="G84" s="34"/>
      <c r="H84" s="13"/>
      <c r="I84" s="34"/>
      <c r="J84" s="13"/>
      <c r="K84" s="24"/>
      <c r="L84" s="13"/>
      <c r="M84" s="24"/>
    </row>
    <row r="85" ht="14.25" customHeight="1">
      <c r="A85" s="28" t="s">
        <v>113</v>
      </c>
      <c r="B85" s="35" t="s">
        <v>25</v>
      </c>
      <c r="C85" s="58">
        <f>C80*B80 + B81*C81 + B82*C82 + B83*C83 + B84*C84</f>
        <v>1480</v>
      </c>
      <c r="D85" s="57" t="s">
        <v>25</v>
      </c>
      <c r="E85" s="55" t="str">
        <f>E80*D80 + D81*#REF! + E81*E82 + D83*E83 + D84*E84</f>
        <v>#VALUE!</v>
      </c>
      <c r="F85" s="35" t="s">
        <v>25</v>
      </c>
      <c r="G85" s="56">
        <f>G80*F80 + F81*G81 + F82*G82 + F83*G83 + F84*G84</f>
        <v>720</v>
      </c>
      <c r="H85" s="35" t="s">
        <v>25</v>
      </c>
      <c r="I85" s="56">
        <f>I80*H80 + H81*I81 + H82*I82 + H83*I83 + H84*I84</f>
        <v>0</v>
      </c>
      <c r="J85" s="35" t="s">
        <v>25</v>
      </c>
      <c r="K85" s="58">
        <f>K80*J80 + J81*K81 + J82*K82 + J83*K83 + J84*K84</f>
        <v>1440</v>
      </c>
      <c r="L85" s="35" t="s">
        <v>25</v>
      </c>
      <c r="M85" s="36" t="str">
        <f>M80*L80 + L81*M81 + L82*M82 + L83*M83 + L84*M84</f>
        <v>#VALUE!</v>
      </c>
    </row>
    <row r="86" ht="14.25" customHeight="1">
      <c r="A86" s="37"/>
      <c r="B86" s="39" t="s">
        <v>26</v>
      </c>
      <c r="C86" s="116">
        <f>(B80*C80 + B81*C81 + B82*C82 + B83*C83 + B84*C84)/SUM(C80:C84)</f>
        <v>46.25</v>
      </c>
      <c r="D86" s="31" t="s">
        <v>26</v>
      </c>
      <c r="E86" s="74" t="str">
        <f>(D80*E80 + D81*#REF! + E81*E82 + D83*E83 + D84*E84)/SUM(E80:E84)</f>
        <v>#VALUE!</v>
      </c>
      <c r="F86" s="13" t="s">
        <v>26</v>
      </c>
      <c r="G86" s="117">
        <f>(F80*G80 + F81*G81 + F82*G82 + F83*G83 + F84*G84)/SUM(G80:G84)</f>
        <v>22.5</v>
      </c>
      <c r="H86" s="13" t="s">
        <v>26</v>
      </c>
      <c r="I86" s="74" t="str">
        <f>(H80*I80 + H81*I81 + H82*I82 + H83*I83 + H84*I84)/SUM(I80:I84)</f>
        <v>#DIV/0!</v>
      </c>
      <c r="J86" s="39" t="s">
        <v>26</v>
      </c>
      <c r="K86" s="116">
        <f>(J80*K80 + J81*K81 + J82*K82 + J83*K83 + J84*K84)/SUM(K80:K84)</f>
        <v>45</v>
      </c>
      <c r="L86" s="13" t="s">
        <v>26</v>
      </c>
      <c r="M86" s="75" t="str">
        <f>(L80*M80 + L81*M81 + L82*M82 + L83*M83 + L84*M84)/SUM(M80:M84)</f>
        <v>#VALUE!</v>
      </c>
    </row>
    <row r="87" ht="14.25" customHeight="1">
      <c r="A87" s="28" t="s">
        <v>27</v>
      </c>
      <c r="B87" s="11" t="s">
        <v>10</v>
      </c>
      <c r="C87" s="12" t="s">
        <v>11</v>
      </c>
      <c r="D87" s="11" t="s">
        <v>10</v>
      </c>
      <c r="E87" s="12" t="s">
        <v>11</v>
      </c>
      <c r="F87" s="11" t="s">
        <v>10</v>
      </c>
      <c r="G87" s="12" t="s">
        <v>11</v>
      </c>
      <c r="H87" s="11" t="s">
        <v>10</v>
      </c>
      <c r="I87" s="12" t="s">
        <v>11</v>
      </c>
      <c r="J87" s="11" t="s">
        <v>10</v>
      </c>
      <c r="K87" s="12" t="s">
        <v>11</v>
      </c>
      <c r="L87" s="11" t="s">
        <v>10</v>
      </c>
      <c r="M87" s="12" t="s">
        <v>11</v>
      </c>
    </row>
    <row r="88" ht="14.25" customHeight="1">
      <c r="A88" s="41" t="s">
        <v>28</v>
      </c>
      <c r="B88" s="42" t="s">
        <v>29</v>
      </c>
      <c r="C88" s="17"/>
      <c r="D88" s="43" t="s">
        <v>30</v>
      </c>
      <c r="E88" s="44" t="s">
        <v>31</v>
      </c>
      <c r="F88" s="45" t="s">
        <v>57</v>
      </c>
      <c r="G88" s="17"/>
      <c r="H88" s="19" t="s">
        <v>33</v>
      </c>
      <c r="I88" s="44"/>
      <c r="J88" s="45" t="s">
        <v>34</v>
      </c>
      <c r="K88" s="17"/>
      <c r="L88" s="43"/>
      <c r="M88" s="44"/>
    </row>
    <row r="89" ht="14.25" customHeight="1">
      <c r="A89" s="28"/>
      <c r="B89" s="46">
        <v>95.0</v>
      </c>
      <c r="C89" s="22">
        <v>10.0</v>
      </c>
      <c r="D89" s="1" t="s">
        <v>58</v>
      </c>
      <c r="E89" s="24" t="s">
        <v>36</v>
      </c>
      <c r="F89" s="47">
        <v>60.0</v>
      </c>
      <c r="G89" s="22">
        <v>10.0</v>
      </c>
      <c r="H89" s="23"/>
      <c r="I89" s="24"/>
      <c r="J89" s="47">
        <v>60.0</v>
      </c>
      <c r="K89" s="22">
        <v>10.0</v>
      </c>
      <c r="L89" s="23"/>
      <c r="M89" s="26"/>
    </row>
    <row r="90" ht="14.25" customHeight="1">
      <c r="A90" s="28" t="s">
        <v>37</v>
      </c>
      <c r="B90" s="46">
        <v>100.0</v>
      </c>
      <c r="C90" s="22">
        <v>10.0</v>
      </c>
      <c r="D90" s="1" t="s">
        <v>58</v>
      </c>
      <c r="E90" s="26" t="s">
        <v>38</v>
      </c>
      <c r="F90" s="47">
        <v>65.0</v>
      </c>
      <c r="G90" s="22">
        <v>10.0</v>
      </c>
      <c r="H90" s="23"/>
      <c r="I90" s="24"/>
      <c r="J90" s="47">
        <v>62.5</v>
      </c>
      <c r="K90" s="22">
        <v>10.0</v>
      </c>
      <c r="L90" s="23"/>
      <c r="M90" s="24"/>
    </row>
    <row r="91" ht="14.25" customHeight="1">
      <c r="A91" s="28" t="s">
        <v>39</v>
      </c>
      <c r="B91" s="46">
        <v>105.0</v>
      </c>
      <c r="C91" s="22">
        <v>10.0</v>
      </c>
      <c r="D91" s="1" t="s">
        <v>59</v>
      </c>
      <c r="E91" s="24" t="s">
        <v>38</v>
      </c>
      <c r="F91" s="47">
        <v>70.0</v>
      </c>
      <c r="G91" s="22">
        <v>10.0</v>
      </c>
      <c r="H91" s="23"/>
      <c r="I91" s="24"/>
      <c r="J91" s="47">
        <v>65.0</v>
      </c>
      <c r="K91" s="22">
        <v>10.0</v>
      </c>
      <c r="L91" s="23"/>
      <c r="M91" s="24"/>
    </row>
    <row r="92" ht="14.25" customHeight="1">
      <c r="A92" s="28"/>
      <c r="B92" s="46">
        <v>110.0</v>
      </c>
      <c r="C92" s="22">
        <v>10.0</v>
      </c>
      <c r="D92" s="1" t="s">
        <v>58</v>
      </c>
      <c r="E92" s="26" t="s">
        <v>38</v>
      </c>
      <c r="F92" s="47">
        <v>72.5</v>
      </c>
      <c r="G92" s="22">
        <v>10.0</v>
      </c>
      <c r="H92" s="23"/>
      <c r="I92" s="24"/>
      <c r="J92" s="47">
        <v>67.5</v>
      </c>
      <c r="K92" s="22">
        <v>10.0</v>
      </c>
      <c r="L92" s="23"/>
      <c r="M92" s="26"/>
    </row>
    <row r="93" ht="14.25" customHeight="1">
      <c r="A93" s="28" t="s">
        <v>41</v>
      </c>
      <c r="B93" s="13"/>
      <c r="C93" s="24"/>
      <c r="D93" s="1" t="s">
        <v>58</v>
      </c>
      <c r="E93" s="24" t="s">
        <v>42</v>
      </c>
      <c r="F93" s="31"/>
      <c r="G93" s="24"/>
      <c r="H93" s="23"/>
      <c r="I93" s="24"/>
      <c r="J93" s="31"/>
      <c r="K93" s="24"/>
      <c r="L93" s="23"/>
      <c r="M93" s="24"/>
    </row>
    <row r="94" ht="14.25" customHeight="1">
      <c r="A94" s="28" t="s">
        <v>43</v>
      </c>
      <c r="B94" s="13"/>
      <c r="C94" s="34"/>
      <c r="D94" s="28"/>
      <c r="E94" s="34"/>
      <c r="F94" s="13"/>
      <c r="G94" s="34"/>
      <c r="H94" s="28"/>
      <c r="I94" s="34"/>
      <c r="J94" s="13"/>
      <c r="K94" s="24"/>
      <c r="L94" s="28"/>
      <c r="M94" s="24"/>
    </row>
    <row r="95" ht="14.25" customHeight="1">
      <c r="A95" s="28"/>
      <c r="B95" s="35" t="s">
        <v>25</v>
      </c>
      <c r="C95" s="55">
        <f>C89*B89 + B90*C90 + B91*C91 + B92*C92 + B94*C94</f>
        <v>4100</v>
      </c>
      <c r="D95" s="35" t="s">
        <v>25</v>
      </c>
      <c r="E95" s="55" t="str">
        <f>E89*D89 + D90*E90 + D91*E91 + D92*E92 + D94*E94</f>
        <v>#VALUE!</v>
      </c>
      <c r="F95" s="35" t="s">
        <v>25</v>
      </c>
      <c r="G95" s="55">
        <f>G89*F89 + F90*G90 + F91*G91 + F92*G92 + F94*G94</f>
        <v>2675</v>
      </c>
      <c r="H95" s="35" t="s">
        <v>25</v>
      </c>
      <c r="I95" s="56">
        <f>I89*H89 + H90*I90 + H91*I91 + H92*I92 + H94*I94</f>
        <v>0</v>
      </c>
      <c r="J95" s="35" t="s">
        <v>25</v>
      </c>
      <c r="K95" s="36">
        <f>K89*J89 + J90*K90 + J91*K91 + J92*K92 + J94*K94</f>
        <v>2550</v>
      </c>
      <c r="L95" s="35" t="s">
        <v>25</v>
      </c>
      <c r="M95" s="36">
        <f>M89*L89 + L90*M90 + L91*M91 + L92*M92 + L94*M94</f>
        <v>0</v>
      </c>
    </row>
    <row r="96" ht="14.25" customHeight="1">
      <c r="A96" s="28"/>
      <c r="B96" s="39" t="s">
        <v>26</v>
      </c>
      <c r="C96" s="77">
        <f>(B89*C89 + B90*C90 + B91*C91 + B92*C92 + B94*C94)/SUM(C89:C94)</f>
        <v>102.5</v>
      </c>
      <c r="D96" s="39" t="s">
        <v>26</v>
      </c>
      <c r="E96" s="77" t="str">
        <f>(D89*E89 + D90*E90 + D91*E91 + D92*E92 + D94*E94)/SUM(E89:E94)</f>
        <v>#VALUE!</v>
      </c>
      <c r="F96" s="39" t="s">
        <v>26</v>
      </c>
      <c r="G96" s="77">
        <f>(F89*G89 + F90*G90 + F91*G91 + F92*G92 + F94*G94)/SUM(G89:G94)</f>
        <v>66.875</v>
      </c>
      <c r="H96" s="39" t="s">
        <v>26</v>
      </c>
      <c r="I96" s="77" t="str">
        <f>(H89*I89 + H90*I90 + H91*I91 + H92*I92 + H94*I94)/SUM(I89:I94)</f>
        <v>#DIV/0!</v>
      </c>
      <c r="J96" s="39" t="s">
        <v>26</v>
      </c>
      <c r="K96" s="40">
        <f>(J89*K89 + J90*K90 + J91*K91 + J92*K92 + J94*K94)/SUM(K89:K94)</f>
        <v>63.75</v>
      </c>
      <c r="L96" s="39" t="s">
        <v>26</v>
      </c>
      <c r="M96" s="40" t="str">
        <f>(L89*M89 + L90*M90 + L91*M91 + L92*M92 + L94*M94)/SUM(M89:M94)</f>
        <v>#DIV/0!</v>
      </c>
    </row>
    <row r="97" ht="14.25" customHeight="1">
      <c r="A97" s="13"/>
      <c r="B97" s="42" t="s">
        <v>44</v>
      </c>
      <c r="C97" s="17"/>
      <c r="D97" s="18"/>
      <c r="E97" s="17"/>
      <c r="F97" s="43" t="s">
        <v>44</v>
      </c>
      <c r="G97" s="17"/>
      <c r="H97" s="43"/>
      <c r="I97" s="17"/>
      <c r="J97" s="43" t="s">
        <v>44</v>
      </c>
      <c r="K97" s="17"/>
      <c r="L97" s="49" t="s">
        <v>105</v>
      </c>
      <c r="M97" s="118" t="s">
        <v>49</v>
      </c>
    </row>
    <row r="98" ht="14.25" customHeight="1">
      <c r="A98" s="13"/>
      <c r="B98" s="32" t="s">
        <v>45</v>
      </c>
      <c r="C98" s="26"/>
      <c r="D98" s="51" t="s">
        <v>46</v>
      </c>
      <c r="E98" s="24"/>
      <c r="F98" s="23" t="s">
        <v>45</v>
      </c>
      <c r="G98" s="24"/>
      <c r="H98" s="23"/>
      <c r="I98" s="24"/>
      <c r="J98" s="23" t="s">
        <v>45</v>
      </c>
      <c r="K98" s="26"/>
      <c r="L98" s="119"/>
      <c r="M98" s="24"/>
    </row>
    <row r="99" ht="14.25" customHeight="1">
      <c r="A99" s="28"/>
      <c r="B99" s="52" t="s">
        <v>47</v>
      </c>
      <c r="C99" s="26"/>
      <c r="D99" s="23"/>
      <c r="E99" s="26"/>
      <c r="F99" s="69" t="s">
        <v>60</v>
      </c>
      <c r="G99" s="26"/>
      <c r="H99" s="23"/>
      <c r="I99" s="24"/>
      <c r="J99" s="53" t="s">
        <v>47</v>
      </c>
      <c r="K99" s="26"/>
      <c r="L99" s="1"/>
      <c r="M99" s="54"/>
    </row>
    <row r="100" ht="14.25" customHeight="1">
      <c r="A100" s="28"/>
      <c r="B100" s="52" t="s">
        <v>48</v>
      </c>
      <c r="C100" s="26"/>
      <c r="D100" s="23"/>
      <c r="E100" s="24"/>
      <c r="F100" s="53"/>
      <c r="G100" s="24"/>
      <c r="H100" s="23"/>
      <c r="I100" s="24"/>
      <c r="J100" s="53" t="s">
        <v>48</v>
      </c>
      <c r="K100" s="26"/>
      <c r="L100" s="1"/>
      <c r="M100" s="24"/>
    </row>
    <row r="101" ht="14.25" customHeight="1">
      <c r="A101" s="37"/>
      <c r="B101" s="28"/>
      <c r="C101" s="79"/>
      <c r="D101" s="28"/>
      <c r="E101" s="79"/>
      <c r="F101" s="28"/>
      <c r="G101" s="34"/>
      <c r="H101" s="28"/>
      <c r="I101" s="34"/>
      <c r="J101" s="28"/>
      <c r="K101" s="54"/>
      <c r="L101" s="1"/>
      <c r="M101" s="24"/>
    </row>
    <row r="102" ht="14.25" customHeight="1">
      <c r="A102" s="13"/>
      <c r="B102" s="13"/>
      <c r="C102" s="34"/>
      <c r="D102" s="28"/>
      <c r="E102" s="34"/>
      <c r="F102" s="13"/>
      <c r="G102" s="34"/>
      <c r="H102" s="28"/>
      <c r="I102" s="34"/>
      <c r="J102" s="13"/>
      <c r="K102" s="24"/>
      <c r="L102" s="31"/>
      <c r="M102" s="24"/>
    </row>
    <row r="103" ht="14.25" customHeight="1">
      <c r="A103" s="13"/>
      <c r="B103" s="35" t="s">
        <v>25</v>
      </c>
      <c r="C103" s="55" t="str">
        <f>C98*B98 + B99*C99 + B100*C100 + B101*C101 + B102*C102</f>
        <v>#VALUE!</v>
      </c>
      <c r="D103" s="35" t="s">
        <v>25</v>
      </c>
      <c r="E103" s="55" t="str">
        <f>E98*D98 + D99*E99 + D100*E100 + D101*E101 + D102*E102</f>
        <v>#VALUE!</v>
      </c>
      <c r="F103" s="35" t="s">
        <v>25</v>
      </c>
      <c r="G103" s="55" t="str">
        <f>G98*F98 + F99*G99 + F100*G100 + F101*G101 + F102*G102</f>
        <v>#VALUE!</v>
      </c>
      <c r="H103" s="35" t="s">
        <v>25</v>
      </c>
      <c r="I103" s="56">
        <f>I98*H98 + H99*I99 + H100*I100 + H101*I101 + H102*I102</f>
        <v>0</v>
      </c>
      <c r="J103" s="35" t="s">
        <v>25</v>
      </c>
      <c r="K103" s="36" t="str">
        <f>K98*J98 + J99*K99 + J100*K100 + J101*K101 + J102*K102</f>
        <v>#VALUE!</v>
      </c>
      <c r="L103" s="57" t="s">
        <v>25</v>
      </c>
      <c r="M103" s="58">
        <f>M98*L98 + L99*M99 + L100*M100 + L101*M101 + L102*M102</f>
        <v>0</v>
      </c>
    </row>
    <row r="104" ht="14.25" customHeight="1">
      <c r="A104" s="13"/>
      <c r="B104" s="39" t="s">
        <v>26</v>
      </c>
      <c r="C104" s="40" t="str">
        <f>(B98*C98 + B99*C99 + B100*C100 + B101*C101 + B102*C102)/SUM(C98:C102)</f>
        <v>#VALUE!</v>
      </c>
      <c r="D104" s="59" t="s">
        <v>26</v>
      </c>
      <c r="E104" s="40" t="str">
        <f>(D98*E98 + D99*E99 + D100*E100 + D101*E101 + D102*E102)/SUM(E98:E102)</f>
        <v>#VALUE!</v>
      </c>
      <c r="F104" s="31" t="s">
        <v>26</v>
      </c>
      <c r="G104" s="75" t="str">
        <f>(F98*G98 + F99*G99 + F100*G100 + F101*G101 + F102*G102)/SUM(G98:G102)</f>
        <v>#VALUE!</v>
      </c>
      <c r="H104" s="59" t="s">
        <v>26</v>
      </c>
      <c r="I104" s="40" t="str">
        <f>(H98*I98 + H99*I99 + H100*I100 + H101*I101 + H102*I102)/SUM(I98:I102)</f>
        <v>#DIV/0!</v>
      </c>
      <c r="J104" s="39" t="s">
        <v>26</v>
      </c>
      <c r="K104" s="40" t="str">
        <f>(J98*K98 + J99*K99 + J100*K100 + J101*K101 + J102*K102)/SUM(K98:K102)</f>
        <v>#VALUE!</v>
      </c>
      <c r="L104" s="59" t="s">
        <v>26</v>
      </c>
      <c r="M104" s="40" t="str">
        <f>(L98*M98 + L99*M99 + L100*M100 + L101*M101 + L102*M102)/SUM(M98:M102)</f>
        <v>#DIV/0!</v>
      </c>
    </row>
    <row r="105" ht="14.25" customHeight="1">
      <c r="A105" s="28"/>
      <c r="B105" s="28"/>
      <c r="C105" s="30" t="s">
        <v>49</v>
      </c>
      <c r="D105" s="37"/>
      <c r="E105" s="30" t="s">
        <v>49</v>
      </c>
      <c r="F105" s="120"/>
      <c r="G105" s="121" t="s">
        <v>49</v>
      </c>
      <c r="H105" s="122" t="s">
        <v>33</v>
      </c>
      <c r="I105" s="30"/>
      <c r="J105" s="28"/>
      <c r="K105" s="60" t="s">
        <v>49</v>
      </c>
      <c r="L105" s="30"/>
      <c r="M105" s="60" t="s">
        <v>49</v>
      </c>
    </row>
    <row r="106" ht="14.25" customHeight="1">
      <c r="A106" s="37"/>
      <c r="B106" s="52" t="s">
        <v>52</v>
      </c>
      <c r="C106" s="60"/>
      <c r="D106" s="23"/>
      <c r="E106" s="61"/>
      <c r="F106" s="62" t="s">
        <v>52</v>
      </c>
      <c r="G106" s="61"/>
      <c r="H106" s="30"/>
      <c r="I106" s="60"/>
      <c r="J106" s="62" t="s">
        <v>52</v>
      </c>
      <c r="K106" s="60"/>
      <c r="L106" s="62"/>
      <c r="M106" s="60"/>
    </row>
    <row r="107" ht="14.25" customHeight="1">
      <c r="A107" s="37"/>
      <c r="B107" s="52" t="s">
        <v>53</v>
      </c>
      <c r="C107" s="60"/>
      <c r="D107" s="23"/>
      <c r="E107" s="60"/>
      <c r="F107" s="53" t="s">
        <v>53</v>
      </c>
      <c r="G107" s="60"/>
      <c r="H107" s="30"/>
      <c r="I107" s="60"/>
      <c r="J107" s="53" t="s">
        <v>53</v>
      </c>
      <c r="K107" s="60"/>
      <c r="L107" s="30"/>
      <c r="M107" s="60"/>
    </row>
    <row r="108" ht="14.25" customHeight="1">
      <c r="A108" s="37"/>
      <c r="B108" s="32" t="s">
        <v>54</v>
      </c>
      <c r="C108" s="60"/>
      <c r="D108" s="23"/>
      <c r="E108" s="60"/>
      <c r="F108" s="23" t="s">
        <v>54</v>
      </c>
      <c r="G108" s="60"/>
      <c r="H108" s="30"/>
      <c r="I108" s="60"/>
      <c r="J108" s="30" t="s">
        <v>54</v>
      </c>
      <c r="K108" s="60"/>
      <c r="L108" s="30"/>
      <c r="M108" s="60"/>
    </row>
    <row r="109" ht="14.25" customHeight="1">
      <c r="A109" s="37"/>
      <c r="B109" s="28"/>
      <c r="C109" s="1"/>
      <c r="D109" s="28"/>
      <c r="E109" s="1"/>
      <c r="F109" s="28"/>
      <c r="G109" s="60"/>
      <c r="H109" s="30"/>
      <c r="I109" s="30"/>
      <c r="J109" s="37"/>
      <c r="K109" s="60"/>
      <c r="L109" s="30"/>
      <c r="M109" s="60"/>
    </row>
    <row r="110" ht="14.25" customHeight="1">
      <c r="A110" s="37"/>
      <c r="B110" s="28"/>
      <c r="C110" s="1"/>
      <c r="D110" s="28"/>
      <c r="E110" s="1"/>
      <c r="F110" s="28"/>
      <c r="G110" s="60"/>
      <c r="H110" s="30"/>
      <c r="I110" s="30"/>
      <c r="J110" s="37"/>
      <c r="K110" s="60"/>
      <c r="L110" s="30"/>
      <c r="M110" s="60"/>
    </row>
    <row r="111" ht="14.25" customHeight="1">
      <c r="A111" s="37"/>
      <c r="B111" s="28"/>
      <c r="C111" s="1"/>
      <c r="D111" s="28"/>
      <c r="E111" s="1"/>
      <c r="F111" s="28"/>
      <c r="G111" s="60"/>
      <c r="H111" s="30"/>
      <c r="I111" s="30"/>
      <c r="J111" s="37"/>
      <c r="K111" s="60"/>
      <c r="L111" s="30"/>
      <c r="M111" s="60"/>
    </row>
    <row r="112" ht="14.25" customHeight="1">
      <c r="A112" s="64"/>
      <c r="B112" s="65"/>
      <c r="C112" s="66"/>
      <c r="D112" s="65"/>
      <c r="E112" s="66"/>
      <c r="F112" s="64"/>
      <c r="G112" s="67"/>
      <c r="H112" s="66"/>
      <c r="I112" s="66"/>
      <c r="J112" s="64"/>
      <c r="K112" s="67"/>
      <c r="L112" s="66"/>
      <c r="M112" s="67"/>
    </row>
    <row r="113" ht="14.25" customHeight="1">
      <c r="A113" s="30"/>
      <c r="B113" s="1"/>
      <c r="C113" s="1"/>
      <c r="D113" s="30"/>
      <c r="E113" s="30"/>
      <c r="F113" s="1"/>
      <c r="G113" s="30"/>
      <c r="H113" s="30"/>
      <c r="I113" s="30"/>
      <c r="J113" s="1"/>
      <c r="K113" s="30"/>
      <c r="L113" s="30"/>
      <c r="M113" s="30"/>
    </row>
    <row r="114" ht="14.25" customHeight="1">
      <c r="A114" s="2" t="s">
        <v>2</v>
      </c>
      <c r="B114" s="3" t="s">
        <v>3</v>
      </c>
      <c r="C114" s="4">
        <f>M77+2</f>
        <v>45376</v>
      </c>
      <c r="D114" s="5" t="s">
        <v>4</v>
      </c>
      <c r="E114" s="6">
        <f>C114+1</f>
        <v>45377</v>
      </c>
      <c r="F114" s="3" t="s">
        <v>5</v>
      </c>
      <c r="G114" s="6">
        <f>E114+1</f>
        <v>45378</v>
      </c>
      <c r="H114" s="3" t="s">
        <v>6</v>
      </c>
      <c r="I114" s="6">
        <f>G114+1</f>
        <v>45379</v>
      </c>
      <c r="J114" s="3" t="s">
        <v>7</v>
      </c>
      <c r="K114" s="6">
        <f>I114+1</f>
        <v>45380</v>
      </c>
      <c r="L114" s="7" t="s">
        <v>8</v>
      </c>
      <c r="M114" s="8">
        <f>K114+1</f>
        <v>45381</v>
      </c>
    </row>
    <row r="115" ht="14.25" customHeight="1">
      <c r="A115" s="10">
        <f>A78+1</f>
        <v>4</v>
      </c>
      <c r="B115" s="11" t="s">
        <v>10</v>
      </c>
      <c r="C115" s="12" t="s">
        <v>11</v>
      </c>
      <c r="D115" s="11" t="s">
        <v>10</v>
      </c>
      <c r="E115" s="12" t="s">
        <v>11</v>
      </c>
      <c r="F115" s="11" t="s">
        <v>10</v>
      </c>
      <c r="G115" s="12" t="s">
        <v>11</v>
      </c>
      <c r="H115" s="11" t="s">
        <v>10</v>
      </c>
      <c r="I115" s="12" t="s">
        <v>11</v>
      </c>
      <c r="J115" s="11" t="s">
        <v>10</v>
      </c>
      <c r="K115" s="12" t="s">
        <v>11</v>
      </c>
      <c r="L115" s="11" t="s">
        <v>10</v>
      </c>
      <c r="M115" s="12" t="s">
        <v>11</v>
      </c>
    </row>
    <row r="116" ht="14.25" customHeight="1">
      <c r="A116" s="13" t="s">
        <v>12</v>
      </c>
      <c r="B116" s="16" t="s">
        <v>13</v>
      </c>
      <c r="C116" s="17"/>
      <c r="D116" s="18" t="s">
        <v>14</v>
      </c>
      <c r="E116" s="17"/>
      <c r="F116" s="68" t="s">
        <v>55</v>
      </c>
      <c r="G116" s="17"/>
      <c r="H116" s="18" t="s">
        <v>15</v>
      </c>
      <c r="I116" s="17"/>
      <c r="J116" s="68" t="s">
        <v>56</v>
      </c>
      <c r="K116" s="17"/>
      <c r="L116" s="18"/>
      <c r="M116" s="17"/>
    </row>
    <row r="117" ht="14.25" customHeight="1">
      <c r="A117" s="13"/>
      <c r="B117" s="46">
        <v>45.0</v>
      </c>
      <c r="C117" s="22">
        <v>8.0</v>
      </c>
      <c r="D117" s="23" t="s">
        <v>18</v>
      </c>
      <c r="E117" s="24"/>
      <c r="F117" s="47">
        <v>20.0</v>
      </c>
      <c r="G117" s="22">
        <v>8.0</v>
      </c>
      <c r="H117" s="23"/>
      <c r="I117" s="26"/>
      <c r="J117" s="47">
        <v>45.0</v>
      </c>
      <c r="K117" s="22">
        <v>8.0</v>
      </c>
      <c r="L117" s="23"/>
      <c r="M117" s="24"/>
    </row>
    <row r="118" ht="14.25" customHeight="1">
      <c r="A118" s="28" t="s">
        <v>20</v>
      </c>
      <c r="B118" s="46">
        <v>47.5</v>
      </c>
      <c r="C118" s="22">
        <v>8.0</v>
      </c>
      <c r="D118" s="23" t="s">
        <v>21</v>
      </c>
      <c r="E118" s="26"/>
      <c r="F118" s="47">
        <v>22.5</v>
      </c>
      <c r="G118" s="22">
        <v>8.0</v>
      </c>
      <c r="H118" s="23"/>
      <c r="I118" s="26"/>
      <c r="J118" s="47">
        <v>45.0</v>
      </c>
      <c r="K118" s="22">
        <v>8.0</v>
      </c>
      <c r="L118" s="23"/>
      <c r="M118" s="24"/>
    </row>
    <row r="119" ht="14.25" customHeight="1">
      <c r="A119" s="29" t="s">
        <v>22</v>
      </c>
      <c r="B119" s="46">
        <v>50.0</v>
      </c>
      <c r="C119" s="22">
        <v>8.0</v>
      </c>
      <c r="D119" s="30"/>
      <c r="E119" s="26"/>
      <c r="F119" s="47">
        <v>25.0</v>
      </c>
      <c r="G119" s="22">
        <v>8.0</v>
      </c>
      <c r="H119" s="23"/>
      <c r="I119" s="26"/>
      <c r="J119" s="47">
        <v>45.0</v>
      </c>
      <c r="K119" s="22">
        <v>8.0</v>
      </c>
      <c r="L119" s="23"/>
      <c r="M119" s="24"/>
    </row>
    <row r="120" ht="14.25" customHeight="1">
      <c r="A120" s="28" t="s">
        <v>23</v>
      </c>
      <c r="B120" s="46">
        <v>50.0</v>
      </c>
      <c r="C120" s="22">
        <v>8.0</v>
      </c>
      <c r="D120" s="23"/>
      <c r="E120" s="26"/>
      <c r="F120" s="47">
        <v>25.0</v>
      </c>
      <c r="G120" s="22">
        <v>8.0</v>
      </c>
      <c r="H120" s="31"/>
      <c r="I120" s="24"/>
      <c r="J120" s="47">
        <v>47.5</v>
      </c>
      <c r="K120" s="22">
        <v>8.0</v>
      </c>
      <c r="L120" s="23"/>
      <c r="M120" s="26"/>
    </row>
    <row r="121" ht="14.25" customHeight="1">
      <c r="A121" s="13"/>
      <c r="B121" s="13"/>
      <c r="C121" s="24"/>
      <c r="D121" s="73"/>
      <c r="E121" s="26"/>
      <c r="F121" s="13"/>
      <c r="G121" s="34"/>
      <c r="H121" s="13"/>
      <c r="I121" s="34"/>
      <c r="J121" s="13"/>
      <c r="K121" s="24"/>
      <c r="L121" s="13"/>
      <c r="M121" s="24"/>
    </row>
    <row r="122" ht="14.25" customHeight="1">
      <c r="A122" s="28" t="s">
        <v>113</v>
      </c>
      <c r="B122" s="35" t="s">
        <v>25</v>
      </c>
      <c r="C122" s="58">
        <f>C117*B117 + B118*C118 + B119*C119 + B120*C120 + B121*C121</f>
        <v>1540</v>
      </c>
      <c r="D122" s="57" t="s">
        <v>25</v>
      </c>
      <c r="E122" s="55" t="str">
        <f>E117*D117 + D118*#REF! + E118*E119 + D120*E120 + D121*E121</f>
        <v>#VALUE!</v>
      </c>
      <c r="F122" s="35" t="s">
        <v>25</v>
      </c>
      <c r="G122" s="56">
        <f>G117*F117 + F118*G118 + F119*G119 + F120*G120 + F121*G121</f>
        <v>740</v>
      </c>
      <c r="H122" s="35" t="s">
        <v>25</v>
      </c>
      <c r="I122" s="56">
        <f>I117*H117 + H118*I118 + H119*I119 + H120*I120 + H121*I121</f>
        <v>0</v>
      </c>
      <c r="J122" s="35" t="s">
        <v>25</v>
      </c>
      <c r="K122" s="58">
        <f>K117*J117 + J118*K118 + J119*K119 + J120*K120 + J121*K121</f>
        <v>1460</v>
      </c>
      <c r="L122" s="35" t="s">
        <v>25</v>
      </c>
      <c r="M122" s="36">
        <f>M117*L117 + L118*M118 + L119*M119 + L120*M120 + L121*M121</f>
        <v>0</v>
      </c>
    </row>
    <row r="123" ht="14.25" customHeight="1">
      <c r="A123" s="37"/>
      <c r="B123" s="39" t="s">
        <v>26</v>
      </c>
      <c r="C123" s="116">
        <f>(B117*C117 + B118*C118 + B119*C119 + B120*C120 + B121*C121)/SUM(C117:C121)</f>
        <v>48.125</v>
      </c>
      <c r="D123" s="31" t="s">
        <v>26</v>
      </c>
      <c r="E123" s="74" t="str">
        <f>(D117*E117 + D118*#REF! + E118*E119 + D120*E120 + D121*E121)/SUM(E117:E121)</f>
        <v>#VALUE!</v>
      </c>
      <c r="F123" s="13" t="s">
        <v>26</v>
      </c>
      <c r="G123" s="117">
        <f>(F117*G117 + F118*G118 + F119*G119 + F120*G120 + F121*G121)/SUM(G117:G121)</f>
        <v>23.125</v>
      </c>
      <c r="H123" s="13" t="s">
        <v>26</v>
      </c>
      <c r="I123" s="74" t="str">
        <f>(H117*I117 + H118*I118 + H119*I119 + H120*I120 + H121*I121)/SUM(I117:I121)</f>
        <v>#DIV/0!</v>
      </c>
      <c r="J123" s="39" t="s">
        <v>26</v>
      </c>
      <c r="K123" s="116">
        <f>(J117*K117 + J118*K118 + J119*K119 + J120*K120 + J121*K121)/SUM(K117:K121)</f>
        <v>45.625</v>
      </c>
      <c r="L123" s="13" t="s">
        <v>26</v>
      </c>
      <c r="M123" s="75" t="str">
        <f>(L117*M117 + L118*M118 + L119*M119 + L120*M120 + L121*M121)/SUM(M117:M121)</f>
        <v>#DIV/0!</v>
      </c>
    </row>
    <row r="124" ht="14.25" customHeight="1">
      <c r="A124" s="28" t="s">
        <v>27</v>
      </c>
      <c r="B124" s="11" t="s">
        <v>10</v>
      </c>
      <c r="C124" s="12" t="s">
        <v>11</v>
      </c>
      <c r="D124" s="11" t="s">
        <v>10</v>
      </c>
      <c r="E124" s="12" t="s">
        <v>11</v>
      </c>
      <c r="F124" s="11" t="s">
        <v>10</v>
      </c>
      <c r="G124" s="12" t="s">
        <v>11</v>
      </c>
      <c r="H124" s="11" t="s">
        <v>10</v>
      </c>
      <c r="I124" s="12" t="s">
        <v>11</v>
      </c>
      <c r="J124" s="11" t="s">
        <v>10</v>
      </c>
      <c r="K124" s="12" t="s">
        <v>11</v>
      </c>
      <c r="L124" s="11" t="s">
        <v>10</v>
      </c>
      <c r="M124" s="12" t="s">
        <v>11</v>
      </c>
    </row>
    <row r="125" ht="14.25" customHeight="1">
      <c r="A125" s="41" t="s">
        <v>28</v>
      </c>
      <c r="B125" s="70" t="s">
        <v>34</v>
      </c>
      <c r="C125" s="17"/>
      <c r="D125" s="43" t="s">
        <v>30</v>
      </c>
      <c r="E125" s="44" t="s">
        <v>31</v>
      </c>
      <c r="F125" s="45" t="s">
        <v>57</v>
      </c>
      <c r="G125" s="17"/>
      <c r="H125" s="19" t="s">
        <v>33</v>
      </c>
      <c r="I125" s="44"/>
      <c r="J125" s="45" t="s">
        <v>29</v>
      </c>
      <c r="K125" s="17"/>
      <c r="L125" s="43" t="s">
        <v>30</v>
      </c>
      <c r="M125" s="44" t="s">
        <v>31</v>
      </c>
    </row>
    <row r="126" ht="14.25" customHeight="1">
      <c r="A126" s="28"/>
      <c r="B126" s="46">
        <v>60.0</v>
      </c>
      <c r="C126" s="22">
        <v>10.0</v>
      </c>
      <c r="D126" s="1" t="s">
        <v>58</v>
      </c>
      <c r="E126" s="24" t="s">
        <v>36</v>
      </c>
      <c r="F126" s="47">
        <v>65.0</v>
      </c>
      <c r="G126" s="22">
        <v>10.0</v>
      </c>
      <c r="H126" s="23"/>
      <c r="I126" s="24"/>
      <c r="J126" s="46">
        <v>100.0</v>
      </c>
      <c r="K126" s="22">
        <v>10.0</v>
      </c>
      <c r="L126" s="1" t="s">
        <v>58</v>
      </c>
      <c r="M126" s="24" t="s">
        <v>36</v>
      </c>
    </row>
    <row r="127" ht="14.25" customHeight="1">
      <c r="A127" s="28" t="s">
        <v>37</v>
      </c>
      <c r="B127" s="46">
        <v>65.0</v>
      </c>
      <c r="C127" s="22">
        <v>10.0</v>
      </c>
      <c r="D127" s="1" t="s">
        <v>58</v>
      </c>
      <c r="E127" s="26" t="s">
        <v>38</v>
      </c>
      <c r="F127" s="47">
        <v>65.0</v>
      </c>
      <c r="G127" s="22">
        <v>10.0</v>
      </c>
      <c r="H127" s="23"/>
      <c r="I127" s="24"/>
      <c r="J127" s="46">
        <v>102.5</v>
      </c>
      <c r="K127" s="22">
        <v>10.0</v>
      </c>
      <c r="L127" s="1" t="s">
        <v>58</v>
      </c>
      <c r="M127" s="26" t="s">
        <v>38</v>
      </c>
      <c r="O127" s="123" t="s">
        <v>165</v>
      </c>
    </row>
    <row r="128" ht="14.25" customHeight="1">
      <c r="A128" s="28" t="s">
        <v>39</v>
      </c>
      <c r="B128" s="46">
        <v>65.0</v>
      </c>
      <c r="C128" s="22">
        <v>10.0</v>
      </c>
      <c r="D128" s="1" t="s">
        <v>59</v>
      </c>
      <c r="E128" s="24" t="s">
        <v>38</v>
      </c>
      <c r="F128" s="47">
        <v>70.0</v>
      </c>
      <c r="G128" s="22">
        <v>10.0</v>
      </c>
      <c r="H128" s="23"/>
      <c r="I128" s="24"/>
      <c r="J128" s="46">
        <v>105.0</v>
      </c>
      <c r="K128" s="22">
        <v>10.0</v>
      </c>
      <c r="L128" s="1" t="s">
        <v>59</v>
      </c>
      <c r="M128" s="24" t="s">
        <v>38</v>
      </c>
    </row>
    <row r="129" ht="14.25" customHeight="1">
      <c r="A129" s="28"/>
      <c r="B129" s="46">
        <v>67.5</v>
      </c>
      <c r="C129" s="22">
        <v>10.0</v>
      </c>
      <c r="D129" s="1" t="s">
        <v>58</v>
      </c>
      <c r="E129" s="26" t="s">
        <v>38</v>
      </c>
      <c r="F129" s="47">
        <v>75.0</v>
      </c>
      <c r="G129" s="22">
        <v>10.0</v>
      </c>
      <c r="H129" s="23"/>
      <c r="I129" s="24"/>
      <c r="J129" s="46">
        <v>110.0</v>
      </c>
      <c r="K129" s="22">
        <v>10.0</v>
      </c>
      <c r="L129" s="1" t="s">
        <v>58</v>
      </c>
      <c r="M129" s="26" t="s">
        <v>38</v>
      </c>
    </row>
    <row r="130" ht="14.25" customHeight="1">
      <c r="A130" s="28" t="s">
        <v>41</v>
      </c>
      <c r="B130" s="13"/>
      <c r="C130" s="24"/>
      <c r="D130" s="1" t="s">
        <v>58</v>
      </c>
      <c r="E130" s="24" t="s">
        <v>42</v>
      </c>
      <c r="F130" s="31"/>
      <c r="G130" s="24"/>
      <c r="H130" s="23"/>
      <c r="I130" s="24"/>
      <c r="J130" s="31"/>
      <c r="K130" s="24"/>
      <c r="L130" s="1" t="s">
        <v>58</v>
      </c>
      <c r="M130" s="24" t="s">
        <v>42</v>
      </c>
    </row>
    <row r="131" ht="14.25" customHeight="1">
      <c r="A131" s="28" t="s">
        <v>43</v>
      </c>
      <c r="B131" s="13"/>
      <c r="C131" s="34"/>
      <c r="D131" s="28"/>
      <c r="E131" s="34"/>
      <c r="F131" s="13"/>
      <c r="G131" s="34"/>
      <c r="H131" s="28"/>
      <c r="I131" s="34"/>
      <c r="J131" s="13"/>
      <c r="K131" s="24"/>
      <c r="L131" s="28"/>
      <c r="M131" s="24"/>
    </row>
    <row r="132" ht="14.25" customHeight="1">
      <c r="A132" s="28"/>
      <c r="B132" s="35" t="s">
        <v>25</v>
      </c>
      <c r="C132" s="55">
        <f>C126*B126 + B127*C127 + B128*C128 + B129*C129 + B131*C131</f>
        <v>2575</v>
      </c>
      <c r="D132" s="35" t="s">
        <v>25</v>
      </c>
      <c r="E132" s="55" t="str">
        <f>E126*D126 + D127*E127 + D128*E128 + D129*E129 + D131*E131</f>
        <v>#VALUE!</v>
      </c>
      <c r="F132" s="35" t="s">
        <v>25</v>
      </c>
      <c r="G132" s="55">
        <f>G126*F126 + F127*G127 + F128*G128 + F129*G129 + F131*G131</f>
        <v>2750</v>
      </c>
      <c r="H132" s="35" t="s">
        <v>25</v>
      </c>
      <c r="I132" s="56">
        <f>I126*H126 + H127*I127 + H128*I128 + H129*I129 + H131*I131</f>
        <v>0</v>
      </c>
      <c r="J132" s="35" t="s">
        <v>25</v>
      </c>
      <c r="K132" s="36">
        <f>K126*J126 + J127*K127 + J128*K128 + J129*K129 + J131*K131</f>
        <v>4175</v>
      </c>
      <c r="L132" s="35" t="s">
        <v>25</v>
      </c>
      <c r="M132" s="36" t="str">
        <f>M126*L126 + L127*M127 + L128*M128 + L129*M129 + L131*M131</f>
        <v>#VALUE!</v>
      </c>
    </row>
    <row r="133" ht="14.25" customHeight="1">
      <c r="A133" s="28"/>
      <c r="B133" s="39" t="s">
        <v>26</v>
      </c>
      <c r="C133" s="77">
        <f>(B126*C126 + B127*C127 + B128*C128 + B129*C129 + B131*C131)/SUM(C126:C131)</f>
        <v>64.375</v>
      </c>
      <c r="D133" s="39" t="s">
        <v>26</v>
      </c>
      <c r="E133" s="77" t="str">
        <f>(D126*E126 + D127*E127 + D128*E128 + D129*E129 + D131*E131)/SUM(E126:E131)</f>
        <v>#VALUE!</v>
      </c>
      <c r="F133" s="39" t="s">
        <v>26</v>
      </c>
      <c r="G133" s="77">
        <f>(F126*G126 + F127*G127 + F128*G128 + F129*G129 + F131*G131)/SUM(G126:G131)</f>
        <v>68.75</v>
      </c>
      <c r="H133" s="39" t="s">
        <v>26</v>
      </c>
      <c r="I133" s="77" t="str">
        <f>(H126*I126 + H127*I127 + H128*I128 + H129*I129 + H131*I131)/SUM(I126:I131)</f>
        <v>#DIV/0!</v>
      </c>
      <c r="J133" s="39" t="s">
        <v>26</v>
      </c>
      <c r="K133" s="40">
        <f>(J126*K126 + J127*K127 + J128*K128 + J129*K129 + J131*K131)/SUM(K126:K131)</f>
        <v>104.375</v>
      </c>
      <c r="L133" s="39" t="s">
        <v>26</v>
      </c>
      <c r="M133" s="40" t="str">
        <f>(L126*M126 + L127*M127 + L128*M128 + L129*M129 + L131*M131)/SUM(M131)</f>
        <v>#VALUE!</v>
      </c>
    </row>
    <row r="134" ht="14.25" customHeight="1">
      <c r="A134" s="13"/>
      <c r="B134" s="42" t="s">
        <v>44</v>
      </c>
      <c r="C134" s="17"/>
      <c r="D134" s="18"/>
      <c r="E134" s="17"/>
      <c r="F134" s="43" t="s">
        <v>44</v>
      </c>
      <c r="G134" s="17"/>
      <c r="H134" s="43"/>
      <c r="I134" s="17"/>
      <c r="J134" s="43" t="s">
        <v>44</v>
      </c>
      <c r="K134" s="17"/>
      <c r="L134" s="49" t="s">
        <v>105</v>
      </c>
      <c r="M134" s="118" t="s">
        <v>49</v>
      </c>
    </row>
    <row r="135" ht="14.25" customHeight="1">
      <c r="A135" s="13"/>
      <c r="B135" s="32" t="s">
        <v>45</v>
      </c>
      <c r="C135" s="26"/>
      <c r="D135" s="51" t="s">
        <v>46</v>
      </c>
      <c r="E135" s="24"/>
      <c r="F135" s="23" t="s">
        <v>45</v>
      </c>
      <c r="G135" s="24"/>
      <c r="H135" s="23"/>
      <c r="I135" s="24"/>
      <c r="J135" s="23" t="s">
        <v>45</v>
      </c>
      <c r="K135" s="26"/>
      <c r="L135" s="119"/>
      <c r="M135" s="24"/>
    </row>
    <row r="136" ht="14.25" customHeight="1">
      <c r="A136" s="28"/>
      <c r="B136" s="52" t="s">
        <v>47</v>
      </c>
      <c r="C136" s="26"/>
      <c r="D136" s="23"/>
      <c r="E136" s="26"/>
      <c r="F136" s="69" t="s">
        <v>60</v>
      </c>
      <c r="G136" s="26"/>
      <c r="H136" s="23"/>
      <c r="I136" s="24"/>
      <c r="J136" s="53" t="s">
        <v>47</v>
      </c>
      <c r="K136" s="26"/>
      <c r="L136" s="1"/>
      <c r="M136" s="54"/>
    </row>
    <row r="137" ht="14.25" customHeight="1">
      <c r="A137" s="28"/>
      <c r="B137" s="52" t="s">
        <v>48</v>
      </c>
      <c r="C137" s="26"/>
      <c r="D137" s="23"/>
      <c r="E137" s="24"/>
      <c r="F137" s="53"/>
      <c r="G137" s="24"/>
      <c r="H137" s="23"/>
      <c r="I137" s="24"/>
      <c r="J137" s="53" t="s">
        <v>48</v>
      </c>
      <c r="K137" s="26"/>
      <c r="L137" s="1"/>
      <c r="M137" s="24"/>
    </row>
    <row r="138" ht="14.25" customHeight="1">
      <c r="A138" s="37"/>
      <c r="B138" s="28"/>
      <c r="C138" s="79"/>
      <c r="D138" s="28"/>
      <c r="E138" s="79"/>
      <c r="F138" s="28"/>
      <c r="G138" s="34"/>
      <c r="H138" s="28"/>
      <c r="I138" s="34"/>
      <c r="J138" s="28"/>
      <c r="K138" s="54"/>
      <c r="L138" s="1"/>
      <c r="M138" s="24"/>
    </row>
    <row r="139" ht="14.25" customHeight="1">
      <c r="A139" s="13"/>
      <c r="B139" s="13"/>
      <c r="C139" s="34"/>
      <c r="D139" s="28"/>
      <c r="E139" s="34"/>
      <c r="F139" s="13"/>
      <c r="G139" s="34"/>
      <c r="H139" s="28"/>
      <c r="I139" s="34"/>
      <c r="J139" s="13"/>
      <c r="K139" s="24"/>
      <c r="L139" s="31"/>
      <c r="M139" s="24"/>
    </row>
    <row r="140" ht="14.25" customHeight="1">
      <c r="A140" s="13"/>
      <c r="B140" s="35" t="s">
        <v>25</v>
      </c>
      <c r="C140" s="55" t="str">
        <f>C135*B135 + B136*C136 + B137*C137 + B138*C138 + B139*C139</f>
        <v>#VALUE!</v>
      </c>
      <c r="D140" s="35" t="s">
        <v>25</v>
      </c>
      <c r="E140" s="55" t="str">
        <f>E135*D135 + D136*E136 + D137*E137 + D138*E138 + D139*E139</f>
        <v>#VALUE!</v>
      </c>
      <c r="F140" s="35" t="s">
        <v>25</v>
      </c>
      <c r="G140" s="55" t="str">
        <f>G135*F135 + F136*G136 + F137*G137 + F138*G138 + F139*G139</f>
        <v>#VALUE!</v>
      </c>
      <c r="H140" s="35" t="s">
        <v>25</v>
      </c>
      <c r="I140" s="56">
        <f>I135*H135 + H136*I136 + H137*I137 + H138*I138 + H139*I139</f>
        <v>0</v>
      </c>
      <c r="J140" s="35" t="s">
        <v>25</v>
      </c>
      <c r="K140" s="36" t="str">
        <f>K135*J135 + J136*K136 + J137*K137 + J138*K138 + J139*K139</f>
        <v>#VALUE!</v>
      </c>
      <c r="L140" s="57" t="s">
        <v>25</v>
      </c>
      <c r="M140" s="58">
        <f>M135*L135 + L136*M136 + L137*M137 + L138*M138 + L139*M139</f>
        <v>0</v>
      </c>
    </row>
    <row r="141" ht="14.25" customHeight="1">
      <c r="A141" s="13"/>
      <c r="B141" s="39" t="s">
        <v>26</v>
      </c>
      <c r="C141" s="40" t="str">
        <f>(B135*C135 + B136*C136 + B137*C137 + B138*C138 + B139*C139)/SUM(C135:C139)</f>
        <v>#VALUE!</v>
      </c>
      <c r="D141" s="59" t="s">
        <v>26</v>
      </c>
      <c r="E141" s="40" t="str">
        <f>(D135*E135 + D136*E136 + D137*E137 + D138*E138 + D139*E139)/SUM(E135:E139)</f>
        <v>#VALUE!</v>
      </c>
      <c r="F141" s="31" t="s">
        <v>26</v>
      </c>
      <c r="G141" s="75" t="str">
        <f>(F135*G135 + F136*G136 + F137*G137 + F138*G138 + F139*G139)/SUM(G135:G139)</f>
        <v>#VALUE!</v>
      </c>
      <c r="H141" s="59" t="s">
        <v>26</v>
      </c>
      <c r="I141" s="40" t="str">
        <f>(H135*I135 + H136*I136 + H137*I137 + H138*I138 + H139*I139)/SUM(I135:I139)</f>
        <v>#DIV/0!</v>
      </c>
      <c r="J141" s="39" t="s">
        <v>26</v>
      </c>
      <c r="K141" s="40" t="str">
        <f>(J135*K135 + J136*K136 + J137*K137 + J138*K138 + J139*K139)/SUM(K135:K139)</f>
        <v>#VALUE!</v>
      </c>
      <c r="L141" s="59" t="s">
        <v>26</v>
      </c>
      <c r="M141" s="40" t="str">
        <f>(L135*M135 + L136*M136 + L137*M137 + L138*M138 + L139*M139)/SUM(M135:M139)</f>
        <v>#DIV/0!</v>
      </c>
    </row>
    <row r="142" ht="14.25" customHeight="1">
      <c r="A142" s="28"/>
      <c r="B142" s="28"/>
      <c r="C142" s="30" t="s">
        <v>49</v>
      </c>
      <c r="D142" s="37"/>
      <c r="E142" s="30" t="s">
        <v>49</v>
      </c>
      <c r="F142" s="120"/>
      <c r="G142" s="121" t="s">
        <v>49</v>
      </c>
      <c r="H142" s="122" t="s">
        <v>33</v>
      </c>
      <c r="I142" s="30"/>
      <c r="J142" s="28"/>
      <c r="K142" s="60" t="s">
        <v>49</v>
      </c>
      <c r="L142" s="30"/>
      <c r="M142" s="60" t="s">
        <v>49</v>
      </c>
    </row>
    <row r="143" ht="14.25" customHeight="1">
      <c r="A143" s="37"/>
      <c r="B143" s="52" t="s">
        <v>52</v>
      </c>
      <c r="C143" s="60"/>
      <c r="D143" s="23"/>
      <c r="E143" s="61"/>
      <c r="F143" s="62" t="s">
        <v>52</v>
      </c>
      <c r="G143" s="61"/>
      <c r="H143" s="30"/>
      <c r="I143" s="60"/>
      <c r="J143" s="62" t="s">
        <v>52</v>
      </c>
      <c r="K143" s="60"/>
      <c r="L143" s="62"/>
      <c r="M143" s="60"/>
    </row>
    <row r="144" ht="14.25" customHeight="1">
      <c r="A144" s="37"/>
      <c r="B144" s="52" t="s">
        <v>53</v>
      </c>
      <c r="C144" s="60"/>
      <c r="D144" s="23"/>
      <c r="E144" s="60"/>
      <c r="F144" s="53" t="s">
        <v>53</v>
      </c>
      <c r="G144" s="60"/>
      <c r="H144" s="30"/>
      <c r="I144" s="60"/>
      <c r="J144" s="53" t="s">
        <v>53</v>
      </c>
      <c r="K144" s="60"/>
      <c r="L144" s="30"/>
      <c r="M144" s="60"/>
    </row>
    <row r="145" ht="14.25" customHeight="1">
      <c r="A145" s="37"/>
      <c r="B145" s="32" t="s">
        <v>54</v>
      </c>
      <c r="C145" s="60"/>
      <c r="D145" s="23"/>
      <c r="E145" s="60"/>
      <c r="F145" s="23" t="s">
        <v>54</v>
      </c>
      <c r="G145" s="60"/>
      <c r="H145" s="30"/>
      <c r="I145" s="60"/>
      <c r="J145" s="30" t="s">
        <v>54</v>
      </c>
      <c r="K145" s="60"/>
      <c r="L145" s="30"/>
      <c r="M145" s="60"/>
    </row>
    <row r="146" ht="14.25" customHeight="1">
      <c r="A146" s="37"/>
      <c r="B146" s="28"/>
      <c r="C146" s="1"/>
      <c r="D146" s="28"/>
      <c r="E146" s="1"/>
      <c r="F146" s="28"/>
      <c r="G146" s="60"/>
      <c r="H146" s="30"/>
      <c r="I146" s="30"/>
      <c r="J146" s="37"/>
      <c r="K146" s="60"/>
      <c r="L146" s="30"/>
      <c r="M146" s="60"/>
    </row>
    <row r="147" ht="14.25" customHeight="1">
      <c r="A147" s="37"/>
      <c r="B147" s="28"/>
      <c r="C147" s="1"/>
      <c r="D147" s="28"/>
      <c r="E147" s="1"/>
      <c r="F147" s="28"/>
      <c r="G147" s="60"/>
      <c r="H147" s="30"/>
      <c r="I147" s="30"/>
      <c r="J147" s="37"/>
      <c r="K147" s="60"/>
      <c r="L147" s="30"/>
      <c r="M147" s="60"/>
    </row>
    <row r="148" ht="14.25" customHeight="1">
      <c r="A148" s="37"/>
      <c r="B148" s="28"/>
      <c r="C148" s="1"/>
      <c r="D148" s="28"/>
      <c r="E148" s="1"/>
      <c r="F148" s="28"/>
      <c r="G148" s="60"/>
      <c r="H148" s="30"/>
      <c r="I148" s="30"/>
      <c r="J148" s="37"/>
      <c r="K148" s="60"/>
      <c r="L148" s="30"/>
      <c r="M148" s="60"/>
    </row>
    <row r="149" ht="14.25" customHeight="1">
      <c r="A149" s="64"/>
      <c r="B149" s="65"/>
      <c r="C149" s="66"/>
      <c r="D149" s="65"/>
      <c r="E149" s="66"/>
      <c r="F149" s="64"/>
      <c r="G149" s="67"/>
      <c r="H149" s="66"/>
      <c r="I149" s="66"/>
      <c r="J149" s="64"/>
      <c r="K149" s="67"/>
      <c r="L149" s="66"/>
      <c r="M149" s="67"/>
    </row>
    <row r="150" ht="14.25" customHeight="1">
      <c r="A150" s="124"/>
      <c r="B150" s="1"/>
      <c r="C150" s="1"/>
      <c r="D150" s="30"/>
      <c r="E150" s="30"/>
      <c r="F150" s="1"/>
      <c r="G150" s="30"/>
      <c r="H150" s="30"/>
      <c r="I150" s="30"/>
      <c r="J150" s="1"/>
      <c r="K150" s="30"/>
      <c r="L150" s="30"/>
      <c r="M150" s="30"/>
    </row>
    <row r="151" ht="14.25" customHeight="1">
      <c r="A151" s="2" t="s">
        <v>2</v>
      </c>
      <c r="B151" s="3" t="s">
        <v>3</v>
      </c>
      <c r="C151" s="4">
        <f>M114+2</f>
        <v>45383</v>
      </c>
      <c r="D151" s="5" t="s">
        <v>4</v>
      </c>
      <c r="E151" s="6">
        <f>C151+1</f>
        <v>45384</v>
      </c>
      <c r="F151" s="3" t="s">
        <v>5</v>
      </c>
      <c r="G151" s="6">
        <f>E151+1</f>
        <v>45385</v>
      </c>
      <c r="H151" s="3" t="s">
        <v>6</v>
      </c>
      <c r="I151" s="6">
        <f>G151+1</f>
        <v>45386</v>
      </c>
      <c r="J151" s="3" t="s">
        <v>7</v>
      </c>
      <c r="K151" s="6">
        <f>I151+1</f>
        <v>45387</v>
      </c>
      <c r="L151" s="7" t="s">
        <v>8</v>
      </c>
      <c r="M151" s="8">
        <f>K151+1</f>
        <v>45388</v>
      </c>
    </row>
    <row r="152" ht="14.25" customHeight="1">
      <c r="A152" s="10">
        <f>A115+1</f>
        <v>5</v>
      </c>
      <c r="B152" s="11" t="s">
        <v>10</v>
      </c>
      <c r="C152" s="12" t="s">
        <v>11</v>
      </c>
      <c r="D152" s="11" t="s">
        <v>10</v>
      </c>
      <c r="E152" s="12" t="s">
        <v>11</v>
      </c>
      <c r="F152" s="11" t="s">
        <v>10</v>
      </c>
      <c r="G152" s="12" t="s">
        <v>11</v>
      </c>
      <c r="H152" s="11" t="s">
        <v>10</v>
      </c>
      <c r="I152" s="12" t="s">
        <v>11</v>
      </c>
      <c r="J152" s="11" t="s">
        <v>10</v>
      </c>
      <c r="K152" s="12" t="s">
        <v>11</v>
      </c>
      <c r="L152" s="11" t="s">
        <v>10</v>
      </c>
      <c r="M152" s="12" t="s">
        <v>11</v>
      </c>
    </row>
    <row r="153" ht="14.25" customHeight="1">
      <c r="A153" s="13" t="s">
        <v>12</v>
      </c>
      <c r="B153" s="16" t="s">
        <v>13</v>
      </c>
      <c r="C153" s="17"/>
      <c r="D153" s="18" t="s">
        <v>14</v>
      </c>
      <c r="E153" s="17"/>
      <c r="F153" s="68" t="s">
        <v>55</v>
      </c>
      <c r="G153" s="17"/>
      <c r="H153" s="18" t="s">
        <v>15</v>
      </c>
      <c r="I153" s="17"/>
      <c r="J153" s="68" t="s">
        <v>56</v>
      </c>
      <c r="K153" s="17"/>
      <c r="L153" s="18"/>
      <c r="M153" s="17"/>
    </row>
    <row r="154" ht="14.25" customHeight="1">
      <c r="A154" s="13"/>
      <c r="B154" s="46">
        <v>50.0</v>
      </c>
      <c r="C154" s="22">
        <v>8.0</v>
      </c>
      <c r="D154" s="23" t="s">
        <v>18</v>
      </c>
      <c r="E154" s="24"/>
      <c r="F154" s="47">
        <v>20.0</v>
      </c>
      <c r="G154" s="22">
        <v>8.0</v>
      </c>
      <c r="H154" s="23"/>
      <c r="I154" s="26"/>
      <c r="J154" s="47">
        <v>45.0</v>
      </c>
      <c r="K154" s="22">
        <v>8.0</v>
      </c>
      <c r="L154" s="23"/>
      <c r="M154" s="24"/>
    </row>
    <row r="155" ht="14.25" customHeight="1">
      <c r="A155" s="28" t="s">
        <v>20</v>
      </c>
      <c r="B155" s="46">
        <v>52.5</v>
      </c>
      <c r="C155" s="22">
        <v>8.0</v>
      </c>
      <c r="D155" s="23" t="s">
        <v>21</v>
      </c>
      <c r="E155" s="26"/>
      <c r="F155" s="47">
        <v>25.0</v>
      </c>
      <c r="G155" s="22">
        <v>8.0</v>
      </c>
      <c r="H155" s="23"/>
      <c r="I155" s="26"/>
      <c r="J155" s="47">
        <v>47.5</v>
      </c>
      <c r="K155" s="22">
        <v>8.0</v>
      </c>
      <c r="L155" s="23"/>
      <c r="M155" s="24"/>
    </row>
    <row r="156" ht="14.25" customHeight="1">
      <c r="A156" s="29" t="s">
        <v>22</v>
      </c>
      <c r="B156" s="46">
        <v>55.0</v>
      </c>
      <c r="C156" s="22">
        <v>8.0</v>
      </c>
      <c r="D156" s="30"/>
      <c r="E156" s="26"/>
      <c r="F156" s="47">
        <v>27.5</v>
      </c>
      <c r="G156" s="22">
        <v>8.0</v>
      </c>
      <c r="H156" s="23"/>
      <c r="I156" s="26"/>
      <c r="J156" s="47">
        <v>50.0</v>
      </c>
      <c r="K156" s="22">
        <v>8.0</v>
      </c>
      <c r="L156" s="23"/>
      <c r="M156" s="24"/>
    </row>
    <row r="157" ht="14.25" customHeight="1">
      <c r="A157" s="28" t="s">
        <v>23</v>
      </c>
      <c r="B157" s="46">
        <v>57.5</v>
      </c>
      <c r="C157" s="22">
        <v>8.0</v>
      </c>
      <c r="D157" s="23"/>
      <c r="E157" s="26"/>
      <c r="F157" s="47">
        <v>30.0</v>
      </c>
      <c r="G157" s="22">
        <v>8.0</v>
      </c>
      <c r="H157" s="31"/>
      <c r="I157" s="24"/>
      <c r="J157" s="47">
        <v>52.5</v>
      </c>
      <c r="K157" s="22">
        <v>8.0</v>
      </c>
      <c r="L157" s="23"/>
      <c r="M157" s="26"/>
    </row>
    <row r="158" ht="14.25" customHeight="1">
      <c r="A158" s="13"/>
      <c r="B158" s="13"/>
      <c r="C158" s="24"/>
      <c r="D158" s="73"/>
      <c r="E158" s="26"/>
      <c r="F158" s="13"/>
      <c r="G158" s="34"/>
      <c r="H158" s="13"/>
      <c r="I158" s="34"/>
      <c r="J158" s="13"/>
      <c r="K158" s="24"/>
      <c r="L158" s="13"/>
      <c r="M158" s="24"/>
    </row>
    <row r="159" ht="14.25" customHeight="1">
      <c r="A159" s="28" t="s">
        <v>113</v>
      </c>
      <c r="B159" s="35" t="s">
        <v>25</v>
      </c>
      <c r="C159" s="58">
        <f>C154*B154 + B155*C155 + B156*C156 + B157*C157 + B158*C158</f>
        <v>1720</v>
      </c>
      <c r="D159" s="57" t="s">
        <v>25</v>
      </c>
      <c r="E159" s="55" t="str">
        <f>E154*D154 + D155*#REF! + E155*E156 + D157*E157 + D158*E158</f>
        <v>#VALUE!</v>
      </c>
      <c r="F159" s="35" t="s">
        <v>25</v>
      </c>
      <c r="G159" s="56">
        <f>G154*F154 + F155*G155 + F156*G156 + F157*G157 + F158*G158</f>
        <v>820</v>
      </c>
      <c r="H159" s="35" t="s">
        <v>25</v>
      </c>
      <c r="I159" s="56">
        <f>I154*H154 + H155*I155 + H156*I156 + H157*I157 + H158*I158</f>
        <v>0</v>
      </c>
      <c r="J159" s="35" t="s">
        <v>25</v>
      </c>
      <c r="K159" s="58">
        <f>K154*J154 + J155*K155 + J156*K156 + J157*K157 + J158*K158</f>
        <v>1560</v>
      </c>
      <c r="L159" s="35" t="s">
        <v>25</v>
      </c>
      <c r="M159" s="36">
        <f>M154*L154 + L155*M155 + L156*M156 + L157*M157 + L158*M158</f>
        <v>0</v>
      </c>
    </row>
    <row r="160" ht="14.25" customHeight="1">
      <c r="A160" s="37"/>
      <c r="B160" s="39" t="s">
        <v>26</v>
      </c>
      <c r="C160" s="116">
        <f>(B154*C154 + B155*C155 + B156*C156 + B157*C157 + B158*C158)/SUM(C154:C158)</f>
        <v>53.75</v>
      </c>
      <c r="D160" s="31" t="s">
        <v>26</v>
      </c>
      <c r="E160" s="74" t="str">
        <f>(D154*E154 + D155*#REF! + E155*E156 + D157*E157 + D158*E158)/SUM(E154:E158)</f>
        <v>#VALUE!</v>
      </c>
      <c r="F160" s="13" t="s">
        <v>26</v>
      </c>
      <c r="G160" s="117">
        <f>(F154*G154 + F155*G155 + F156*G156 + F157*G157 + F158*G158)/SUM(G154:G158)</f>
        <v>25.625</v>
      </c>
      <c r="H160" s="13" t="s">
        <v>26</v>
      </c>
      <c r="I160" s="74" t="str">
        <f>(H154*I154 + H155*I155 + H156*I156 + H157*I157 + H158*I158)/SUM(I154:I158)</f>
        <v>#DIV/0!</v>
      </c>
      <c r="J160" s="39" t="s">
        <v>26</v>
      </c>
      <c r="K160" s="116">
        <f>(J154*K154 + J155*K155 + J156*K156 + J157*K157 + J158*K158)/SUM(K154:K158)</f>
        <v>48.75</v>
      </c>
      <c r="L160" s="13" t="s">
        <v>26</v>
      </c>
      <c r="M160" s="75" t="str">
        <f>(L154*M154 + L155*M155 + L156*M156 + L157*M157 + L158*M158)/SUM(M154:M158)</f>
        <v>#DIV/0!</v>
      </c>
    </row>
    <row r="161" ht="14.25" customHeight="1">
      <c r="A161" s="28" t="s">
        <v>27</v>
      </c>
      <c r="B161" s="11" t="s">
        <v>10</v>
      </c>
      <c r="C161" s="12" t="s">
        <v>11</v>
      </c>
      <c r="D161" s="11" t="s">
        <v>10</v>
      </c>
      <c r="E161" s="12" t="s">
        <v>11</v>
      </c>
      <c r="F161" s="11" t="s">
        <v>10</v>
      </c>
      <c r="G161" s="12" t="s">
        <v>11</v>
      </c>
      <c r="H161" s="11" t="s">
        <v>10</v>
      </c>
      <c r="I161" s="12" t="s">
        <v>11</v>
      </c>
      <c r="J161" s="11" t="s">
        <v>10</v>
      </c>
      <c r="K161" s="12" t="s">
        <v>11</v>
      </c>
      <c r="L161" s="11" t="s">
        <v>10</v>
      </c>
      <c r="M161" s="12" t="s">
        <v>11</v>
      </c>
    </row>
    <row r="162" ht="14.25" customHeight="1">
      <c r="A162" s="41" t="s">
        <v>28</v>
      </c>
      <c r="B162" s="70" t="s">
        <v>34</v>
      </c>
      <c r="C162" s="17"/>
      <c r="D162" s="43" t="s">
        <v>30</v>
      </c>
      <c r="E162" s="44" t="s">
        <v>31</v>
      </c>
      <c r="F162" s="45" t="s">
        <v>166</v>
      </c>
      <c r="G162" s="17"/>
      <c r="H162" s="19" t="s">
        <v>33</v>
      </c>
      <c r="I162" s="44"/>
      <c r="J162" s="70" t="s">
        <v>71</v>
      </c>
      <c r="K162" s="17"/>
      <c r="L162" s="43" t="s">
        <v>30</v>
      </c>
      <c r="M162" s="44" t="s">
        <v>31</v>
      </c>
    </row>
    <row r="163" ht="14.25" customHeight="1">
      <c r="A163" s="28"/>
      <c r="B163" s="46">
        <v>65.0</v>
      </c>
      <c r="C163" s="22">
        <v>10.0</v>
      </c>
      <c r="D163" s="1" t="s">
        <v>58</v>
      </c>
      <c r="E163" s="24" t="s">
        <v>36</v>
      </c>
      <c r="F163" s="47"/>
      <c r="G163" s="22">
        <v>10.0</v>
      </c>
      <c r="H163" s="23"/>
      <c r="I163" s="24"/>
      <c r="J163" s="28">
        <v>50.0</v>
      </c>
      <c r="K163" s="54">
        <v>8.0</v>
      </c>
      <c r="L163" s="1" t="s">
        <v>58</v>
      </c>
      <c r="M163" s="24" t="s">
        <v>36</v>
      </c>
    </row>
    <row r="164" ht="14.25" customHeight="1">
      <c r="A164" s="28" t="s">
        <v>37</v>
      </c>
      <c r="B164" s="46">
        <v>67.5</v>
      </c>
      <c r="C164" s="22">
        <v>10.0</v>
      </c>
      <c r="D164" s="1" t="s">
        <v>58</v>
      </c>
      <c r="E164" s="26" t="s">
        <v>38</v>
      </c>
      <c r="F164" s="47"/>
      <c r="G164" s="22">
        <v>10.0</v>
      </c>
      <c r="H164" s="23"/>
      <c r="I164" s="24"/>
      <c r="J164" s="27">
        <v>55.0</v>
      </c>
      <c r="K164" s="54">
        <v>8.0</v>
      </c>
      <c r="L164" s="1" t="s">
        <v>58</v>
      </c>
      <c r="M164" s="26" t="s">
        <v>38</v>
      </c>
    </row>
    <row r="165" ht="14.25" customHeight="1">
      <c r="A165" s="28" t="s">
        <v>39</v>
      </c>
      <c r="B165" s="46">
        <v>70.0</v>
      </c>
      <c r="C165" s="22">
        <v>10.0</v>
      </c>
      <c r="D165" s="1" t="s">
        <v>59</v>
      </c>
      <c r="E165" s="24" t="s">
        <v>38</v>
      </c>
      <c r="F165" s="47"/>
      <c r="G165" s="22">
        <v>10.0</v>
      </c>
      <c r="H165" s="23"/>
      <c r="I165" s="24"/>
      <c r="J165" s="27">
        <v>60.0</v>
      </c>
      <c r="K165" s="54">
        <v>8.0</v>
      </c>
      <c r="L165" s="1" t="s">
        <v>59</v>
      </c>
      <c r="M165" s="24" t="s">
        <v>38</v>
      </c>
    </row>
    <row r="166" ht="14.25" customHeight="1">
      <c r="A166" s="28"/>
      <c r="B166" s="46">
        <v>67.5</v>
      </c>
      <c r="C166" s="22">
        <v>10.0</v>
      </c>
      <c r="D166" s="1" t="s">
        <v>58</v>
      </c>
      <c r="E166" s="26" t="s">
        <v>38</v>
      </c>
      <c r="F166" s="47"/>
      <c r="G166" s="22">
        <v>10.0</v>
      </c>
      <c r="H166" s="23"/>
      <c r="I166" s="24"/>
      <c r="J166" s="46"/>
      <c r="K166" s="22"/>
      <c r="L166" s="1" t="s">
        <v>58</v>
      </c>
      <c r="M166" s="26" t="s">
        <v>38</v>
      </c>
    </row>
    <row r="167" ht="14.25" customHeight="1">
      <c r="A167" s="28" t="s">
        <v>41</v>
      </c>
      <c r="B167" s="13"/>
      <c r="C167" s="24"/>
      <c r="D167" s="1" t="s">
        <v>58</v>
      </c>
      <c r="E167" s="24" t="s">
        <v>42</v>
      </c>
      <c r="F167" s="31"/>
      <c r="G167" s="24"/>
      <c r="H167" s="23"/>
      <c r="I167" s="24"/>
      <c r="J167" s="31"/>
      <c r="K167" s="24"/>
      <c r="L167" s="1" t="s">
        <v>58</v>
      </c>
      <c r="M167" s="24" t="s">
        <v>42</v>
      </c>
    </row>
    <row r="168" ht="14.25" customHeight="1">
      <c r="A168" s="28" t="s">
        <v>43</v>
      </c>
      <c r="B168" s="13"/>
      <c r="C168" s="34"/>
      <c r="D168" s="28"/>
      <c r="E168" s="34"/>
      <c r="F168" s="13"/>
      <c r="G168" s="34"/>
      <c r="H168" s="28"/>
      <c r="I168" s="34"/>
      <c r="J168" s="13"/>
      <c r="K168" s="24"/>
      <c r="L168" s="28"/>
      <c r="M168" s="24"/>
    </row>
    <row r="169" ht="14.25" customHeight="1">
      <c r="A169" s="28"/>
      <c r="B169" s="35" t="s">
        <v>25</v>
      </c>
      <c r="C169" s="55">
        <f>C163*B163 + B164*C164 + B165*C165 + B166*C166 + B168*C168</f>
        <v>2700</v>
      </c>
      <c r="D169" s="35" t="s">
        <v>25</v>
      </c>
      <c r="E169" s="55" t="str">
        <f>E163*D163 + D164*E164 + D165*E165 + D166*E166 + D168*E168</f>
        <v>#VALUE!</v>
      </c>
      <c r="F169" s="35" t="s">
        <v>25</v>
      </c>
      <c r="G169" s="55">
        <f>G163*F163 + F164*G164 + F165*G165 + F166*G166 + F168*G168</f>
        <v>0</v>
      </c>
      <c r="H169" s="35" t="s">
        <v>25</v>
      </c>
      <c r="I169" s="56">
        <f>I163*H163 + H164*I164 + H165*I165 + H166*I166 + H168*I168</f>
        <v>0</v>
      </c>
      <c r="J169" s="35" t="s">
        <v>25</v>
      </c>
      <c r="K169" s="36">
        <f>K163*J163 + J164*K164 + J165*K165 + J166*K166 + J168*K168</f>
        <v>1320</v>
      </c>
      <c r="L169" s="35" t="s">
        <v>25</v>
      </c>
      <c r="M169" s="36" t="str">
        <f>M163*L163 + L164*M164 + L165*M165 + L166*M166 + L168*M168</f>
        <v>#VALUE!</v>
      </c>
    </row>
    <row r="170" ht="14.25" customHeight="1">
      <c r="A170" s="28" t="s">
        <v>116</v>
      </c>
      <c r="B170" s="39" t="s">
        <v>26</v>
      </c>
      <c r="C170" s="77">
        <f>(B163*C163 + B164*C164 + B165*C165 + B166*C166 + B168*C168)/SUM(C163:C168)</f>
        <v>67.5</v>
      </c>
      <c r="D170" s="39" t="s">
        <v>26</v>
      </c>
      <c r="E170" s="77" t="str">
        <f>(D163*E163 + D164*E164 + D165*E165 + D166*E166 + D168*E168)/SUM(E163:E168)</f>
        <v>#VALUE!</v>
      </c>
      <c r="F170" s="39" t="s">
        <v>26</v>
      </c>
      <c r="G170" s="77">
        <f>(F163*G163 + F164*G164 + F165*G165 + F166*G166 + F168*G168)/SUM(G163:G168)</f>
        <v>0</v>
      </c>
      <c r="H170" s="39" t="s">
        <v>26</v>
      </c>
      <c r="I170" s="77" t="str">
        <f>(H163*I163 + H164*I164 + H165*I165 + H166*I166 + H168*I168)/SUM(I163:I168)</f>
        <v>#DIV/0!</v>
      </c>
      <c r="J170" s="39" t="s">
        <v>26</v>
      </c>
      <c r="K170" s="40">
        <f>(J163*K163 + J164*K164 + J165*K165 + J166*K166 + J168*K168)/SUM(K163:K168)</f>
        <v>55</v>
      </c>
      <c r="L170" s="39" t="s">
        <v>26</v>
      </c>
      <c r="M170" s="40" t="str">
        <f>(L163*M163 + L164*M164 + L165*M165 + L166*M166 + L168*M168)/SUM(M163:M168)</f>
        <v>#VALUE!</v>
      </c>
    </row>
    <row r="171" ht="14.25" customHeight="1">
      <c r="A171" s="28" t="s">
        <v>117</v>
      </c>
      <c r="B171" s="70" t="s">
        <v>71</v>
      </c>
      <c r="C171" s="17"/>
      <c r="D171" s="18"/>
      <c r="E171" s="17"/>
      <c r="F171" s="70" t="s">
        <v>71</v>
      </c>
      <c r="G171" s="17"/>
      <c r="H171" s="43"/>
      <c r="I171" s="17"/>
      <c r="J171" s="45" t="s">
        <v>167</v>
      </c>
      <c r="K171" s="17"/>
      <c r="L171" s="49" t="s">
        <v>105</v>
      </c>
      <c r="M171" s="118" t="s">
        <v>49</v>
      </c>
    </row>
    <row r="172" ht="14.25" customHeight="1">
      <c r="A172" s="28" t="s">
        <v>120</v>
      </c>
      <c r="B172" s="28">
        <v>50.0</v>
      </c>
      <c r="C172" s="54">
        <v>8.0</v>
      </c>
      <c r="D172" s="51" t="s">
        <v>46</v>
      </c>
      <c r="E172" s="24"/>
      <c r="F172" s="28">
        <v>52.5</v>
      </c>
      <c r="G172" s="54">
        <v>8.0</v>
      </c>
      <c r="H172" s="23"/>
      <c r="I172" s="24"/>
      <c r="J172" s="1" t="s">
        <v>168</v>
      </c>
      <c r="K172" s="26"/>
      <c r="L172" s="119"/>
      <c r="M172" s="24"/>
    </row>
    <row r="173" ht="14.25" customHeight="1">
      <c r="A173" s="28"/>
      <c r="B173" s="27">
        <v>55.0</v>
      </c>
      <c r="C173" s="54">
        <v>8.0</v>
      </c>
      <c r="D173" s="23"/>
      <c r="E173" s="26"/>
      <c r="F173" s="27">
        <v>57.5</v>
      </c>
      <c r="G173" s="54">
        <v>8.0</v>
      </c>
      <c r="H173" s="23"/>
      <c r="I173" s="24"/>
      <c r="J173" s="69" t="s">
        <v>169</v>
      </c>
      <c r="K173" s="26"/>
      <c r="L173" s="1"/>
      <c r="M173" s="54"/>
    </row>
    <row r="174" ht="14.25" customHeight="1">
      <c r="A174" s="28"/>
      <c r="B174" s="27">
        <v>60.0</v>
      </c>
      <c r="C174" s="54">
        <v>8.0</v>
      </c>
      <c r="D174" s="23"/>
      <c r="E174" s="24"/>
      <c r="F174" s="27">
        <v>60.0</v>
      </c>
      <c r="G174" s="54">
        <v>8.0</v>
      </c>
      <c r="H174" s="23"/>
      <c r="I174" s="24"/>
      <c r="J174" s="53"/>
      <c r="K174" s="26"/>
      <c r="L174" s="1"/>
      <c r="M174" s="24"/>
    </row>
    <row r="175" ht="14.25" customHeight="1">
      <c r="A175" s="28" t="s">
        <v>170</v>
      </c>
      <c r="B175" s="28"/>
      <c r="C175" s="79"/>
      <c r="D175" s="28"/>
      <c r="E175" s="79"/>
      <c r="F175" s="28"/>
      <c r="G175" s="34"/>
      <c r="H175" s="28"/>
      <c r="I175" s="34"/>
      <c r="J175" s="28"/>
      <c r="K175" s="54"/>
      <c r="L175" s="1"/>
      <c r="M175" s="24"/>
    </row>
    <row r="176" ht="14.25" customHeight="1">
      <c r="A176" s="28" t="s">
        <v>171</v>
      </c>
      <c r="B176" s="13"/>
      <c r="C176" s="34"/>
      <c r="D176" s="28"/>
      <c r="E176" s="34"/>
      <c r="F176" s="13"/>
      <c r="G176" s="34"/>
      <c r="H176" s="28"/>
      <c r="I176" s="34"/>
      <c r="J176" s="13"/>
      <c r="K176" s="24"/>
      <c r="L176" s="31"/>
      <c r="M176" s="24"/>
    </row>
    <row r="177" ht="14.25" customHeight="1">
      <c r="A177" s="13"/>
      <c r="B177" s="35" t="s">
        <v>25</v>
      </c>
      <c r="C177" s="55">
        <f>C172*B172 + B173*C173 + B174*C174 + B175*C175 + B176*C176</f>
        <v>1320</v>
      </c>
      <c r="D177" s="35" t="s">
        <v>25</v>
      </c>
      <c r="E177" s="55" t="str">
        <f>E172*D172 + D173*E173 + D174*E174 + D175*E175 + D176*E176</f>
        <v>#VALUE!</v>
      </c>
      <c r="F177" s="35" t="s">
        <v>25</v>
      </c>
      <c r="G177" s="55">
        <f>G172*F172 + F173*G173 + F174*G174 + F175*G175 + F176*G176</f>
        <v>1360</v>
      </c>
      <c r="H177" s="35" t="s">
        <v>25</v>
      </c>
      <c r="I177" s="56">
        <f>I172*H172 + H173*I173 + H174*I174 + H175*I175 + H176*I176</f>
        <v>0</v>
      </c>
      <c r="J177" s="35" t="s">
        <v>25</v>
      </c>
      <c r="K177" s="36" t="str">
        <f>K172*J172 + J173*K173 + J174*K174 + J175*K175 + J176*K176</f>
        <v>#VALUE!</v>
      </c>
      <c r="L177" s="57" t="s">
        <v>25</v>
      </c>
      <c r="M177" s="58">
        <f>M172*L172 + L173*M173 + L174*M174 + L175*M175 + L176*M176</f>
        <v>0</v>
      </c>
    </row>
    <row r="178" ht="14.25" customHeight="1">
      <c r="A178" s="13"/>
      <c r="B178" s="39" t="s">
        <v>26</v>
      </c>
      <c r="C178" s="40">
        <f>(B172*C172 + B173*C173 + B174*C174 + B175*C175 + B176*C176)/SUM(C172:C176)</f>
        <v>55</v>
      </c>
      <c r="D178" s="59" t="s">
        <v>26</v>
      </c>
      <c r="E178" s="40" t="str">
        <f>(D172*E172 + D173*E173 + D174*E174 + D175*E175 + D176*E176)/SUM(E172:E176)</f>
        <v>#VALUE!</v>
      </c>
      <c r="F178" s="31" t="s">
        <v>26</v>
      </c>
      <c r="G178" s="75">
        <f>(F172*G172 + F173*G173 + F174*G174 + F175*G175 + F176*G176)/SUM(G172:G176)</f>
        <v>56.66666667</v>
      </c>
      <c r="H178" s="59" t="s">
        <v>26</v>
      </c>
      <c r="I178" s="40" t="str">
        <f>(H172*I172 + H173*I173 + H174*I174 + H175*I175 + H176*I176)/SUM(I172:I176)</f>
        <v>#DIV/0!</v>
      </c>
      <c r="J178" s="39" t="s">
        <v>26</v>
      </c>
      <c r="K178" s="40" t="str">
        <f>(J172*K172 + J173*K173 + J174*K174 + J175*K175 + J176*K176)/SUM(K172:K176)</f>
        <v>#VALUE!</v>
      </c>
      <c r="L178" s="59" t="s">
        <v>26</v>
      </c>
      <c r="M178" s="40" t="str">
        <f>(L172*M172 + L173*M173 + L174*M174 + L175*M175 + L176*M176)/SUM(M172:M176)</f>
        <v>#DIV/0!</v>
      </c>
    </row>
    <row r="179" ht="14.25" customHeight="1">
      <c r="A179" s="28"/>
      <c r="B179" s="28"/>
      <c r="C179" s="30" t="s">
        <v>49</v>
      </c>
      <c r="D179" s="37"/>
      <c r="E179" s="30" t="s">
        <v>49</v>
      </c>
      <c r="F179" s="120"/>
      <c r="G179" s="121" t="s">
        <v>49</v>
      </c>
      <c r="H179" s="122" t="s">
        <v>33</v>
      </c>
      <c r="I179" s="30"/>
      <c r="J179" s="28"/>
      <c r="K179" s="60" t="s">
        <v>49</v>
      </c>
      <c r="L179" s="30"/>
      <c r="M179" s="60" t="s">
        <v>49</v>
      </c>
    </row>
    <row r="180" ht="14.25" customHeight="1">
      <c r="A180" s="37"/>
      <c r="B180" s="52" t="s">
        <v>52</v>
      </c>
      <c r="C180" s="60"/>
      <c r="D180" s="23"/>
      <c r="E180" s="61"/>
      <c r="F180" s="62" t="s">
        <v>52</v>
      </c>
      <c r="G180" s="61"/>
      <c r="H180" s="30"/>
      <c r="I180" s="60"/>
      <c r="J180" s="62" t="s">
        <v>52</v>
      </c>
      <c r="K180" s="60"/>
      <c r="L180" s="62"/>
      <c r="M180" s="60"/>
    </row>
    <row r="181" ht="14.25" customHeight="1">
      <c r="A181" s="37"/>
      <c r="B181" s="52" t="s">
        <v>53</v>
      </c>
      <c r="C181" s="60"/>
      <c r="D181" s="23"/>
      <c r="E181" s="60"/>
      <c r="F181" s="53" t="s">
        <v>53</v>
      </c>
      <c r="G181" s="60"/>
      <c r="H181" s="30"/>
      <c r="I181" s="60"/>
      <c r="J181" s="53" t="s">
        <v>53</v>
      </c>
      <c r="K181" s="60"/>
      <c r="L181" s="30"/>
      <c r="M181" s="60"/>
    </row>
    <row r="182" ht="14.25" customHeight="1">
      <c r="A182" s="37"/>
      <c r="B182" s="32" t="s">
        <v>54</v>
      </c>
      <c r="C182" s="60"/>
      <c r="D182" s="23"/>
      <c r="E182" s="60"/>
      <c r="F182" s="23" t="s">
        <v>54</v>
      </c>
      <c r="G182" s="60"/>
      <c r="H182" s="30"/>
      <c r="I182" s="60"/>
      <c r="J182" s="30" t="s">
        <v>54</v>
      </c>
      <c r="K182" s="60"/>
      <c r="L182" s="30"/>
      <c r="M182" s="60"/>
    </row>
    <row r="183" ht="14.25" customHeight="1">
      <c r="A183" s="37"/>
      <c r="B183" s="28"/>
      <c r="C183" s="1"/>
      <c r="D183" s="28"/>
      <c r="E183" s="1"/>
      <c r="F183" s="28"/>
      <c r="G183" s="60"/>
      <c r="H183" s="30"/>
      <c r="I183" s="30"/>
      <c r="J183" s="37"/>
      <c r="K183" s="60"/>
      <c r="L183" s="30"/>
      <c r="M183" s="60"/>
    </row>
    <row r="184" ht="14.25" customHeight="1">
      <c r="A184" s="37"/>
      <c r="B184" s="28"/>
      <c r="C184" s="1"/>
      <c r="D184" s="28"/>
      <c r="E184" s="1"/>
      <c r="F184" s="28"/>
      <c r="G184" s="60"/>
      <c r="H184" s="30"/>
      <c r="I184" s="30"/>
      <c r="J184" s="37"/>
      <c r="K184" s="60"/>
      <c r="L184" s="30"/>
      <c r="M184" s="60"/>
    </row>
    <row r="185" ht="14.25" customHeight="1">
      <c r="A185" s="37"/>
      <c r="B185" s="28"/>
      <c r="C185" s="1"/>
      <c r="D185" s="28"/>
      <c r="E185" s="1"/>
      <c r="F185" s="28"/>
      <c r="G185" s="60"/>
      <c r="H185" s="30"/>
      <c r="I185" s="30"/>
      <c r="J185" s="37"/>
      <c r="K185" s="60"/>
      <c r="L185" s="30"/>
      <c r="M185" s="60"/>
    </row>
    <row r="186" ht="14.25" customHeight="1">
      <c r="A186" s="64"/>
      <c r="B186" s="65"/>
      <c r="C186" s="66"/>
      <c r="D186" s="65"/>
      <c r="E186" s="66"/>
      <c r="F186" s="64"/>
      <c r="G186" s="67"/>
      <c r="H186" s="66"/>
      <c r="I186" s="66"/>
      <c r="J186" s="64"/>
      <c r="K186" s="67"/>
      <c r="L186" s="66"/>
      <c r="M186" s="67"/>
    </row>
    <row r="187" ht="14.25" customHeight="1">
      <c r="A187" s="30"/>
      <c r="B187" s="1"/>
      <c r="C187" s="1"/>
      <c r="D187" s="30"/>
      <c r="E187" s="30"/>
      <c r="F187" s="1"/>
      <c r="G187" s="30"/>
      <c r="H187" s="30"/>
      <c r="I187" s="30"/>
      <c r="J187" s="1"/>
      <c r="K187" s="30"/>
      <c r="L187" s="30"/>
      <c r="M187" s="30"/>
    </row>
    <row r="188" ht="14.25" customHeight="1">
      <c r="A188" s="2" t="s">
        <v>2</v>
      </c>
      <c r="B188" s="3" t="s">
        <v>3</v>
      </c>
      <c r="C188" s="4">
        <f>M151+2</f>
        <v>45390</v>
      </c>
      <c r="D188" s="5" t="s">
        <v>4</v>
      </c>
      <c r="E188" s="6">
        <f>C188+1</f>
        <v>45391</v>
      </c>
      <c r="F188" s="3" t="s">
        <v>5</v>
      </c>
      <c r="G188" s="6">
        <f>E188+1</f>
        <v>45392</v>
      </c>
      <c r="H188" s="3" t="s">
        <v>6</v>
      </c>
      <c r="I188" s="6">
        <f>G188+1</f>
        <v>45393</v>
      </c>
      <c r="J188" s="3" t="s">
        <v>7</v>
      </c>
      <c r="K188" s="6">
        <f>I188+1</f>
        <v>45394</v>
      </c>
      <c r="L188" s="7" t="s">
        <v>8</v>
      </c>
      <c r="M188" s="8">
        <f>K188+1</f>
        <v>45395</v>
      </c>
    </row>
    <row r="189" ht="14.25" customHeight="1">
      <c r="A189" s="10">
        <f>A152+1</f>
        <v>6</v>
      </c>
      <c r="B189" s="11" t="s">
        <v>10</v>
      </c>
      <c r="C189" s="12" t="s">
        <v>11</v>
      </c>
      <c r="D189" s="11" t="s">
        <v>10</v>
      </c>
      <c r="E189" s="12" t="s">
        <v>11</v>
      </c>
      <c r="F189" s="11" t="s">
        <v>10</v>
      </c>
      <c r="G189" s="12" t="s">
        <v>11</v>
      </c>
      <c r="H189" s="11" t="s">
        <v>10</v>
      </c>
      <c r="I189" s="12" t="s">
        <v>11</v>
      </c>
      <c r="J189" s="11" t="s">
        <v>10</v>
      </c>
      <c r="K189" s="12" t="s">
        <v>11</v>
      </c>
      <c r="L189" s="11" t="s">
        <v>10</v>
      </c>
      <c r="M189" s="12" t="s">
        <v>11</v>
      </c>
    </row>
    <row r="190" ht="14.25" customHeight="1">
      <c r="A190" s="13" t="s">
        <v>12</v>
      </c>
      <c r="B190" s="20" t="s">
        <v>63</v>
      </c>
      <c r="C190" s="17"/>
      <c r="D190" s="18" t="s">
        <v>14</v>
      </c>
      <c r="E190" s="17"/>
      <c r="F190" s="20" t="s">
        <v>63</v>
      </c>
      <c r="G190" s="17"/>
      <c r="H190" s="45" t="s">
        <v>172</v>
      </c>
      <c r="I190" s="17"/>
      <c r="J190" s="20" t="s">
        <v>63</v>
      </c>
      <c r="K190" s="17"/>
      <c r="L190" s="18"/>
      <c r="M190" s="17"/>
    </row>
    <row r="191" ht="14.25" customHeight="1">
      <c r="A191" s="13"/>
      <c r="B191" s="46">
        <v>50.0</v>
      </c>
      <c r="C191" s="48">
        <v>10.0</v>
      </c>
      <c r="D191" s="23" t="s">
        <v>18</v>
      </c>
      <c r="E191" s="24"/>
      <c r="F191" s="46">
        <v>52.5</v>
      </c>
      <c r="G191" s="48">
        <v>10.0</v>
      </c>
      <c r="H191" s="23"/>
      <c r="I191" s="26"/>
      <c r="J191" s="46">
        <v>50.0</v>
      </c>
      <c r="K191" s="48">
        <v>10.0</v>
      </c>
      <c r="L191" s="23"/>
      <c r="M191" s="24"/>
    </row>
    <row r="192" ht="14.25" customHeight="1">
      <c r="A192" s="28" t="s">
        <v>20</v>
      </c>
      <c r="B192" s="46">
        <v>55.0</v>
      </c>
      <c r="C192" s="48">
        <v>10.0</v>
      </c>
      <c r="D192" s="23" t="s">
        <v>21</v>
      </c>
      <c r="E192" s="26"/>
      <c r="F192" s="46">
        <v>55.0</v>
      </c>
      <c r="G192" s="48">
        <v>10.0</v>
      </c>
      <c r="H192" s="23"/>
      <c r="I192" s="26"/>
      <c r="J192" s="46">
        <v>55.0</v>
      </c>
      <c r="K192" s="48">
        <v>10.0</v>
      </c>
      <c r="L192" s="23"/>
      <c r="M192" s="24"/>
    </row>
    <row r="193" ht="14.25" customHeight="1">
      <c r="A193" s="29" t="s">
        <v>22</v>
      </c>
      <c r="B193" s="46">
        <v>60.0</v>
      </c>
      <c r="C193" s="48">
        <v>10.0</v>
      </c>
      <c r="D193" s="30"/>
      <c r="E193" s="26"/>
      <c r="F193" s="46">
        <v>60.0</v>
      </c>
      <c r="G193" s="48">
        <v>10.0</v>
      </c>
      <c r="H193" s="23"/>
      <c r="I193" s="26"/>
      <c r="J193" s="46">
        <v>60.0</v>
      </c>
      <c r="K193" s="48">
        <v>10.0</v>
      </c>
      <c r="L193" s="23"/>
      <c r="M193" s="24"/>
    </row>
    <row r="194" ht="14.25" customHeight="1">
      <c r="A194" s="28" t="s">
        <v>23</v>
      </c>
      <c r="B194" s="46"/>
      <c r="C194" s="48"/>
      <c r="D194" s="23"/>
      <c r="E194" s="26"/>
      <c r="F194" s="47"/>
      <c r="G194" s="22"/>
      <c r="H194" s="31"/>
      <c r="I194" s="24"/>
      <c r="J194" s="46"/>
      <c r="K194" s="22"/>
      <c r="L194" s="23"/>
      <c r="M194" s="26"/>
    </row>
    <row r="195" ht="14.25" customHeight="1">
      <c r="A195" s="13"/>
      <c r="B195" s="13"/>
      <c r="C195" s="24"/>
      <c r="D195" s="73"/>
      <c r="E195" s="26"/>
      <c r="F195" s="13"/>
      <c r="G195" s="34"/>
      <c r="H195" s="13"/>
      <c r="I195" s="34"/>
      <c r="J195" s="13"/>
      <c r="K195" s="24"/>
      <c r="L195" s="13"/>
      <c r="M195" s="24"/>
    </row>
    <row r="196" ht="14.25" customHeight="1">
      <c r="A196" s="28" t="s">
        <v>113</v>
      </c>
      <c r="B196" s="35" t="s">
        <v>25</v>
      </c>
      <c r="C196" s="58">
        <f>C191*B191 + B192*C192 + B193*C193 + B194*C194 + B195*C195</f>
        <v>1650</v>
      </c>
      <c r="D196" s="57" t="s">
        <v>25</v>
      </c>
      <c r="E196" s="55" t="str">
        <f>E191*D191 + D192*#REF! + E192*E193 + D194*E194 + D195*E195</f>
        <v>#VALUE!</v>
      </c>
      <c r="F196" s="35" t="s">
        <v>25</v>
      </c>
      <c r="G196" s="56">
        <f>G191*F191 + F192*G192 + F193*G193 + F194*G194 + F195*G195</f>
        <v>1675</v>
      </c>
      <c r="H196" s="35" t="s">
        <v>25</v>
      </c>
      <c r="I196" s="56">
        <f>I191*H191 + H192*I192 + H193*I193 + H194*I194 + H195*I195</f>
        <v>0</v>
      </c>
      <c r="J196" s="35" t="s">
        <v>25</v>
      </c>
      <c r="K196" s="58">
        <f>K191*J191 + J192*K192 + J193*K193 + J194*K194 + J195*K195</f>
        <v>1650</v>
      </c>
      <c r="L196" s="35" t="s">
        <v>25</v>
      </c>
      <c r="M196" s="36">
        <f>M191*L191 + L192*M192 + L193*M193 + L194*M194 + L195*M195</f>
        <v>0</v>
      </c>
    </row>
    <row r="197" ht="14.25" customHeight="1">
      <c r="A197" s="37"/>
      <c r="B197" s="39" t="s">
        <v>26</v>
      </c>
      <c r="C197" s="116">
        <f>(B191*C191 + B192*C192 + B193*C193 + B194*C194 + B195*C195)/SUM(C191:C195)</f>
        <v>55</v>
      </c>
      <c r="D197" s="31" t="s">
        <v>26</v>
      </c>
      <c r="E197" s="74" t="str">
        <f>(D191*E191 + D192*#REF! + E192*E193 + D194*E194 + D195*E195)/SUM(E191:E195)</f>
        <v>#VALUE!</v>
      </c>
      <c r="F197" s="13" t="s">
        <v>26</v>
      </c>
      <c r="G197" s="117">
        <f>(F191*G191 + F192*G192 + F193*G193 + F194*G194 + F195*G195)/SUM(G191:G195)</f>
        <v>55.83333333</v>
      </c>
      <c r="H197" s="13" t="s">
        <v>26</v>
      </c>
      <c r="I197" s="74" t="str">
        <f>(H191*I191 + H192*I192 + H193*I193 + H194*I194 + H195*I195)/SUM(I191:I195)</f>
        <v>#DIV/0!</v>
      </c>
      <c r="J197" s="39" t="s">
        <v>26</v>
      </c>
      <c r="K197" s="116">
        <f>(J191*K191 + J192*K192 + J193*K193 + J194*K194 + J195*K195)/SUM(K191:K195)</f>
        <v>55</v>
      </c>
      <c r="L197" s="13" t="s">
        <v>26</v>
      </c>
      <c r="M197" s="75" t="str">
        <f>(L191*M191 + L192*M192 + L193*M193 + L194*M194 + L195*M195)/SUM(M191:M195)</f>
        <v>#DIV/0!</v>
      </c>
    </row>
    <row r="198" ht="14.25" customHeight="1">
      <c r="A198" s="28" t="s">
        <v>27</v>
      </c>
      <c r="B198" s="11" t="s">
        <v>10</v>
      </c>
      <c r="C198" s="12" t="s">
        <v>11</v>
      </c>
      <c r="D198" s="11" t="s">
        <v>10</v>
      </c>
      <c r="E198" s="12" t="s">
        <v>11</v>
      </c>
      <c r="F198" s="11" t="s">
        <v>10</v>
      </c>
      <c r="G198" s="12" t="s">
        <v>11</v>
      </c>
      <c r="H198" s="11" t="s">
        <v>10</v>
      </c>
      <c r="I198" s="12" t="s">
        <v>11</v>
      </c>
      <c r="J198" s="11" t="s">
        <v>10</v>
      </c>
      <c r="K198" s="12" t="s">
        <v>11</v>
      </c>
      <c r="L198" s="11" t="s">
        <v>10</v>
      </c>
      <c r="M198" s="12" t="s">
        <v>11</v>
      </c>
    </row>
    <row r="199" ht="14.25" customHeight="1">
      <c r="A199" s="41" t="s">
        <v>28</v>
      </c>
      <c r="B199" s="20" t="s">
        <v>74</v>
      </c>
      <c r="C199" s="17"/>
      <c r="D199" s="45" t="s">
        <v>173</v>
      </c>
      <c r="E199" s="44" t="s">
        <v>31</v>
      </c>
      <c r="F199" s="68" t="s">
        <v>174</v>
      </c>
      <c r="G199" s="17"/>
      <c r="H199" s="19" t="s">
        <v>33</v>
      </c>
      <c r="I199" s="44"/>
      <c r="J199" s="70" t="s">
        <v>68</v>
      </c>
      <c r="K199" s="17"/>
      <c r="L199" s="43" t="s">
        <v>30</v>
      </c>
      <c r="M199" s="44" t="s">
        <v>31</v>
      </c>
    </row>
    <row r="200" ht="14.25" customHeight="1">
      <c r="A200" s="28"/>
      <c r="B200" s="46">
        <v>60.0</v>
      </c>
      <c r="C200" s="22">
        <v>8.0</v>
      </c>
      <c r="D200" s="1" t="s">
        <v>175</v>
      </c>
      <c r="E200" s="54"/>
      <c r="F200" s="47">
        <v>40.0</v>
      </c>
      <c r="G200" s="22">
        <v>8.0</v>
      </c>
      <c r="H200" s="1" t="s">
        <v>176</v>
      </c>
      <c r="I200" s="24"/>
      <c r="J200" s="28">
        <v>50.0</v>
      </c>
      <c r="K200" s="54">
        <v>8.0</v>
      </c>
      <c r="L200" s="1" t="s">
        <v>58</v>
      </c>
      <c r="M200" s="24" t="s">
        <v>36</v>
      </c>
    </row>
    <row r="201" ht="14.25" customHeight="1">
      <c r="A201" s="28" t="s">
        <v>37</v>
      </c>
      <c r="B201" s="46">
        <v>65.0</v>
      </c>
      <c r="C201" s="22">
        <v>8.0</v>
      </c>
      <c r="D201" s="1"/>
      <c r="E201" s="54"/>
      <c r="F201" s="47">
        <v>45.0</v>
      </c>
      <c r="G201" s="22">
        <v>8.0</v>
      </c>
      <c r="H201" s="23"/>
      <c r="I201" s="24"/>
      <c r="J201" s="27">
        <v>55.0</v>
      </c>
      <c r="K201" s="54">
        <v>8.0</v>
      </c>
      <c r="L201" s="1" t="s">
        <v>58</v>
      </c>
      <c r="M201" s="26" t="s">
        <v>38</v>
      </c>
    </row>
    <row r="202" ht="14.25" customHeight="1">
      <c r="A202" s="28" t="s">
        <v>39</v>
      </c>
      <c r="B202" s="46">
        <v>70.0</v>
      </c>
      <c r="C202" s="22">
        <v>8.0</v>
      </c>
      <c r="D202" s="1"/>
      <c r="E202" s="54"/>
      <c r="F202" s="47">
        <v>50.0</v>
      </c>
      <c r="G202" s="22">
        <v>8.0</v>
      </c>
      <c r="H202" s="23"/>
      <c r="I202" s="24"/>
      <c r="J202" s="27">
        <v>60.0</v>
      </c>
      <c r="K202" s="54">
        <v>8.0</v>
      </c>
      <c r="L202" s="1" t="s">
        <v>59</v>
      </c>
      <c r="M202" s="24" t="s">
        <v>38</v>
      </c>
    </row>
    <row r="203" ht="14.25" customHeight="1">
      <c r="A203" s="28"/>
      <c r="B203" s="46">
        <v>75.0</v>
      </c>
      <c r="C203" s="22">
        <v>8.0</v>
      </c>
      <c r="D203" s="1"/>
      <c r="E203" s="54"/>
      <c r="F203" s="47">
        <v>55.0</v>
      </c>
      <c r="G203" s="22">
        <v>8.0</v>
      </c>
      <c r="H203" s="23"/>
      <c r="I203" s="24"/>
      <c r="J203" s="46"/>
      <c r="K203" s="22"/>
      <c r="L203" s="1" t="s">
        <v>58</v>
      </c>
      <c r="M203" s="26" t="s">
        <v>38</v>
      </c>
    </row>
    <row r="204" ht="14.25" customHeight="1">
      <c r="A204" s="28" t="s">
        <v>41</v>
      </c>
      <c r="B204" s="13"/>
      <c r="C204" s="24"/>
      <c r="D204" s="1"/>
      <c r="E204" s="24"/>
      <c r="F204" s="31"/>
      <c r="G204" s="24"/>
      <c r="H204" s="23"/>
      <c r="I204" s="24"/>
      <c r="J204" s="31"/>
      <c r="K204" s="24"/>
      <c r="L204" s="1" t="s">
        <v>58</v>
      </c>
      <c r="M204" s="24" t="s">
        <v>42</v>
      </c>
    </row>
    <row r="205" ht="14.25" customHeight="1">
      <c r="A205" s="28" t="s">
        <v>43</v>
      </c>
      <c r="B205" s="13"/>
      <c r="C205" s="34"/>
      <c r="D205" s="28"/>
      <c r="E205" s="34"/>
      <c r="F205" s="13"/>
      <c r="G205" s="34"/>
      <c r="H205" s="28"/>
      <c r="I205" s="34"/>
      <c r="J205" s="13"/>
      <c r="K205" s="24"/>
      <c r="L205" s="28"/>
      <c r="M205" s="24"/>
    </row>
    <row r="206" ht="14.25" customHeight="1">
      <c r="A206" s="28"/>
      <c r="B206" s="35" t="s">
        <v>25</v>
      </c>
      <c r="C206" s="55">
        <f>C200*B200 + B201*C201 + B202*C202 + B203*C203 + B205*C205</f>
        <v>2160</v>
      </c>
      <c r="D206" s="35" t="s">
        <v>25</v>
      </c>
      <c r="E206" s="55" t="str">
        <f>E200*D200 + D201*E201 + D202*E202 + D203*E203 + D205*E205</f>
        <v>#VALUE!</v>
      </c>
      <c r="F206" s="35" t="s">
        <v>25</v>
      </c>
      <c r="G206" s="55">
        <f>G200*F200 + F201*G201 + F202*G202 + F203*G203 + F205*G205</f>
        <v>1520</v>
      </c>
      <c r="H206" s="35" t="s">
        <v>25</v>
      </c>
      <c r="I206" s="56" t="str">
        <f>I200*H200 + H201*I201 + H202*I202 + H203*I203 + H205*I205</f>
        <v>#VALUE!</v>
      </c>
      <c r="J206" s="35" t="s">
        <v>25</v>
      </c>
      <c r="K206" s="36">
        <f>K200*J200 + J201*K201 + J202*K202 + J203*K203 + J205*K205</f>
        <v>1320</v>
      </c>
      <c r="L206" s="35" t="s">
        <v>25</v>
      </c>
      <c r="M206" s="36" t="str">
        <f>M200*L200 + L201*M201 + L202*M202 + L203*M203 + L205*M205</f>
        <v>#VALUE!</v>
      </c>
    </row>
    <row r="207" ht="14.25" customHeight="1">
      <c r="A207" s="28" t="s">
        <v>116</v>
      </c>
      <c r="B207" s="39" t="s">
        <v>26</v>
      </c>
      <c r="C207" s="77">
        <f>(B200*C200 + B201*C201 + B202*C202 + B203*C203 + B205*C205)/SUM(C200:C205)</f>
        <v>67.5</v>
      </c>
      <c r="D207" s="39" t="s">
        <v>26</v>
      </c>
      <c r="E207" s="77" t="str">
        <f>(D200*E200 + D201*E201 + D202*E202 + D203*E203 + D205*E205)/SUM(E200:E205)</f>
        <v>#VALUE!</v>
      </c>
      <c r="F207" s="39" t="s">
        <v>26</v>
      </c>
      <c r="G207" s="77">
        <f>(F200*G200 + F201*G201 + F202*G202 + F203*G203 + F205*G205)/SUM(G200:G205)</f>
        <v>47.5</v>
      </c>
      <c r="H207" s="39" t="s">
        <v>26</v>
      </c>
      <c r="I207" s="77" t="str">
        <f>(H200*I200 + H201*I201 + H202*I202 + H203*I203 + H205*I205)/SUM(I200:I205)</f>
        <v>#VALUE!</v>
      </c>
      <c r="J207" s="39" t="s">
        <v>26</v>
      </c>
      <c r="K207" s="40">
        <f>(J200*K200 + J201*K201 + J202*K202 + J203*K203 + J205*K205)/SUM(K200:K205)</f>
        <v>55</v>
      </c>
      <c r="L207" s="39" t="s">
        <v>26</v>
      </c>
      <c r="M207" s="40" t="str">
        <f>(L200*M200 + L201*M201 + L202*M202 + L203*M203 + L205*M205)/SUM(M200:M205)</f>
        <v>#VALUE!</v>
      </c>
    </row>
    <row r="208" ht="14.25" customHeight="1">
      <c r="A208" s="28" t="s">
        <v>117</v>
      </c>
      <c r="B208" s="70" t="s">
        <v>71</v>
      </c>
      <c r="C208" s="17"/>
      <c r="D208" s="45" t="s">
        <v>177</v>
      </c>
      <c r="E208" s="17"/>
      <c r="F208" s="70" t="s">
        <v>71</v>
      </c>
      <c r="G208" s="17"/>
      <c r="H208" s="43"/>
      <c r="I208" s="17"/>
      <c r="J208" s="70" t="s">
        <v>71</v>
      </c>
      <c r="K208" s="17"/>
      <c r="L208" s="49" t="s">
        <v>105</v>
      </c>
      <c r="M208" s="118" t="s">
        <v>49</v>
      </c>
    </row>
    <row r="209" ht="14.25" customHeight="1">
      <c r="A209" s="28" t="s">
        <v>120</v>
      </c>
      <c r="B209" s="28">
        <v>50.0</v>
      </c>
      <c r="C209" s="54">
        <v>8.0</v>
      </c>
      <c r="D209" s="51"/>
      <c r="E209" s="24"/>
      <c r="F209" s="28">
        <v>52.5</v>
      </c>
      <c r="G209" s="54">
        <v>8.0</v>
      </c>
      <c r="H209" s="23"/>
      <c r="I209" s="24"/>
      <c r="J209" s="28">
        <v>50.0</v>
      </c>
      <c r="K209" s="54">
        <v>8.0</v>
      </c>
      <c r="L209" s="119"/>
      <c r="M209" s="24"/>
    </row>
    <row r="210" ht="14.25" customHeight="1">
      <c r="A210" s="28"/>
      <c r="B210" s="27">
        <v>55.0</v>
      </c>
      <c r="C210" s="54">
        <v>8.0</v>
      </c>
      <c r="D210" s="23"/>
      <c r="E210" s="26"/>
      <c r="F210" s="27">
        <v>57.5</v>
      </c>
      <c r="G210" s="54">
        <v>8.0</v>
      </c>
      <c r="H210" s="23"/>
      <c r="I210" s="24"/>
      <c r="J210" s="27">
        <v>55.0</v>
      </c>
      <c r="K210" s="54">
        <v>8.0</v>
      </c>
      <c r="L210" s="1"/>
      <c r="M210" s="54"/>
    </row>
    <row r="211" ht="14.25" customHeight="1">
      <c r="A211" s="28"/>
      <c r="B211" s="27">
        <v>60.0</v>
      </c>
      <c r="C211" s="54">
        <v>8.0</v>
      </c>
      <c r="D211" s="23"/>
      <c r="E211" s="24"/>
      <c r="F211" s="27">
        <v>60.0</v>
      </c>
      <c r="G211" s="54">
        <v>8.0</v>
      </c>
      <c r="H211" s="23"/>
      <c r="I211" s="24"/>
      <c r="J211" s="27">
        <v>60.0</v>
      </c>
      <c r="K211" s="54">
        <v>8.0</v>
      </c>
      <c r="L211" s="1"/>
      <c r="M211" s="24"/>
    </row>
    <row r="212" ht="14.25" customHeight="1">
      <c r="A212" s="28" t="s">
        <v>170</v>
      </c>
      <c r="B212" s="28"/>
      <c r="C212" s="79"/>
      <c r="D212" s="28"/>
      <c r="E212" s="79"/>
      <c r="F212" s="28"/>
      <c r="G212" s="34"/>
      <c r="H212" s="28"/>
      <c r="I212" s="34"/>
      <c r="J212" s="28"/>
      <c r="K212" s="54"/>
      <c r="L212" s="1"/>
      <c r="M212" s="24"/>
    </row>
    <row r="213" ht="14.25" customHeight="1">
      <c r="A213" s="28" t="s">
        <v>171</v>
      </c>
      <c r="B213" s="13"/>
      <c r="C213" s="34"/>
      <c r="D213" s="28"/>
      <c r="E213" s="34"/>
      <c r="F213" s="13"/>
      <c r="G213" s="34"/>
      <c r="H213" s="28"/>
      <c r="I213" s="34"/>
      <c r="J213" s="13"/>
      <c r="K213" s="24"/>
      <c r="L213" s="31"/>
      <c r="M213" s="24"/>
    </row>
    <row r="214" ht="14.25" customHeight="1">
      <c r="A214" s="13"/>
      <c r="B214" s="35" t="s">
        <v>25</v>
      </c>
      <c r="C214" s="55">
        <f>C209*B209 + B210*C210 + B211*C211 + B212*C212 + B213*C213</f>
        <v>1320</v>
      </c>
      <c r="D214" s="35" t="s">
        <v>25</v>
      </c>
      <c r="E214" s="55">
        <f>E209*D209 + D210*E210 + D211*E211 + D212*E212 + D213*E213</f>
        <v>0</v>
      </c>
      <c r="F214" s="35" t="s">
        <v>25</v>
      </c>
      <c r="G214" s="55">
        <f>G209*F209 + F210*G210 + F211*G211 + F212*G212 + F213*G213</f>
        <v>1360</v>
      </c>
      <c r="H214" s="35" t="s">
        <v>25</v>
      </c>
      <c r="I214" s="56">
        <f>I209*H209 + H210*I210 + H211*I211 + H212*I212 + H213*I213</f>
        <v>0</v>
      </c>
      <c r="J214" s="35" t="s">
        <v>25</v>
      </c>
      <c r="K214" s="36">
        <f>K209*J209 + J210*K210 + J211*K211 + J212*K212 + J213*K213</f>
        <v>1320</v>
      </c>
      <c r="L214" s="57" t="s">
        <v>25</v>
      </c>
      <c r="M214" s="58">
        <f>M209*L209 + L210*M210 + L211*M211 + L212*M212 + L213*M213</f>
        <v>0</v>
      </c>
    </row>
    <row r="215" ht="14.25" customHeight="1">
      <c r="A215" s="13"/>
      <c r="B215" s="39" t="s">
        <v>26</v>
      </c>
      <c r="C215" s="40">
        <f>(B209*C209 + B210*C210 + B211*C211 + B212*C212 + B213*C213)/SUM(C209:C213)</f>
        <v>55</v>
      </c>
      <c r="D215" s="59" t="s">
        <v>26</v>
      </c>
      <c r="E215" s="40" t="str">
        <f>(D209*E209 + D210*E210 + D211*E211 + D212*E212 + D213*E213)/SUM(E209:E213)</f>
        <v>#DIV/0!</v>
      </c>
      <c r="F215" s="31" t="s">
        <v>26</v>
      </c>
      <c r="G215" s="75">
        <f>(F209*G209 + F210*G210 + F211*G211 + F212*G212 + F213*G213)/SUM(G209:G213)</f>
        <v>56.66666667</v>
      </c>
      <c r="H215" s="59" t="s">
        <v>26</v>
      </c>
      <c r="I215" s="40" t="str">
        <f>(H209*I209 + H210*I210 + H211*I211 + H212*I212 + H213*I213)/SUM(I209:I213)</f>
        <v>#DIV/0!</v>
      </c>
      <c r="J215" s="39" t="s">
        <v>26</v>
      </c>
      <c r="K215" s="40">
        <f>(J209*K209 + J210*K210 + J211*K211 + J212*K212 + J213*K213)/SUM(K209:K213)</f>
        <v>55</v>
      </c>
      <c r="L215" s="59" t="s">
        <v>26</v>
      </c>
      <c r="M215" s="40" t="str">
        <f>(L209*M209 + L210*M210 + L211*M211 + L212*M212 + L213*M213)/SUM(M209:M213)</f>
        <v>#DIV/0!</v>
      </c>
    </row>
    <row r="216" ht="14.25" customHeight="1">
      <c r="A216" s="28"/>
      <c r="B216" s="28"/>
      <c r="C216" s="30" t="s">
        <v>49</v>
      </c>
      <c r="D216" s="37"/>
      <c r="E216" s="30" t="s">
        <v>49</v>
      </c>
      <c r="F216" s="120"/>
      <c r="G216" s="121" t="s">
        <v>49</v>
      </c>
      <c r="H216" s="122" t="s">
        <v>33</v>
      </c>
      <c r="I216" s="30"/>
      <c r="J216" s="28"/>
      <c r="K216" s="60" t="s">
        <v>49</v>
      </c>
      <c r="L216" s="30"/>
      <c r="M216" s="60" t="s">
        <v>49</v>
      </c>
    </row>
    <row r="217" ht="14.25" customHeight="1">
      <c r="A217" s="37"/>
      <c r="B217" s="27" t="s">
        <v>178</v>
      </c>
      <c r="C217" s="60"/>
      <c r="D217" s="23"/>
      <c r="E217" s="61"/>
      <c r="F217" s="27" t="s">
        <v>178</v>
      </c>
      <c r="G217" s="61"/>
      <c r="H217" s="30"/>
      <c r="I217" s="60"/>
      <c r="J217" s="27" t="s">
        <v>178</v>
      </c>
      <c r="K217" s="60"/>
      <c r="L217" s="62"/>
      <c r="M217" s="60"/>
    </row>
    <row r="218" ht="14.25" customHeight="1">
      <c r="A218" s="37"/>
      <c r="B218" s="52" t="s">
        <v>53</v>
      </c>
      <c r="C218" s="60"/>
      <c r="D218" s="23"/>
      <c r="E218" s="60"/>
      <c r="F218" s="53" t="s">
        <v>53</v>
      </c>
      <c r="G218" s="60"/>
      <c r="H218" s="30"/>
      <c r="I218" s="60"/>
      <c r="J218" s="53" t="s">
        <v>53</v>
      </c>
      <c r="K218" s="60"/>
      <c r="L218" s="30"/>
      <c r="M218" s="60"/>
    </row>
    <row r="219" ht="14.25" customHeight="1">
      <c r="A219" s="37"/>
      <c r="B219" s="32" t="s">
        <v>54</v>
      </c>
      <c r="C219" s="60"/>
      <c r="D219" s="23"/>
      <c r="E219" s="60"/>
      <c r="F219" s="23" t="s">
        <v>54</v>
      </c>
      <c r="G219" s="60"/>
      <c r="H219" s="30"/>
      <c r="I219" s="60"/>
      <c r="J219" s="30" t="s">
        <v>54</v>
      </c>
      <c r="K219" s="60"/>
      <c r="L219" s="30"/>
      <c r="M219" s="60"/>
    </row>
    <row r="220" ht="14.25" customHeight="1">
      <c r="A220" s="37"/>
      <c r="B220" s="28"/>
      <c r="C220" s="1"/>
      <c r="D220" s="28"/>
      <c r="E220" s="1"/>
      <c r="F220" s="28"/>
      <c r="G220" s="60"/>
      <c r="H220" s="30"/>
      <c r="I220" s="30"/>
      <c r="J220" s="37"/>
      <c r="K220" s="60"/>
      <c r="L220" s="30"/>
      <c r="M220" s="60"/>
    </row>
    <row r="221" ht="14.25" customHeight="1">
      <c r="A221" s="37"/>
      <c r="B221" s="28"/>
      <c r="C221" s="1"/>
      <c r="D221" s="28"/>
      <c r="E221" s="1"/>
      <c r="F221" s="28"/>
      <c r="G221" s="60"/>
      <c r="H221" s="30"/>
      <c r="I221" s="30"/>
      <c r="J221" s="37"/>
      <c r="K221" s="60"/>
      <c r="L221" s="30"/>
      <c r="M221" s="60"/>
    </row>
    <row r="222" ht="14.25" customHeight="1">
      <c r="A222" s="37"/>
      <c r="B222" s="28"/>
      <c r="C222" s="1"/>
      <c r="D222" s="28"/>
      <c r="E222" s="1"/>
      <c r="F222" s="28"/>
      <c r="G222" s="60"/>
      <c r="H222" s="30"/>
      <c r="I222" s="30"/>
      <c r="J222" s="37"/>
      <c r="K222" s="60"/>
      <c r="L222" s="30"/>
      <c r="M222" s="60"/>
    </row>
    <row r="223" ht="14.25" customHeight="1">
      <c r="A223" s="64"/>
      <c r="B223" s="65"/>
      <c r="C223" s="66"/>
      <c r="D223" s="65"/>
      <c r="E223" s="66"/>
      <c r="F223" s="64"/>
      <c r="G223" s="67"/>
      <c r="H223" s="66"/>
      <c r="I223" s="66"/>
      <c r="J223" s="64"/>
      <c r="K223" s="67"/>
      <c r="L223" s="66"/>
      <c r="M223" s="67"/>
    </row>
    <row r="224" ht="14.25" customHeight="1">
      <c r="A224" s="30"/>
      <c r="B224" s="1"/>
      <c r="C224" s="1"/>
      <c r="D224" s="30"/>
      <c r="E224" s="30"/>
      <c r="F224" s="1"/>
      <c r="G224" s="30"/>
      <c r="H224" s="30"/>
      <c r="I224" s="30"/>
      <c r="J224" s="1"/>
      <c r="K224" s="30"/>
      <c r="L224" s="30"/>
      <c r="M224" s="30"/>
    </row>
    <row r="225" ht="14.25" customHeight="1">
      <c r="A225" s="2" t="s">
        <v>2</v>
      </c>
      <c r="B225" s="3" t="s">
        <v>3</v>
      </c>
      <c r="C225" s="4">
        <f>M188+2</f>
        <v>45397</v>
      </c>
      <c r="D225" s="5" t="s">
        <v>4</v>
      </c>
      <c r="E225" s="6">
        <f>C225+1</f>
        <v>45398</v>
      </c>
      <c r="F225" s="3" t="s">
        <v>5</v>
      </c>
      <c r="G225" s="6">
        <f>E225+1</f>
        <v>45399</v>
      </c>
      <c r="H225" s="3" t="s">
        <v>6</v>
      </c>
      <c r="I225" s="6">
        <f>G225+1</f>
        <v>45400</v>
      </c>
      <c r="J225" s="3" t="s">
        <v>7</v>
      </c>
      <c r="K225" s="6">
        <f>I225+1</f>
        <v>45401</v>
      </c>
      <c r="L225" s="7" t="s">
        <v>8</v>
      </c>
      <c r="M225" s="8">
        <f>K225+1</f>
        <v>45402</v>
      </c>
    </row>
    <row r="226" ht="14.25" customHeight="1">
      <c r="A226" s="10">
        <f>A189+1</f>
        <v>7</v>
      </c>
      <c r="B226" s="11" t="s">
        <v>10</v>
      </c>
      <c r="C226" s="12" t="s">
        <v>11</v>
      </c>
      <c r="D226" s="11" t="s">
        <v>10</v>
      </c>
      <c r="E226" s="12" t="s">
        <v>11</v>
      </c>
      <c r="F226" s="11" t="s">
        <v>10</v>
      </c>
      <c r="G226" s="12" t="s">
        <v>11</v>
      </c>
      <c r="H226" s="11" t="s">
        <v>10</v>
      </c>
      <c r="I226" s="12" t="s">
        <v>11</v>
      </c>
      <c r="J226" s="11" t="s">
        <v>10</v>
      </c>
      <c r="K226" s="12" t="s">
        <v>11</v>
      </c>
      <c r="L226" s="11" t="s">
        <v>10</v>
      </c>
      <c r="M226" s="12" t="s">
        <v>11</v>
      </c>
    </row>
    <row r="227" ht="14.25" customHeight="1">
      <c r="A227" s="13" t="s">
        <v>12</v>
      </c>
      <c r="B227" s="20" t="s">
        <v>72</v>
      </c>
      <c r="C227" s="17"/>
      <c r="D227" s="18" t="s">
        <v>14</v>
      </c>
      <c r="E227" s="17"/>
      <c r="F227" s="20" t="s">
        <v>63</v>
      </c>
      <c r="G227" s="17"/>
      <c r="H227" s="45" t="s">
        <v>15</v>
      </c>
      <c r="I227" s="17"/>
      <c r="J227" s="20" t="s">
        <v>72</v>
      </c>
      <c r="K227" s="17"/>
      <c r="L227" s="18"/>
      <c r="M227" s="17"/>
    </row>
    <row r="228" ht="14.25" customHeight="1">
      <c r="A228" s="13"/>
      <c r="B228" s="46">
        <v>60.0</v>
      </c>
      <c r="C228" s="48">
        <v>10.0</v>
      </c>
      <c r="D228" s="23" t="s">
        <v>18</v>
      </c>
      <c r="E228" s="24"/>
      <c r="F228" s="46">
        <v>55.0</v>
      </c>
      <c r="G228" s="48">
        <v>10.0</v>
      </c>
      <c r="H228" s="23"/>
      <c r="I228" s="26"/>
      <c r="J228" s="46">
        <v>65.0</v>
      </c>
      <c r="K228" s="48">
        <v>10.0</v>
      </c>
      <c r="L228" s="23"/>
      <c r="M228" s="24"/>
    </row>
    <row r="229" ht="14.25" customHeight="1">
      <c r="A229" s="28" t="s">
        <v>20</v>
      </c>
      <c r="B229" s="46">
        <v>65.0</v>
      </c>
      <c r="C229" s="48">
        <v>10.0</v>
      </c>
      <c r="D229" s="23" t="s">
        <v>21</v>
      </c>
      <c r="E229" s="26"/>
      <c r="F229" s="46">
        <v>60.0</v>
      </c>
      <c r="G229" s="48">
        <v>10.0</v>
      </c>
      <c r="H229" s="23"/>
      <c r="I229" s="26"/>
      <c r="J229" s="46">
        <v>70.0</v>
      </c>
      <c r="K229" s="48">
        <v>10.0</v>
      </c>
      <c r="L229" s="23"/>
      <c r="M229" s="24"/>
    </row>
    <row r="230" ht="14.25" customHeight="1">
      <c r="A230" s="29" t="s">
        <v>22</v>
      </c>
      <c r="B230" s="46">
        <v>70.0</v>
      </c>
      <c r="C230" s="48">
        <v>10.0</v>
      </c>
      <c r="D230" s="30"/>
      <c r="E230" s="26"/>
      <c r="F230" s="46">
        <v>62.5</v>
      </c>
      <c r="G230" s="48">
        <v>10.0</v>
      </c>
      <c r="H230" s="23"/>
      <c r="I230" s="26"/>
      <c r="J230" s="46">
        <v>72.5</v>
      </c>
      <c r="K230" s="48">
        <v>10.0</v>
      </c>
      <c r="L230" s="23"/>
      <c r="M230" s="24"/>
    </row>
    <row r="231" ht="14.25" customHeight="1">
      <c r="A231" s="28" t="s">
        <v>23</v>
      </c>
      <c r="B231" s="46"/>
      <c r="C231" s="48"/>
      <c r="D231" s="23"/>
      <c r="E231" s="26"/>
      <c r="F231" s="47"/>
      <c r="G231" s="22"/>
      <c r="H231" s="31"/>
      <c r="I231" s="24"/>
      <c r="J231" s="46"/>
      <c r="K231" s="22"/>
      <c r="L231" s="23"/>
      <c r="M231" s="26"/>
    </row>
    <row r="232" ht="14.25" customHeight="1">
      <c r="A232" s="13"/>
      <c r="B232" s="13"/>
      <c r="C232" s="24"/>
      <c r="D232" s="73"/>
      <c r="E232" s="26"/>
      <c r="F232" s="13"/>
      <c r="G232" s="34"/>
      <c r="H232" s="13"/>
      <c r="I232" s="34"/>
      <c r="J232" s="13"/>
      <c r="K232" s="24"/>
      <c r="L232" s="13"/>
      <c r="M232" s="24"/>
    </row>
    <row r="233" ht="14.25" customHeight="1">
      <c r="A233" s="28" t="s">
        <v>113</v>
      </c>
      <c r="B233" s="35" t="s">
        <v>25</v>
      </c>
      <c r="C233" s="58">
        <f>C228*B228 + B229*C229 + B230*C230 + B231*C231 + B232*C232</f>
        <v>1950</v>
      </c>
      <c r="D233" s="57" t="s">
        <v>25</v>
      </c>
      <c r="E233" s="55" t="str">
        <f>E228*D228 + D229*#REF! + E229*E230 + D231*E231 + D232*E232</f>
        <v>#VALUE!</v>
      </c>
      <c r="F233" s="35" t="s">
        <v>25</v>
      </c>
      <c r="G233" s="56">
        <f>G228*F228 + F229*G229 + F230*G230 + F231*G231 + F232*G232</f>
        <v>1775</v>
      </c>
      <c r="H233" s="35" t="s">
        <v>25</v>
      </c>
      <c r="I233" s="56">
        <f>I228*H228 + H229*I229 + H230*I230 + H231*I231 + H232*I232</f>
        <v>0</v>
      </c>
      <c r="J233" s="35" t="s">
        <v>25</v>
      </c>
      <c r="K233" s="58">
        <f>K228*J228 + J229*K229 + J230*K230 + J231*K231 + J232*K232</f>
        <v>2075</v>
      </c>
      <c r="L233" s="35" t="s">
        <v>25</v>
      </c>
      <c r="M233" s="36">
        <f>M228*L228 + L229*M229 + L230*M230 + L231*M231 + L232*M232</f>
        <v>0</v>
      </c>
    </row>
    <row r="234" ht="14.25" customHeight="1">
      <c r="A234" s="37"/>
      <c r="B234" s="39" t="s">
        <v>26</v>
      </c>
      <c r="C234" s="116">
        <f>(B228*C228 + B229*C229 + B230*C230 + B231*C231 + B232*C232)/SUM(C228:C232)</f>
        <v>65</v>
      </c>
      <c r="D234" s="31" t="s">
        <v>26</v>
      </c>
      <c r="E234" s="74" t="str">
        <f>(D228*E228 + D229*#REF! + E229*E230 + D231*E231 + D232*E232)/SUM(E228:E232)</f>
        <v>#VALUE!</v>
      </c>
      <c r="F234" s="13" t="s">
        <v>26</v>
      </c>
      <c r="G234" s="117">
        <f>(F228*G228 + F229*G229 + F230*G230 + F231*G231 + F232*G232)/SUM(G228:G232)</f>
        <v>59.16666667</v>
      </c>
      <c r="H234" s="13" t="s">
        <v>26</v>
      </c>
      <c r="I234" s="74" t="str">
        <f>(H228*I228 + H229*I229 + H230*I230 + H231*I231 + H232*I232)/SUM(I228:I232)</f>
        <v>#DIV/0!</v>
      </c>
      <c r="J234" s="39" t="s">
        <v>26</v>
      </c>
      <c r="K234" s="116">
        <f>(J228*K228 + J229*K229 + J230*K230 + J231*K231 + J232*K232)/SUM(K228:K232)</f>
        <v>69.16666667</v>
      </c>
      <c r="L234" s="13" t="s">
        <v>26</v>
      </c>
      <c r="M234" s="75" t="str">
        <f>(L228*M228 + L229*M229 + L230*M230 + L231*M231 + L232*M232)/SUM(M228:M232)</f>
        <v>#DIV/0!</v>
      </c>
    </row>
    <row r="235" ht="14.25" customHeight="1">
      <c r="A235" s="28" t="s">
        <v>27</v>
      </c>
      <c r="B235" s="11" t="s">
        <v>10</v>
      </c>
      <c r="C235" s="12" t="s">
        <v>11</v>
      </c>
      <c r="D235" s="11" t="s">
        <v>10</v>
      </c>
      <c r="E235" s="12" t="s">
        <v>11</v>
      </c>
      <c r="F235" s="11" t="s">
        <v>10</v>
      </c>
      <c r="G235" s="12" t="s">
        <v>11</v>
      </c>
      <c r="H235" s="11" t="s">
        <v>10</v>
      </c>
      <c r="I235" s="12" t="s">
        <v>11</v>
      </c>
      <c r="J235" s="11" t="s">
        <v>10</v>
      </c>
      <c r="K235" s="12" t="s">
        <v>11</v>
      </c>
      <c r="L235" s="11" t="s">
        <v>10</v>
      </c>
      <c r="M235" s="12" t="s">
        <v>11</v>
      </c>
    </row>
    <row r="236" ht="14.25" customHeight="1">
      <c r="A236" s="41" t="s">
        <v>28</v>
      </c>
      <c r="B236" s="20" t="s">
        <v>73</v>
      </c>
      <c r="C236" s="17"/>
      <c r="D236" s="45" t="s">
        <v>179</v>
      </c>
      <c r="E236" s="76" t="s">
        <v>180</v>
      </c>
      <c r="F236" s="68" t="s">
        <v>74</v>
      </c>
      <c r="G236" s="17"/>
      <c r="H236" s="19" t="s">
        <v>33</v>
      </c>
      <c r="I236" s="44"/>
      <c r="J236" s="70" t="s">
        <v>68</v>
      </c>
      <c r="K236" s="17"/>
      <c r="L236" s="45" t="s">
        <v>179</v>
      </c>
      <c r="M236" s="76" t="s">
        <v>180</v>
      </c>
    </row>
    <row r="237" ht="14.25" customHeight="1">
      <c r="A237" s="28"/>
      <c r="B237" s="46">
        <v>85.0</v>
      </c>
      <c r="C237" s="48">
        <v>10.0</v>
      </c>
      <c r="D237" s="1">
        <v>100.0</v>
      </c>
      <c r="E237" s="54" t="s">
        <v>36</v>
      </c>
      <c r="F237" s="46">
        <v>70.0</v>
      </c>
      <c r="G237" s="22">
        <v>8.0</v>
      </c>
      <c r="H237" s="1"/>
      <c r="I237" s="24"/>
      <c r="J237" s="28">
        <v>55.0</v>
      </c>
      <c r="K237" s="54">
        <v>8.0</v>
      </c>
      <c r="L237" s="1">
        <v>100.0</v>
      </c>
      <c r="M237" s="54" t="s">
        <v>36</v>
      </c>
    </row>
    <row r="238" ht="14.25" customHeight="1">
      <c r="A238" s="28" t="s">
        <v>37</v>
      </c>
      <c r="B238" s="46">
        <v>90.0</v>
      </c>
      <c r="C238" s="48">
        <v>10.0</v>
      </c>
      <c r="D238" s="1">
        <v>100.0</v>
      </c>
      <c r="E238" s="54" t="s">
        <v>36</v>
      </c>
      <c r="F238" s="46">
        <v>75.0</v>
      </c>
      <c r="G238" s="22">
        <v>8.0</v>
      </c>
      <c r="H238" s="23"/>
      <c r="I238" s="24"/>
      <c r="J238" s="27">
        <v>60.0</v>
      </c>
      <c r="K238" s="54">
        <v>8.0</v>
      </c>
      <c r="L238" s="1">
        <v>100.0</v>
      </c>
      <c r="M238" s="54" t="s">
        <v>36</v>
      </c>
    </row>
    <row r="239" ht="14.25" customHeight="1">
      <c r="A239" s="28" t="s">
        <v>39</v>
      </c>
      <c r="B239" s="46">
        <v>95.0</v>
      </c>
      <c r="C239" s="48">
        <v>10.0</v>
      </c>
      <c r="D239" s="1">
        <v>100.0</v>
      </c>
      <c r="E239" s="54" t="s">
        <v>36</v>
      </c>
      <c r="F239" s="46">
        <v>80.0</v>
      </c>
      <c r="G239" s="22">
        <v>8.0</v>
      </c>
      <c r="H239" s="23"/>
      <c r="I239" s="24"/>
      <c r="J239" s="27">
        <v>65.0</v>
      </c>
      <c r="K239" s="54">
        <v>8.0</v>
      </c>
      <c r="L239" s="1">
        <v>100.0</v>
      </c>
      <c r="M239" s="54" t="s">
        <v>36</v>
      </c>
    </row>
    <row r="240" ht="14.25" customHeight="1">
      <c r="A240" s="28"/>
      <c r="B240" s="46">
        <v>100.0</v>
      </c>
      <c r="C240" s="48">
        <v>10.0</v>
      </c>
      <c r="D240" s="1" t="s">
        <v>181</v>
      </c>
      <c r="E240" s="54" t="s">
        <v>182</v>
      </c>
      <c r="F240" s="46">
        <v>85.0</v>
      </c>
      <c r="G240" s="22">
        <v>8.0</v>
      </c>
      <c r="H240" s="23"/>
      <c r="I240" s="24"/>
      <c r="J240" s="46"/>
      <c r="K240" s="22"/>
      <c r="L240" s="1" t="s">
        <v>181</v>
      </c>
      <c r="M240" s="54" t="s">
        <v>182</v>
      </c>
    </row>
    <row r="241" ht="14.25" customHeight="1">
      <c r="A241" s="28" t="s">
        <v>41</v>
      </c>
      <c r="B241" s="13"/>
      <c r="C241" s="24"/>
      <c r="D241" s="1" t="s">
        <v>183</v>
      </c>
      <c r="E241" s="24"/>
      <c r="F241" s="31"/>
      <c r="G241" s="24"/>
      <c r="H241" s="23"/>
      <c r="I241" s="24"/>
      <c r="J241" s="31"/>
      <c r="K241" s="24"/>
      <c r="L241" s="1" t="s">
        <v>183</v>
      </c>
      <c r="M241" s="24"/>
    </row>
    <row r="242" ht="14.25" customHeight="1">
      <c r="A242" s="28" t="s">
        <v>43</v>
      </c>
      <c r="B242" s="13"/>
      <c r="C242" s="34"/>
      <c r="D242" s="28" t="s">
        <v>184</v>
      </c>
      <c r="E242" s="34"/>
      <c r="F242" s="13"/>
      <c r="G242" s="34"/>
      <c r="H242" s="28"/>
      <c r="I242" s="34"/>
      <c r="J242" s="13"/>
      <c r="K242" s="24"/>
      <c r="L242" s="28" t="s">
        <v>184</v>
      </c>
      <c r="M242" s="34"/>
    </row>
    <row r="243" ht="14.25" customHeight="1">
      <c r="A243" s="28"/>
      <c r="B243" s="35" t="s">
        <v>25</v>
      </c>
      <c r="C243" s="55">
        <f>C237*B237 + B238*C238 + B239*C239 + B240*C240 + B242*C242</f>
        <v>3700</v>
      </c>
      <c r="D243" s="35" t="s">
        <v>25</v>
      </c>
      <c r="E243" s="55" t="str">
        <f>E237*D237 + D238*E238 + D239*E239 + D240*E240 + D242*E242</f>
        <v>#VALUE!</v>
      </c>
      <c r="F243" s="35" t="s">
        <v>25</v>
      </c>
      <c r="G243" s="55">
        <f>G237*F237 + F238*G238 + F239*G239 + F240*G240 + F242*G242</f>
        <v>2480</v>
      </c>
      <c r="H243" s="35" t="s">
        <v>25</v>
      </c>
      <c r="I243" s="56">
        <f>I237*H237 + H238*I238 + H239*I239 + H240*I240 + H242*I242</f>
        <v>0</v>
      </c>
      <c r="J243" s="35" t="s">
        <v>25</v>
      </c>
      <c r="K243" s="36">
        <f>K237*J237 + J238*K238 + J239*K239 + J240*K240 + J242*K242</f>
        <v>1440</v>
      </c>
      <c r="L243" s="35" t="s">
        <v>25</v>
      </c>
      <c r="M243" s="36" t="str">
        <f>M237*L237 + L238*M238 + L239*M239 + L240*M240 + L242*M242</f>
        <v>#VALUE!</v>
      </c>
    </row>
    <row r="244" ht="14.25" customHeight="1">
      <c r="A244" s="28" t="s">
        <v>116</v>
      </c>
      <c r="B244" s="39" t="s">
        <v>26</v>
      </c>
      <c r="C244" s="77">
        <f>(B237*C237 + B238*C238 + B239*C239 + B240*C240 + B242*C242)/SUM(C237:C242)</f>
        <v>92.5</v>
      </c>
      <c r="D244" s="39" t="s">
        <v>26</v>
      </c>
      <c r="E244" s="77" t="str">
        <f>(D237*E237 + D238*E238 + D239*E239 + D240*E240 + D242*E242)/SUM(E237:E242)</f>
        <v>#VALUE!</v>
      </c>
      <c r="F244" s="39" t="s">
        <v>26</v>
      </c>
      <c r="G244" s="77">
        <f>(F237*G237 + F238*G238 + F239*G239 + F240*G240 + F242*G242)/SUM(G237:G242)</f>
        <v>77.5</v>
      </c>
      <c r="H244" s="39" t="s">
        <v>26</v>
      </c>
      <c r="I244" s="77" t="str">
        <f>(H237*I237 + H238*I238 + H239*I239 + H240*I240 + H242*I242)/SUM(I237:I242)</f>
        <v>#DIV/0!</v>
      </c>
      <c r="J244" s="39" t="s">
        <v>26</v>
      </c>
      <c r="K244" s="40">
        <f>(J237*K237 + J238*K238 + J239*K239 + J240*K240 + J242*K242)/SUM(K237:K242)</f>
        <v>60</v>
      </c>
      <c r="L244" s="39" t="s">
        <v>26</v>
      </c>
      <c r="M244" s="40" t="str">
        <f>(L237*M237 + L238*M238 + L239*M239 + L240*M240 + L242*M242)/SUM(M237:M242)</f>
        <v>#VALUE!</v>
      </c>
    </row>
    <row r="245" ht="14.25" customHeight="1">
      <c r="A245" s="28" t="s">
        <v>117</v>
      </c>
      <c r="B245" s="70" t="s">
        <v>71</v>
      </c>
      <c r="C245" s="17"/>
      <c r="D245" s="45" t="s">
        <v>104</v>
      </c>
      <c r="E245" s="17"/>
      <c r="F245" s="70" t="s">
        <v>71</v>
      </c>
      <c r="G245" s="17"/>
      <c r="H245" s="43"/>
      <c r="I245" s="17"/>
      <c r="J245" s="70" t="s">
        <v>71</v>
      </c>
      <c r="K245" s="17"/>
      <c r="L245" s="49" t="s">
        <v>105</v>
      </c>
      <c r="M245" s="118" t="s">
        <v>49</v>
      </c>
    </row>
    <row r="246" ht="14.25" customHeight="1">
      <c r="A246" s="28" t="s">
        <v>120</v>
      </c>
      <c r="B246" s="28">
        <v>50.0</v>
      </c>
      <c r="C246" s="54">
        <v>8.0</v>
      </c>
      <c r="D246" s="51"/>
      <c r="E246" s="24"/>
      <c r="F246" s="28">
        <v>52.5</v>
      </c>
      <c r="G246" s="54">
        <v>8.0</v>
      </c>
      <c r="H246" s="23"/>
      <c r="I246" s="24"/>
      <c r="J246" s="28">
        <v>50.0</v>
      </c>
      <c r="K246" s="54">
        <v>8.0</v>
      </c>
      <c r="L246" s="119"/>
      <c r="M246" s="24"/>
    </row>
    <row r="247" ht="14.25" customHeight="1">
      <c r="A247" s="28"/>
      <c r="B247" s="27">
        <v>55.0</v>
      </c>
      <c r="C247" s="54">
        <v>8.0</v>
      </c>
      <c r="D247" s="23"/>
      <c r="E247" s="26"/>
      <c r="F247" s="27">
        <v>57.5</v>
      </c>
      <c r="G247" s="54">
        <v>8.0</v>
      </c>
      <c r="H247" s="23"/>
      <c r="I247" s="24"/>
      <c r="J247" s="27">
        <v>55.0</v>
      </c>
      <c r="K247" s="54">
        <v>8.0</v>
      </c>
      <c r="L247" s="1"/>
      <c r="M247" s="54"/>
    </row>
    <row r="248" ht="14.25" customHeight="1">
      <c r="A248" s="28"/>
      <c r="B248" s="27">
        <v>60.0</v>
      </c>
      <c r="C248" s="54">
        <v>8.0</v>
      </c>
      <c r="D248" s="23"/>
      <c r="E248" s="24"/>
      <c r="F248" s="27">
        <v>60.0</v>
      </c>
      <c r="G248" s="54">
        <v>8.0</v>
      </c>
      <c r="H248" s="23"/>
      <c r="I248" s="24"/>
      <c r="J248" s="27">
        <v>60.0</v>
      </c>
      <c r="K248" s="54">
        <v>8.0</v>
      </c>
      <c r="L248" s="1"/>
      <c r="M248" s="24"/>
    </row>
    <row r="249" ht="14.25" customHeight="1">
      <c r="A249" s="28" t="s">
        <v>170</v>
      </c>
      <c r="B249" s="28"/>
      <c r="C249" s="79"/>
      <c r="D249" s="28"/>
      <c r="E249" s="79"/>
      <c r="F249" s="28"/>
      <c r="G249" s="34"/>
      <c r="H249" s="28"/>
      <c r="I249" s="34"/>
      <c r="J249" s="28"/>
      <c r="K249" s="54"/>
      <c r="L249" s="1"/>
      <c r="M249" s="24"/>
    </row>
    <row r="250" ht="14.25" customHeight="1">
      <c r="A250" s="28" t="s">
        <v>171</v>
      </c>
      <c r="B250" s="13"/>
      <c r="C250" s="34"/>
      <c r="D250" s="28"/>
      <c r="E250" s="34"/>
      <c r="F250" s="13"/>
      <c r="G250" s="34"/>
      <c r="H250" s="28"/>
      <c r="I250" s="34"/>
      <c r="J250" s="13"/>
      <c r="K250" s="24"/>
      <c r="L250" s="31"/>
      <c r="M250" s="24"/>
    </row>
    <row r="251" ht="14.25" customHeight="1">
      <c r="A251" s="13"/>
      <c r="B251" s="35" t="s">
        <v>25</v>
      </c>
      <c r="C251" s="55">
        <f>C246*B246 + B247*C247 + B248*C248 + B249*C249 + B250*C250</f>
        <v>1320</v>
      </c>
      <c r="D251" s="35" t="s">
        <v>25</v>
      </c>
      <c r="E251" s="55">
        <f>E246*D246 + D247*E247 + D248*E248 + D249*E249 + D250*E250</f>
        <v>0</v>
      </c>
      <c r="F251" s="35" t="s">
        <v>25</v>
      </c>
      <c r="G251" s="55">
        <f>G246*F246 + F247*G247 + F248*G248 + F249*G249 + F250*G250</f>
        <v>1360</v>
      </c>
      <c r="H251" s="35" t="s">
        <v>25</v>
      </c>
      <c r="I251" s="56">
        <f>I246*H246 + H247*I247 + H248*I248 + H249*I249 + H250*I250</f>
        <v>0</v>
      </c>
      <c r="J251" s="35" t="s">
        <v>25</v>
      </c>
      <c r="K251" s="36">
        <f>K246*J246 + J247*K247 + J248*K248 + J249*K249 + J250*K250</f>
        <v>1320</v>
      </c>
      <c r="L251" s="57" t="s">
        <v>25</v>
      </c>
      <c r="M251" s="58">
        <f>M246*L246 + L247*M247 + L248*M248 + L249*M249 + L250*M250</f>
        <v>0</v>
      </c>
    </row>
    <row r="252" ht="14.25" customHeight="1">
      <c r="A252" s="13"/>
      <c r="B252" s="39" t="s">
        <v>26</v>
      </c>
      <c r="C252" s="40">
        <f>(B246*C246 + B247*C247 + B248*C248 + B249*C249 + B250*C250)/SUM(C246:C250)</f>
        <v>55</v>
      </c>
      <c r="D252" s="59" t="s">
        <v>26</v>
      </c>
      <c r="E252" s="40" t="str">
        <f>(D246*E246 + D247*E247 + D248*E248 + D249*E249 + D250*E250)/SUM(E246:E250)</f>
        <v>#DIV/0!</v>
      </c>
      <c r="F252" s="31" t="s">
        <v>26</v>
      </c>
      <c r="G252" s="75">
        <f>(F246*G246 + F247*G247 + F248*G248 + F249*G249 + F250*G250)/SUM(G246:G250)</f>
        <v>56.66666667</v>
      </c>
      <c r="H252" s="59" t="s">
        <v>26</v>
      </c>
      <c r="I252" s="40" t="str">
        <f>(H246*I246 + H247*I247 + H248*I248 + H249*I249 + H250*I250)/SUM(I246:I250)</f>
        <v>#DIV/0!</v>
      </c>
      <c r="J252" s="39" t="s">
        <v>26</v>
      </c>
      <c r="K252" s="40">
        <f>(J246*K246 + J247*K247 + J248*K248 + J249*K249 + J250*K250)/SUM(K246:K250)</f>
        <v>55</v>
      </c>
      <c r="L252" s="59" t="s">
        <v>26</v>
      </c>
      <c r="M252" s="40" t="str">
        <f>(L246*M246 + L247*M247 + L248*M248 + L249*M249 + L250*M250)/SUM(M246:M250)</f>
        <v>#DIV/0!</v>
      </c>
    </row>
    <row r="253" ht="14.25" customHeight="1">
      <c r="A253" s="28"/>
      <c r="B253" s="28"/>
      <c r="C253" s="30" t="s">
        <v>49</v>
      </c>
      <c r="D253" s="37"/>
      <c r="E253" s="30" t="s">
        <v>49</v>
      </c>
      <c r="F253" s="120"/>
      <c r="G253" s="121" t="s">
        <v>49</v>
      </c>
      <c r="H253" s="122" t="s">
        <v>33</v>
      </c>
      <c r="I253" s="30"/>
      <c r="J253" s="28"/>
      <c r="K253" s="60" t="s">
        <v>49</v>
      </c>
      <c r="L253" s="30"/>
      <c r="M253" s="60" t="s">
        <v>49</v>
      </c>
    </row>
    <row r="254" ht="14.25" customHeight="1">
      <c r="A254" s="37"/>
      <c r="B254" s="27" t="s">
        <v>178</v>
      </c>
      <c r="C254" s="60"/>
      <c r="D254" s="23"/>
      <c r="E254" s="61"/>
      <c r="F254" s="27" t="s">
        <v>178</v>
      </c>
      <c r="G254" s="61"/>
      <c r="H254" s="30"/>
      <c r="I254" s="60"/>
      <c r="J254" s="27" t="s">
        <v>178</v>
      </c>
      <c r="K254" s="60"/>
      <c r="L254" s="62"/>
      <c r="M254" s="60"/>
    </row>
    <row r="255" ht="14.25" customHeight="1">
      <c r="A255" s="37"/>
      <c r="B255" s="52" t="s">
        <v>53</v>
      </c>
      <c r="C255" s="60"/>
      <c r="D255" s="23"/>
      <c r="E255" s="60"/>
      <c r="F255" s="53" t="s">
        <v>53</v>
      </c>
      <c r="G255" s="60"/>
      <c r="H255" s="30"/>
      <c r="I255" s="60"/>
      <c r="J255" s="53" t="s">
        <v>53</v>
      </c>
      <c r="K255" s="60"/>
      <c r="L255" s="30"/>
      <c r="M255" s="60"/>
    </row>
    <row r="256" ht="14.25" customHeight="1">
      <c r="A256" s="37"/>
      <c r="B256" s="32" t="s">
        <v>54</v>
      </c>
      <c r="C256" s="60"/>
      <c r="D256" s="23"/>
      <c r="E256" s="60"/>
      <c r="F256" s="23" t="s">
        <v>54</v>
      </c>
      <c r="G256" s="60"/>
      <c r="H256" s="30"/>
      <c r="I256" s="60"/>
      <c r="J256" s="30" t="s">
        <v>54</v>
      </c>
      <c r="K256" s="60"/>
      <c r="L256" s="30"/>
      <c r="M256" s="60"/>
    </row>
    <row r="257" ht="14.25" customHeight="1">
      <c r="A257" s="37"/>
      <c r="B257" s="28"/>
      <c r="C257" s="1"/>
      <c r="D257" s="28"/>
      <c r="E257" s="1"/>
      <c r="F257" s="28"/>
      <c r="G257" s="60"/>
      <c r="H257" s="30"/>
      <c r="I257" s="30"/>
      <c r="J257" s="37"/>
      <c r="K257" s="60"/>
      <c r="L257" s="30"/>
      <c r="M257" s="60"/>
    </row>
    <row r="258" ht="14.25" customHeight="1">
      <c r="A258" s="37"/>
      <c r="B258" s="28"/>
      <c r="C258" s="1"/>
      <c r="D258" s="28"/>
      <c r="E258" s="1"/>
      <c r="F258" s="28"/>
      <c r="G258" s="60"/>
      <c r="H258" s="30"/>
      <c r="I258" s="30"/>
      <c r="J258" s="37"/>
      <c r="K258" s="60"/>
      <c r="L258" s="30"/>
      <c r="M258" s="60"/>
    </row>
    <row r="259" ht="14.25" customHeight="1">
      <c r="A259" s="37"/>
      <c r="B259" s="28"/>
      <c r="C259" s="1"/>
      <c r="D259" s="28"/>
      <c r="E259" s="1"/>
      <c r="F259" s="28"/>
      <c r="G259" s="60"/>
      <c r="H259" s="30"/>
      <c r="I259" s="30"/>
      <c r="J259" s="37"/>
      <c r="K259" s="60"/>
      <c r="L259" s="30"/>
      <c r="M259" s="60"/>
    </row>
    <row r="260" ht="14.25" customHeight="1">
      <c r="A260" s="64"/>
      <c r="B260" s="65"/>
      <c r="C260" s="66"/>
      <c r="D260" s="65"/>
      <c r="E260" s="66"/>
      <c r="F260" s="64"/>
      <c r="G260" s="67"/>
      <c r="H260" s="66"/>
      <c r="I260" s="66"/>
      <c r="J260" s="64"/>
      <c r="K260" s="67"/>
      <c r="L260" s="66"/>
      <c r="M260" s="67"/>
    </row>
    <row r="261" ht="14.25" customHeight="1">
      <c r="A261" s="30"/>
      <c r="B261" s="1"/>
      <c r="C261" s="1"/>
      <c r="D261" s="30"/>
      <c r="E261" s="30"/>
      <c r="F261" s="1"/>
      <c r="G261" s="30"/>
      <c r="H261" s="30"/>
      <c r="I261" s="30"/>
      <c r="J261" s="1"/>
      <c r="K261" s="30"/>
      <c r="L261" s="30"/>
      <c r="M261" s="30"/>
    </row>
    <row r="262" ht="14.25" customHeight="1">
      <c r="A262" s="2" t="s">
        <v>2</v>
      </c>
      <c r="B262" s="3" t="s">
        <v>3</v>
      </c>
      <c r="C262" s="4">
        <f>M225+2</f>
        <v>45404</v>
      </c>
      <c r="D262" s="5" t="s">
        <v>4</v>
      </c>
      <c r="E262" s="6">
        <f>C262+1</f>
        <v>45405</v>
      </c>
      <c r="F262" s="3" t="s">
        <v>5</v>
      </c>
      <c r="G262" s="6">
        <f>E262+1</f>
        <v>45406</v>
      </c>
      <c r="H262" s="3" t="s">
        <v>6</v>
      </c>
      <c r="I262" s="6">
        <f>G262+1</f>
        <v>45407</v>
      </c>
      <c r="J262" s="3" t="s">
        <v>7</v>
      </c>
      <c r="K262" s="6">
        <f>I262+1</f>
        <v>45408</v>
      </c>
      <c r="L262" s="7" t="s">
        <v>8</v>
      </c>
      <c r="M262" s="8">
        <f>K262+1</f>
        <v>45409</v>
      </c>
    </row>
    <row r="263" ht="14.25" customHeight="1">
      <c r="A263" s="10">
        <f>A226+1</f>
        <v>8</v>
      </c>
      <c r="B263" s="11" t="s">
        <v>10</v>
      </c>
      <c r="C263" s="12" t="s">
        <v>11</v>
      </c>
      <c r="D263" s="11" t="s">
        <v>10</v>
      </c>
      <c r="E263" s="12" t="s">
        <v>11</v>
      </c>
      <c r="F263" s="11" t="s">
        <v>10</v>
      </c>
      <c r="G263" s="12" t="s">
        <v>11</v>
      </c>
      <c r="H263" s="11" t="s">
        <v>10</v>
      </c>
      <c r="I263" s="12" t="s">
        <v>11</v>
      </c>
      <c r="J263" s="11" t="s">
        <v>10</v>
      </c>
      <c r="K263" s="12" t="s">
        <v>11</v>
      </c>
      <c r="L263" s="11" t="s">
        <v>10</v>
      </c>
      <c r="M263" s="12" t="s">
        <v>11</v>
      </c>
    </row>
    <row r="264" ht="14.25" customHeight="1">
      <c r="A264" s="13" t="s">
        <v>12</v>
      </c>
      <c r="B264" s="20" t="s">
        <v>72</v>
      </c>
      <c r="C264" s="17"/>
      <c r="D264" s="18" t="s">
        <v>14</v>
      </c>
      <c r="E264" s="17"/>
      <c r="F264" s="20" t="s">
        <v>63</v>
      </c>
      <c r="G264" s="17"/>
      <c r="H264" s="45" t="s">
        <v>15</v>
      </c>
      <c r="I264" s="17"/>
      <c r="J264" s="20" t="s">
        <v>72</v>
      </c>
      <c r="K264" s="17"/>
      <c r="L264" s="18"/>
      <c r="M264" s="17"/>
    </row>
    <row r="265" ht="14.25" customHeight="1">
      <c r="A265" s="13"/>
      <c r="B265" s="46">
        <v>70.0</v>
      </c>
      <c r="C265" s="48">
        <v>10.0</v>
      </c>
      <c r="D265" s="23" t="s">
        <v>18</v>
      </c>
      <c r="E265" s="24"/>
      <c r="F265" s="46">
        <v>60.0</v>
      </c>
      <c r="G265" s="48">
        <v>10.0</v>
      </c>
      <c r="H265" s="23"/>
      <c r="I265" s="26"/>
      <c r="J265" s="46">
        <v>75.0</v>
      </c>
      <c r="K265" s="48">
        <v>10.0</v>
      </c>
      <c r="L265" s="23"/>
      <c r="M265" s="24"/>
    </row>
    <row r="266" ht="14.25" customHeight="1">
      <c r="A266" s="28" t="s">
        <v>20</v>
      </c>
      <c r="B266" s="46">
        <v>75.0</v>
      </c>
      <c r="C266" s="48">
        <v>10.0</v>
      </c>
      <c r="D266" s="23" t="s">
        <v>21</v>
      </c>
      <c r="E266" s="26"/>
      <c r="F266" s="46">
        <v>65.0</v>
      </c>
      <c r="G266" s="48">
        <v>10.0</v>
      </c>
      <c r="H266" s="23"/>
      <c r="I266" s="26"/>
      <c r="J266" s="46">
        <v>77.5</v>
      </c>
      <c r="K266" s="48">
        <v>10.0</v>
      </c>
      <c r="L266" s="23"/>
      <c r="M266" s="24"/>
    </row>
    <row r="267" ht="14.25" customHeight="1">
      <c r="A267" s="29" t="s">
        <v>22</v>
      </c>
      <c r="B267" s="46">
        <v>80.0</v>
      </c>
      <c r="C267" s="48">
        <v>10.0</v>
      </c>
      <c r="D267" s="30"/>
      <c r="E267" s="26"/>
      <c r="F267" s="46">
        <v>67.5</v>
      </c>
      <c r="G267" s="48">
        <v>10.0</v>
      </c>
      <c r="H267" s="23"/>
      <c r="I267" s="26"/>
      <c r="J267" s="46">
        <v>82.5</v>
      </c>
      <c r="K267" s="48">
        <v>10.0</v>
      </c>
      <c r="L267" s="23"/>
      <c r="M267" s="24"/>
    </row>
    <row r="268" ht="14.25" customHeight="1">
      <c r="A268" s="28" t="s">
        <v>23</v>
      </c>
      <c r="B268" s="46"/>
      <c r="C268" s="48"/>
      <c r="D268" s="23"/>
      <c r="E268" s="26"/>
      <c r="F268" s="47"/>
      <c r="G268" s="22"/>
      <c r="H268" s="31"/>
      <c r="I268" s="24"/>
      <c r="J268" s="46"/>
      <c r="K268" s="22"/>
      <c r="L268" s="23"/>
      <c r="M268" s="26"/>
    </row>
    <row r="269" ht="14.25" customHeight="1">
      <c r="A269" s="13"/>
      <c r="B269" s="13"/>
      <c r="C269" s="24"/>
      <c r="D269" s="73"/>
      <c r="E269" s="26"/>
      <c r="F269" s="13"/>
      <c r="G269" s="34"/>
      <c r="H269" s="13"/>
      <c r="I269" s="34"/>
      <c r="J269" s="13"/>
      <c r="K269" s="24"/>
      <c r="L269" s="13"/>
      <c r="M269" s="24"/>
    </row>
    <row r="270" ht="14.25" customHeight="1">
      <c r="A270" s="28" t="s">
        <v>113</v>
      </c>
      <c r="B270" s="35" t="s">
        <v>25</v>
      </c>
      <c r="C270" s="58">
        <f>C265*B265 + B266*C266 + B267*C267 + B268*C268 + B269*C269</f>
        <v>2250</v>
      </c>
      <c r="D270" s="57" t="s">
        <v>25</v>
      </c>
      <c r="E270" s="55" t="str">
        <f>E265*D265 + D266*#REF! + E266*E267 + D268*E268 + D269*E269</f>
        <v>#VALUE!</v>
      </c>
      <c r="F270" s="35" t="s">
        <v>25</v>
      </c>
      <c r="G270" s="56">
        <f>G265*F265 + F266*G266 + F267*G267 + F268*G268 + F269*G269</f>
        <v>1925</v>
      </c>
      <c r="H270" s="35" t="s">
        <v>25</v>
      </c>
      <c r="I270" s="56">
        <f>I265*H265 + H266*I266 + H267*I267 + H268*I268 + H269*I269</f>
        <v>0</v>
      </c>
      <c r="J270" s="35" t="s">
        <v>25</v>
      </c>
      <c r="K270" s="58">
        <f>K265*J265 + J266*K266 + J267*K267 + J268*K268 + J269*K269</f>
        <v>2350</v>
      </c>
      <c r="L270" s="35" t="s">
        <v>25</v>
      </c>
      <c r="M270" s="36">
        <f>M265*L265 + L266*M266 + L267*M267 + L268*M268 + L269*M269</f>
        <v>0</v>
      </c>
    </row>
    <row r="271" ht="14.25" customHeight="1">
      <c r="A271" s="37"/>
      <c r="B271" s="39" t="s">
        <v>26</v>
      </c>
      <c r="C271" s="116">
        <f>(B265*C265 + B266*C266 + B267*C267 + B268*C268 + B269*C269)/SUM(C265:C269)</f>
        <v>75</v>
      </c>
      <c r="D271" s="31" t="s">
        <v>26</v>
      </c>
      <c r="E271" s="74" t="str">
        <f>(D265*E265 + D266*#REF! + E266*E267 + D268*E268 + D269*E269)/SUM(E265:E269)</f>
        <v>#VALUE!</v>
      </c>
      <c r="F271" s="13" t="s">
        <v>26</v>
      </c>
      <c r="G271" s="117">
        <f>(F265*G265 + F266*G266 + F267*G267 + F268*G268 + F269*G269)/SUM(G265:G269)</f>
        <v>64.16666667</v>
      </c>
      <c r="H271" s="13" t="s">
        <v>26</v>
      </c>
      <c r="I271" s="74" t="str">
        <f>(H265*I265 + H266*I266 + H267*I267 + H268*I268 + H269*I269)/SUM(I265:I269)</f>
        <v>#DIV/0!</v>
      </c>
      <c r="J271" s="39" t="s">
        <v>26</v>
      </c>
      <c r="K271" s="116">
        <f>(J265*K265 + J266*K266 + J267*K267 + J268*K268 + J269*K269)/SUM(K265:K269)</f>
        <v>78.33333333</v>
      </c>
      <c r="L271" s="13" t="s">
        <v>26</v>
      </c>
      <c r="M271" s="75" t="str">
        <f>(L265*M265 + L266*M266 + L267*M267 + L268*M268 + L269*M269)/SUM(M265:M269)</f>
        <v>#DIV/0!</v>
      </c>
    </row>
    <row r="272" ht="14.25" customHeight="1">
      <c r="A272" s="28" t="s">
        <v>27</v>
      </c>
      <c r="B272" s="11" t="s">
        <v>10</v>
      </c>
      <c r="C272" s="12" t="s">
        <v>11</v>
      </c>
      <c r="D272" s="11" t="s">
        <v>10</v>
      </c>
      <c r="E272" s="12" t="s">
        <v>11</v>
      </c>
      <c r="F272" s="11" t="s">
        <v>10</v>
      </c>
      <c r="G272" s="12" t="s">
        <v>11</v>
      </c>
      <c r="H272" s="11" t="s">
        <v>10</v>
      </c>
      <c r="I272" s="12" t="s">
        <v>11</v>
      </c>
      <c r="J272" s="11" t="s">
        <v>10</v>
      </c>
      <c r="K272" s="12" t="s">
        <v>11</v>
      </c>
      <c r="L272" s="11" t="s">
        <v>10</v>
      </c>
      <c r="M272" s="12" t="s">
        <v>11</v>
      </c>
    </row>
    <row r="273" ht="14.25" customHeight="1">
      <c r="A273" s="41" t="s">
        <v>28</v>
      </c>
      <c r="B273" s="20" t="s">
        <v>73</v>
      </c>
      <c r="C273" s="17"/>
      <c r="D273" s="45" t="s">
        <v>179</v>
      </c>
      <c r="E273" s="76" t="s">
        <v>180</v>
      </c>
      <c r="F273" s="68" t="s">
        <v>74</v>
      </c>
      <c r="G273" s="17"/>
      <c r="H273" s="19" t="s">
        <v>33</v>
      </c>
      <c r="I273" s="44"/>
      <c r="J273" s="70" t="s">
        <v>68</v>
      </c>
      <c r="K273" s="17"/>
      <c r="L273" s="45" t="s">
        <v>179</v>
      </c>
      <c r="M273" s="76" t="s">
        <v>180</v>
      </c>
    </row>
    <row r="274" ht="14.25" customHeight="1">
      <c r="A274" s="28"/>
      <c r="B274" s="46">
        <v>90.0</v>
      </c>
      <c r="C274" s="48">
        <v>8.0</v>
      </c>
      <c r="D274" s="1">
        <v>100.0</v>
      </c>
      <c r="E274" s="54" t="s">
        <v>36</v>
      </c>
      <c r="F274" s="46">
        <v>75.0</v>
      </c>
      <c r="G274" s="22">
        <v>8.0</v>
      </c>
      <c r="H274" s="1"/>
      <c r="I274" s="24"/>
      <c r="J274" s="28">
        <v>60.0</v>
      </c>
      <c r="K274" s="54">
        <v>8.0</v>
      </c>
      <c r="L274" s="1">
        <v>100.0</v>
      </c>
      <c r="M274" s="54" t="s">
        <v>36</v>
      </c>
    </row>
    <row r="275" ht="14.25" customHeight="1">
      <c r="A275" s="28" t="s">
        <v>37</v>
      </c>
      <c r="B275" s="46">
        <v>95.0</v>
      </c>
      <c r="C275" s="48">
        <v>8.0</v>
      </c>
      <c r="D275" s="1">
        <v>100.0</v>
      </c>
      <c r="E275" s="54" t="s">
        <v>36</v>
      </c>
      <c r="F275" s="46">
        <v>80.0</v>
      </c>
      <c r="G275" s="22">
        <v>8.0</v>
      </c>
      <c r="H275" s="23"/>
      <c r="I275" s="24"/>
      <c r="J275" s="27">
        <v>65.0</v>
      </c>
      <c r="K275" s="54">
        <v>8.0</v>
      </c>
      <c r="L275" s="1">
        <v>100.0</v>
      </c>
      <c r="M275" s="54" t="s">
        <v>36</v>
      </c>
    </row>
    <row r="276" ht="14.25" customHeight="1">
      <c r="A276" s="28" t="s">
        <v>39</v>
      </c>
      <c r="B276" s="46">
        <v>100.0</v>
      </c>
      <c r="C276" s="48">
        <v>8.0</v>
      </c>
      <c r="D276" s="1">
        <v>100.0</v>
      </c>
      <c r="E276" s="54" t="s">
        <v>36</v>
      </c>
      <c r="F276" s="46">
        <v>85.0</v>
      </c>
      <c r="G276" s="22">
        <v>8.0</v>
      </c>
      <c r="H276" s="23"/>
      <c r="I276" s="24"/>
      <c r="J276" s="27">
        <v>70.0</v>
      </c>
      <c r="K276" s="54">
        <v>8.0</v>
      </c>
      <c r="L276" s="1">
        <v>100.0</v>
      </c>
      <c r="M276" s="54" t="s">
        <v>36</v>
      </c>
    </row>
    <row r="277" ht="14.25" customHeight="1">
      <c r="A277" s="28"/>
      <c r="B277" s="46">
        <v>105.0</v>
      </c>
      <c r="C277" s="48">
        <v>8.0</v>
      </c>
      <c r="D277" s="1" t="s">
        <v>181</v>
      </c>
      <c r="E277" s="54" t="s">
        <v>182</v>
      </c>
      <c r="F277" s="46">
        <v>90.0</v>
      </c>
      <c r="G277" s="22">
        <v>8.0</v>
      </c>
      <c r="H277" s="23"/>
      <c r="I277" s="24"/>
      <c r="J277" s="46"/>
      <c r="K277" s="22"/>
      <c r="L277" s="1" t="s">
        <v>181</v>
      </c>
      <c r="M277" s="54" t="s">
        <v>182</v>
      </c>
    </row>
    <row r="278" ht="14.25" customHeight="1">
      <c r="A278" s="28" t="s">
        <v>41</v>
      </c>
      <c r="B278" s="13"/>
      <c r="C278" s="24"/>
      <c r="D278" s="1" t="s">
        <v>183</v>
      </c>
      <c r="E278" s="24"/>
      <c r="F278" s="31"/>
      <c r="G278" s="24"/>
      <c r="H278" s="23"/>
      <c r="I278" s="24"/>
      <c r="J278" s="31"/>
      <c r="K278" s="24"/>
      <c r="L278" s="1" t="s">
        <v>183</v>
      </c>
      <c r="M278" s="24"/>
    </row>
    <row r="279" ht="14.25" customHeight="1">
      <c r="A279" s="28" t="s">
        <v>43</v>
      </c>
      <c r="B279" s="13"/>
      <c r="C279" s="34"/>
      <c r="D279" s="28" t="s">
        <v>184</v>
      </c>
      <c r="E279" s="34"/>
      <c r="F279" s="13"/>
      <c r="G279" s="34"/>
      <c r="H279" s="28"/>
      <c r="I279" s="34"/>
      <c r="J279" s="13"/>
      <c r="K279" s="24"/>
      <c r="L279" s="28" t="s">
        <v>184</v>
      </c>
      <c r="M279" s="24"/>
    </row>
    <row r="280" ht="14.25" customHeight="1">
      <c r="A280" s="28"/>
      <c r="B280" s="35" t="s">
        <v>25</v>
      </c>
      <c r="C280" s="55">
        <f>C274*B274 + B275*C275 + B276*C276 + B277*C277 + B279*C279</f>
        <v>3120</v>
      </c>
      <c r="D280" s="35" t="s">
        <v>25</v>
      </c>
      <c r="E280" s="55" t="str">
        <f>E274*D274 + D275*E275 + D276*E276 + D277*E277 + D279*E279</f>
        <v>#VALUE!</v>
      </c>
      <c r="F280" s="35" t="s">
        <v>25</v>
      </c>
      <c r="G280" s="55">
        <f>G274*F274 + F275*G275 + F276*G276 + F277*G277 + F279*G279</f>
        <v>2640</v>
      </c>
      <c r="H280" s="35" t="s">
        <v>25</v>
      </c>
      <c r="I280" s="56">
        <f>I274*H274 + H275*I275 + H276*I276 + H277*I277 + H279*I279</f>
        <v>0</v>
      </c>
      <c r="J280" s="35" t="s">
        <v>25</v>
      </c>
      <c r="K280" s="36">
        <f>K274*J274 + J275*K275 + J276*K276 + J277*K277 + J279*K279</f>
        <v>1560</v>
      </c>
      <c r="L280" s="35" t="s">
        <v>25</v>
      </c>
      <c r="M280" s="36" t="str">
        <f>M274*L274 + L275*M275 + L276*M276 + L277*M277 + L279*M279</f>
        <v>#VALUE!</v>
      </c>
    </row>
    <row r="281" ht="14.25" customHeight="1">
      <c r="A281" s="28" t="s">
        <v>116</v>
      </c>
      <c r="B281" s="39" t="s">
        <v>26</v>
      </c>
      <c r="C281" s="77">
        <f>(B274*C274 + B275*C275 + B276*C276 + B277*C277 + B279*C279)/SUM(C274:C279)</f>
        <v>97.5</v>
      </c>
      <c r="D281" s="39" t="s">
        <v>26</v>
      </c>
      <c r="E281" s="77" t="str">
        <f>(D274*E274 + D275*E275 + D276*E276 + D277*E277 + D279*E279)/SUM(E274:E279)</f>
        <v>#VALUE!</v>
      </c>
      <c r="F281" s="39" t="s">
        <v>26</v>
      </c>
      <c r="G281" s="77">
        <f>(F274*G274 + F275*G275 + F276*G276 + F277*G277 + F279*G279)/SUM(G274:G279)</f>
        <v>82.5</v>
      </c>
      <c r="H281" s="39" t="s">
        <v>26</v>
      </c>
      <c r="I281" s="77" t="str">
        <f>(H274*I274 + H275*I275 + H276*I276 + H277*I277 + H279*I279)/SUM(I274:I279)</f>
        <v>#DIV/0!</v>
      </c>
      <c r="J281" s="39" t="s">
        <v>26</v>
      </c>
      <c r="K281" s="40">
        <f>(J274*K274 + J275*K275 + J276*K276 + J277*K277 + J279*K279)/SUM(K274:K279)</f>
        <v>65</v>
      </c>
      <c r="L281" s="39" t="s">
        <v>26</v>
      </c>
      <c r="M281" s="40" t="str">
        <f>(L274*M274 + L275*M275 + L276*M276 + L277*M277 + L279*M279)/SUM(M274:M279)</f>
        <v>#VALUE!</v>
      </c>
    </row>
    <row r="282" ht="14.25" customHeight="1">
      <c r="A282" s="28" t="s">
        <v>117</v>
      </c>
      <c r="B282" s="70" t="s">
        <v>71</v>
      </c>
      <c r="C282" s="17"/>
      <c r="D282" s="45" t="s">
        <v>104</v>
      </c>
      <c r="E282" s="17"/>
      <c r="F282" s="70" t="s">
        <v>71</v>
      </c>
      <c r="G282" s="17"/>
      <c r="H282" s="43"/>
      <c r="I282" s="17"/>
      <c r="J282" s="70" t="s">
        <v>71</v>
      </c>
      <c r="K282" s="17"/>
      <c r="L282" s="49" t="s">
        <v>105</v>
      </c>
      <c r="M282" s="118" t="s">
        <v>49</v>
      </c>
    </row>
    <row r="283" ht="14.25" customHeight="1">
      <c r="A283" s="28" t="s">
        <v>120</v>
      </c>
      <c r="B283" s="28">
        <v>55.0</v>
      </c>
      <c r="C283" s="54">
        <v>8.0</v>
      </c>
      <c r="D283" s="51"/>
      <c r="E283" s="24"/>
      <c r="F283" s="28">
        <v>55.0</v>
      </c>
      <c r="G283" s="54">
        <v>8.0</v>
      </c>
      <c r="H283" s="23"/>
      <c r="I283" s="24"/>
      <c r="J283" s="28">
        <v>57.5</v>
      </c>
      <c r="K283" s="54">
        <v>8.0</v>
      </c>
      <c r="L283" s="119"/>
      <c r="M283" s="24"/>
    </row>
    <row r="284" ht="14.25" customHeight="1">
      <c r="A284" s="28"/>
      <c r="B284" s="27">
        <v>60.0</v>
      </c>
      <c r="C284" s="54">
        <v>8.0</v>
      </c>
      <c r="D284" s="23"/>
      <c r="E284" s="26"/>
      <c r="F284" s="27">
        <v>62.5</v>
      </c>
      <c r="G284" s="54">
        <v>8.0</v>
      </c>
      <c r="H284" s="23"/>
      <c r="I284" s="24"/>
      <c r="J284" s="27">
        <v>65.0</v>
      </c>
      <c r="K284" s="54">
        <v>8.0</v>
      </c>
      <c r="L284" s="1"/>
      <c r="M284" s="54"/>
    </row>
    <row r="285" ht="14.25" customHeight="1">
      <c r="A285" s="28"/>
      <c r="B285" s="27">
        <v>65.0</v>
      </c>
      <c r="C285" s="54">
        <v>8.0</v>
      </c>
      <c r="D285" s="23"/>
      <c r="E285" s="24"/>
      <c r="F285" s="27">
        <v>65.0</v>
      </c>
      <c r="G285" s="54">
        <v>8.0</v>
      </c>
      <c r="H285" s="23"/>
      <c r="I285" s="24"/>
      <c r="J285" s="27">
        <v>67.5</v>
      </c>
      <c r="K285" s="54">
        <v>8.0</v>
      </c>
      <c r="L285" s="1"/>
      <c r="M285" s="24"/>
    </row>
    <row r="286" ht="14.25" customHeight="1">
      <c r="A286" s="28" t="s">
        <v>170</v>
      </c>
      <c r="B286" s="28"/>
      <c r="C286" s="79"/>
      <c r="D286" s="28"/>
      <c r="E286" s="79"/>
      <c r="F286" s="28"/>
      <c r="G286" s="34"/>
      <c r="H286" s="28"/>
      <c r="I286" s="34"/>
      <c r="J286" s="28"/>
      <c r="K286" s="54"/>
      <c r="L286" s="1"/>
      <c r="M286" s="24"/>
    </row>
    <row r="287" ht="14.25" customHeight="1">
      <c r="A287" s="28" t="s">
        <v>171</v>
      </c>
      <c r="B287" s="13"/>
      <c r="C287" s="34"/>
      <c r="D287" s="28"/>
      <c r="E287" s="34"/>
      <c r="F287" s="13"/>
      <c r="G287" s="34"/>
      <c r="H287" s="28"/>
      <c r="I287" s="34"/>
      <c r="J287" s="13"/>
      <c r="K287" s="24"/>
      <c r="L287" s="31"/>
      <c r="M287" s="24"/>
    </row>
    <row r="288" ht="14.25" customHeight="1">
      <c r="A288" s="13"/>
      <c r="B288" s="35" t="s">
        <v>25</v>
      </c>
      <c r="C288" s="55">
        <f>C283*B283 + B284*C284 + B285*C285 + B286*C286 + B287*C287</f>
        <v>1440</v>
      </c>
      <c r="D288" s="35" t="s">
        <v>25</v>
      </c>
      <c r="E288" s="55">
        <f>E283*D283 + D284*E284 + D285*E285 + D286*E286 + D287*E287</f>
        <v>0</v>
      </c>
      <c r="F288" s="35" t="s">
        <v>25</v>
      </c>
      <c r="G288" s="55">
        <f>G283*F283 + F284*G284 + F285*G285 + F286*G286 + F287*G287</f>
        <v>1460</v>
      </c>
      <c r="H288" s="35" t="s">
        <v>25</v>
      </c>
      <c r="I288" s="56">
        <f>I283*H283 + H284*I284 + H285*I285 + H286*I286 + H287*I287</f>
        <v>0</v>
      </c>
      <c r="J288" s="35" t="s">
        <v>25</v>
      </c>
      <c r="K288" s="36">
        <f>K283*J283 + J284*K284 + J285*K285 + J286*K286 + J287*K287</f>
        <v>1520</v>
      </c>
      <c r="L288" s="57" t="s">
        <v>25</v>
      </c>
      <c r="M288" s="58">
        <f>M283*L283 + L284*M284 + L285*M285 + L286*M286 + L287*M287</f>
        <v>0</v>
      </c>
    </row>
    <row r="289" ht="14.25" customHeight="1">
      <c r="A289" s="13"/>
      <c r="B289" s="39" t="s">
        <v>26</v>
      </c>
      <c r="C289" s="40">
        <f>(B283*C283 + B284*C284 + B285*C285 + B286*C286 + B287*C287)/SUM(C283:C287)</f>
        <v>60</v>
      </c>
      <c r="D289" s="59" t="s">
        <v>26</v>
      </c>
      <c r="E289" s="40" t="str">
        <f>(D283*E283 + D284*E284 + D285*E285 + D286*E286 + D287*E287)/SUM(E283:E287)</f>
        <v>#DIV/0!</v>
      </c>
      <c r="F289" s="31" t="s">
        <v>26</v>
      </c>
      <c r="G289" s="75">
        <f>(F283*G283 + F284*G284 + F285*G285 + F286*G286 + F287*G287)/SUM(G283:G287)</f>
        <v>60.83333333</v>
      </c>
      <c r="H289" s="59" t="s">
        <v>26</v>
      </c>
      <c r="I289" s="40" t="str">
        <f>(H283*I283 + H284*I284 + H285*I285 + H286*I286 + H287*I287)/SUM(I283:I287)</f>
        <v>#DIV/0!</v>
      </c>
      <c r="J289" s="39" t="s">
        <v>26</v>
      </c>
      <c r="K289" s="40">
        <f>(J283*K283 + J284*K284 + J285*K285 + J286*K286 + J287*K287)/SUM(K283:K287)</f>
        <v>63.33333333</v>
      </c>
      <c r="L289" s="59" t="s">
        <v>26</v>
      </c>
      <c r="M289" s="40" t="str">
        <f>(L283*M283 + L284*M284 + L285*M285 + L286*M286 + L287*M287)/SUM(M283:M287)</f>
        <v>#DIV/0!</v>
      </c>
    </row>
    <row r="290" ht="14.25" customHeight="1">
      <c r="A290" s="28"/>
      <c r="B290" s="28"/>
      <c r="C290" s="30" t="s">
        <v>49</v>
      </c>
      <c r="D290" s="37"/>
      <c r="E290" s="30" t="s">
        <v>49</v>
      </c>
      <c r="F290" s="120"/>
      <c r="G290" s="121" t="s">
        <v>49</v>
      </c>
      <c r="H290" s="122" t="s">
        <v>33</v>
      </c>
      <c r="I290" s="30"/>
      <c r="J290" s="28"/>
      <c r="K290" s="60" t="s">
        <v>49</v>
      </c>
      <c r="L290" s="30"/>
      <c r="M290" s="60" t="s">
        <v>49</v>
      </c>
    </row>
    <row r="291" ht="14.25" customHeight="1">
      <c r="A291" s="37"/>
      <c r="B291" s="27" t="s">
        <v>178</v>
      </c>
      <c r="C291" s="60"/>
      <c r="D291" s="23"/>
      <c r="E291" s="61"/>
      <c r="F291" s="27" t="s">
        <v>178</v>
      </c>
      <c r="G291" s="61"/>
      <c r="H291" s="30"/>
      <c r="I291" s="60"/>
      <c r="J291" s="27" t="s">
        <v>178</v>
      </c>
      <c r="K291" s="60"/>
      <c r="L291" s="62"/>
      <c r="M291" s="60"/>
    </row>
    <row r="292" ht="14.25" customHeight="1">
      <c r="A292" s="37"/>
      <c r="B292" s="52" t="s">
        <v>53</v>
      </c>
      <c r="C292" s="60"/>
      <c r="D292" s="23"/>
      <c r="E292" s="60"/>
      <c r="F292" s="53" t="s">
        <v>53</v>
      </c>
      <c r="G292" s="60"/>
      <c r="H292" s="30"/>
      <c r="I292" s="60"/>
      <c r="J292" s="53" t="s">
        <v>53</v>
      </c>
      <c r="K292" s="60"/>
      <c r="L292" s="30"/>
      <c r="M292" s="60"/>
    </row>
    <row r="293" ht="14.25" customHeight="1">
      <c r="A293" s="37"/>
      <c r="B293" s="32" t="s">
        <v>54</v>
      </c>
      <c r="C293" s="60"/>
      <c r="D293" s="23"/>
      <c r="E293" s="60"/>
      <c r="F293" s="23" t="s">
        <v>54</v>
      </c>
      <c r="G293" s="60"/>
      <c r="H293" s="30"/>
      <c r="I293" s="60"/>
      <c r="J293" s="30" t="s">
        <v>54</v>
      </c>
      <c r="K293" s="60"/>
      <c r="L293" s="30"/>
      <c r="M293" s="60"/>
    </row>
    <row r="294" ht="14.25" customHeight="1">
      <c r="A294" s="37"/>
      <c r="B294" s="28"/>
      <c r="C294" s="1"/>
      <c r="D294" s="28"/>
      <c r="E294" s="1"/>
      <c r="F294" s="28"/>
      <c r="G294" s="60"/>
      <c r="H294" s="30"/>
      <c r="I294" s="30"/>
      <c r="J294" s="37"/>
      <c r="K294" s="60"/>
      <c r="L294" s="30"/>
      <c r="M294" s="60"/>
    </row>
    <row r="295" ht="14.25" customHeight="1">
      <c r="A295" s="37"/>
      <c r="B295" s="28"/>
      <c r="C295" s="1"/>
      <c r="D295" s="28"/>
      <c r="E295" s="1"/>
      <c r="F295" s="28"/>
      <c r="G295" s="60"/>
      <c r="H295" s="30"/>
      <c r="I295" s="30"/>
      <c r="J295" s="37"/>
      <c r="K295" s="60"/>
      <c r="L295" s="30"/>
      <c r="M295" s="60"/>
    </row>
    <row r="296" ht="14.25" customHeight="1">
      <c r="A296" s="37"/>
      <c r="B296" s="28"/>
      <c r="C296" s="1"/>
      <c r="D296" s="28"/>
      <c r="E296" s="1"/>
      <c r="F296" s="28"/>
      <c r="G296" s="60"/>
      <c r="H296" s="30"/>
      <c r="I296" s="30"/>
      <c r="J296" s="37"/>
      <c r="K296" s="60"/>
      <c r="L296" s="30"/>
      <c r="M296" s="60"/>
    </row>
    <row r="297" ht="14.25" customHeight="1">
      <c r="A297" s="64"/>
      <c r="B297" s="65"/>
      <c r="C297" s="66"/>
      <c r="D297" s="65"/>
      <c r="E297" s="66"/>
      <c r="F297" s="64"/>
      <c r="G297" s="67"/>
      <c r="H297" s="66"/>
      <c r="I297" s="66"/>
      <c r="J297" s="64"/>
      <c r="K297" s="67"/>
      <c r="L297" s="66"/>
      <c r="M297" s="67"/>
    </row>
    <row r="298" ht="14.25" customHeight="1">
      <c r="A298" s="30"/>
      <c r="B298" s="1"/>
      <c r="C298" s="1"/>
      <c r="D298" s="30"/>
      <c r="E298" s="30"/>
      <c r="F298" s="1"/>
      <c r="G298" s="30"/>
      <c r="H298" s="30"/>
      <c r="I298" s="30"/>
      <c r="J298" s="1"/>
      <c r="K298" s="30"/>
      <c r="L298" s="30"/>
      <c r="M298" s="30"/>
    </row>
    <row r="299" ht="14.25" customHeight="1">
      <c r="A299" s="2" t="s">
        <v>2</v>
      </c>
      <c r="B299" s="3" t="s">
        <v>3</v>
      </c>
      <c r="C299" s="4">
        <f>M262+2</f>
        <v>45411</v>
      </c>
      <c r="D299" s="5" t="s">
        <v>4</v>
      </c>
      <c r="E299" s="6">
        <f>C299+1</f>
        <v>45412</v>
      </c>
      <c r="F299" s="3" t="s">
        <v>5</v>
      </c>
      <c r="G299" s="6">
        <f>E299+1</f>
        <v>45413</v>
      </c>
      <c r="H299" s="3" t="s">
        <v>6</v>
      </c>
      <c r="I299" s="6">
        <f>G299+1</f>
        <v>45414</v>
      </c>
      <c r="J299" s="3" t="s">
        <v>7</v>
      </c>
      <c r="K299" s="6">
        <f>I299+1</f>
        <v>45415</v>
      </c>
      <c r="L299" s="7" t="s">
        <v>8</v>
      </c>
      <c r="M299" s="8">
        <f>K299+1</f>
        <v>45416</v>
      </c>
      <c r="N299" s="30"/>
      <c r="O299" s="30"/>
    </row>
    <row r="300" ht="14.25" customHeight="1">
      <c r="A300" s="10">
        <f>A263+1</f>
        <v>9</v>
      </c>
      <c r="B300" s="11" t="s">
        <v>10</v>
      </c>
      <c r="C300" s="12" t="s">
        <v>11</v>
      </c>
      <c r="D300" s="11" t="s">
        <v>10</v>
      </c>
      <c r="E300" s="12" t="s">
        <v>11</v>
      </c>
      <c r="F300" s="11" t="s">
        <v>10</v>
      </c>
      <c r="G300" s="12" t="s">
        <v>11</v>
      </c>
      <c r="H300" s="11" t="s">
        <v>10</v>
      </c>
      <c r="I300" s="12" t="s">
        <v>11</v>
      </c>
      <c r="J300" s="11" t="s">
        <v>10</v>
      </c>
      <c r="K300" s="12" t="s">
        <v>11</v>
      </c>
      <c r="L300" s="11" t="s">
        <v>10</v>
      </c>
      <c r="M300" s="12" t="s">
        <v>11</v>
      </c>
      <c r="N300" s="30"/>
      <c r="O300" s="30"/>
    </row>
    <row r="301" ht="14.25" customHeight="1">
      <c r="A301" s="13" t="s">
        <v>12</v>
      </c>
      <c r="B301" s="70" t="s">
        <v>110</v>
      </c>
      <c r="C301" s="17"/>
      <c r="D301" s="18" t="s">
        <v>14</v>
      </c>
      <c r="E301" s="17"/>
      <c r="F301" s="20" t="s">
        <v>111</v>
      </c>
      <c r="G301" s="17"/>
      <c r="H301" s="42" t="s">
        <v>15</v>
      </c>
      <c r="I301" s="17"/>
      <c r="J301" s="20" t="s">
        <v>112</v>
      </c>
      <c r="K301" s="17"/>
      <c r="L301" s="72" t="s">
        <v>14</v>
      </c>
      <c r="M301" s="17"/>
      <c r="N301" s="30"/>
      <c r="O301" s="30"/>
    </row>
    <row r="302" ht="14.25" customHeight="1">
      <c r="A302" s="13"/>
      <c r="B302" s="21">
        <v>60.0</v>
      </c>
      <c r="C302" s="22">
        <v>8.0</v>
      </c>
      <c r="D302" s="23" t="s">
        <v>76</v>
      </c>
      <c r="E302" s="24" t="s">
        <v>77</v>
      </c>
      <c r="F302" s="46">
        <v>60.0</v>
      </c>
      <c r="G302" s="48">
        <v>8.0</v>
      </c>
      <c r="H302" s="52" t="s">
        <v>78</v>
      </c>
      <c r="I302" s="26"/>
      <c r="J302" s="46">
        <v>75.0</v>
      </c>
      <c r="K302" s="48">
        <v>8.0</v>
      </c>
      <c r="L302" s="52" t="s">
        <v>79</v>
      </c>
      <c r="M302" s="24"/>
      <c r="N302" s="30"/>
      <c r="O302" s="30"/>
    </row>
    <row r="303" ht="14.25" customHeight="1">
      <c r="A303" s="28" t="s">
        <v>20</v>
      </c>
      <c r="B303" s="21">
        <v>65.0</v>
      </c>
      <c r="C303" s="22">
        <v>8.0</v>
      </c>
      <c r="D303" s="23" t="s">
        <v>80</v>
      </c>
      <c r="E303" s="26" t="s">
        <v>81</v>
      </c>
      <c r="F303" s="46">
        <v>65.0</v>
      </c>
      <c r="G303" s="48">
        <v>8.0</v>
      </c>
      <c r="H303" s="32"/>
      <c r="I303" s="26"/>
      <c r="J303" s="46">
        <v>77.5</v>
      </c>
      <c r="K303" s="48">
        <v>8.0</v>
      </c>
      <c r="L303" s="32" t="s">
        <v>82</v>
      </c>
      <c r="M303" s="24"/>
      <c r="N303" s="30"/>
      <c r="O303" s="30"/>
    </row>
    <row r="304" ht="14.25" customHeight="1">
      <c r="A304" s="29" t="s">
        <v>22</v>
      </c>
      <c r="B304" s="21">
        <v>67.5</v>
      </c>
      <c r="C304" s="22">
        <v>8.0</v>
      </c>
      <c r="D304" s="30" t="s">
        <v>83</v>
      </c>
      <c r="E304" s="26" t="s">
        <v>84</v>
      </c>
      <c r="F304" s="46">
        <v>67.5</v>
      </c>
      <c r="G304" s="48">
        <v>8.0</v>
      </c>
      <c r="H304" s="23"/>
      <c r="I304" s="26"/>
      <c r="J304" s="46">
        <v>82.5</v>
      </c>
      <c r="K304" s="48">
        <v>8.0</v>
      </c>
      <c r="L304" s="23"/>
      <c r="M304" s="24"/>
      <c r="N304" s="30"/>
      <c r="O304" s="30"/>
    </row>
    <row r="305" ht="14.25" customHeight="1">
      <c r="A305" s="28" t="s">
        <v>23</v>
      </c>
      <c r="B305" s="21">
        <v>70.0</v>
      </c>
      <c r="C305" s="22">
        <v>8.0</v>
      </c>
      <c r="D305" s="23" t="s">
        <v>85</v>
      </c>
      <c r="E305" s="26"/>
      <c r="F305" s="47">
        <v>70.0</v>
      </c>
      <c r="G305" s="48">
        <v>8.0</v>
      </c>
      <c r="H305" s="31"/>
      <c r="I305" s="24"/>
      <c r="J305" s="46"/>
      <c r="K305" s="22"/>
      <c r="L305" s="23"/>
      <c r="M305" s="26"/>
      <c r="N305" s="30"/>
      <c r="O305" s="30"/>
    </row>
    <row r="306" ht="14.25" customHeight="1">
      <c r="A306" s="13"/>
      <c r="B306" s="13"/>
      <c r="C306" s="24"/>
      <c r="D306" s="73" t="s">
        <v>86</v>
      </c>
      <c r="E306" s="26"/>
      <c r="F306" s="13"/>
      <c r="G306" s="34"/>
      <c r="H306" s="13"/>
      <c r="I306" s="34"/>
      <c r="J306" s="13"/>
      <c r="K306" s="24"/>
      <c r="L306" s="13"/>
      <c r="M306" s="24"/>
      <c r="N306" s="30"/>
      <c r="O306" s="30"/>
    </row>
    <row r="307" ht="14.25" customHeight="1">
      <c r="A307" s="28" t="s">
        <v>113</v>
      </c>
      <c r="B307" s="35" t="s">
        <v>25</v>
      </c>
      <c r="C307" s="58">
        <f>C302*B302 + B303*C303 + B304*C304 + B305*C305 + B306*C306</f>
        <v>2100</v>
      </c>
      <c r="D307" s="57" t="s">
        <v>25</v>
      </c>
      <c r="E307" s="55" t="str">
        <f>E302*D302 + D303*#REF! + E303*E304 + D305*E305 + D306*E306</f>
        <v>#VALUE!</v>
      </c>
      <c r="F307" s="35" t="s">
        <v>25</v>
      </c>
      <c r="G307" s="56">
        <f>G302*F302 + F303*G303 + F304*G304 + F305*G305 + F306*G306</f>
        <v>2100</v>
      </c>
      <c r="H307" s="35" t="s">
        <v>25</v>
      </c>
      <c r="I307" s="56" t="str">
        <f>I302*H302 + H303*I303 + H304*I304 + H305*I305 + H306*I306</f>
        <v>#VALUE!</v>
      </c>
      <c r="J307" s="35" t="s">
        <v>25</v>
      </c>
      <c r="K307" s="58">
        <f>K302*J302 + J303*K303 + J304*K304 + J305*K305 + J306*K306</f>
        <v>1880</v>
      </c>
      <c r="L307" s="35" t="s">
        <v>25</v>
      </c>
      <c r="M307" s="36" t="str">
        <f>M302*L302 + L303*M303 + L304*M304 + L305*M305 + L306*M306</f>
        <v>#VALUE!</v>
      </c>
      <c r="N307" s="30"/>
      <c r="O307" s="30"/>
    </row>
    <row r="308" ht="14.25" customHeight="1">
      <c r="A308" s="37"/>
      <c r="B308" s="39" t="s">
        <v>26</v>
      </c>
      <c r="C308" s="116">
        <f>(B302*C302 + B303*C303 + B304*C304 + B305*C305 + B306*C306)/SUM(C302:C306)</f>
        <v>65.625</v>
      </c>
      <c r="D308" s="31" t="s">
        <v>26</v>
      </c>
      <c r="E308" s="74" t="str">
        <f>(D302*E302 + D303*#REF! + E303*E304 + D305*E305 + D306*E306)/SUM(E302:E306)</f>
        <v>#VALUE!</v>
      </c>
      <c r="F308" s="13" t="s">
        <v>26</v>
      </c>
      <c r="G308" s="117">
        <f>(F302*G302 + F303*G303 + F304*G304 + F305*G305 + F306*G306)/SUM(G302:G306)</f>
        <v>65.625</v>
      </c>
      <c r="H308" s="13" t="s">
        <v>26</v>
      </c>
      <c r="I308" s="74" t="str">
        <f>(H302*I302 + H303*I303 + H304*I304 + H305*I305 + H306*I306)/SUM(I302:I306)</f>
        <v>#VALUE!</v>
      </c>
      <c r="J308" s="39" t="s">
        <v>26</v>
      </c>
      <c r="K308" s="116">
        <f>(J302*K302 + J303*K303 + J304*K304 + J305*K305 + J306*K306)/SUM(K302:K306)</f>
        <v>78.33333333</v>
      </c>
      <c r="L308" s="13" t="s">
        <v>26</v>
      </c>
      <c r="M308" s="75" t="str">
        <f>(L302*M302 + L303*M303 + L304*M304 + L305*M305 + L306*M306)/SUM(M302:M306)</f>
        <v>#VALUE!</v>
      </c>
      <c r="N308" s="30"/>
      <c r="O308" s="30"/>
    </row>
    <row r="309" ht="14.25" customHeight="1">
      <c r="A309" s="28" t="s">
        <v>27</v>
      </c>
      <c r="B309" s="11" t="s">
        <v>10</v>
      </c>
      <c r="C309" s="12" t="s">
        <v>11</v>
      </c>
      <c r="D309" s="11" t="s">
        <v>10</v>
      </c>
      <c r="E309" s="12" t="s">
        <v>11</v>
      </c>
      <c r="F309" s="11" t="s">
        <v>10</v>
      </c>
      <c r="G309" s="12" t="s">
        <v>11</v>
      </c>
      <c r="H309" s="11" t="s">
        <v>10</v>
      </c>
      <c r="I309" s="12" t="s">
        <v>11</v>
      </c>
      <c r="J309" s="11" t="s">
        <v>10</v>
      </c>
      <c r="K309" s="12" t="s">
        <v>11</v>
      </c>
      <c r="L309" s="11" t="s">
        <v>10</v>
      </c>
      <c r="M309" s="12" t="s">
        <v>11</v>
      </c>
      <c r="N309" s="30"/>
      <c r="O309" s="30"/>
    </row>
    <row r="310" ht="14.25" customHeight="1">
      <c r="A310" s="41" t="s">
        <v>28</v>
      </c>
      <c r="B310" s="20" t="s">
        <v>114</v>
      </c>
      <c r="C310" s="17"/>
      <c r="D310" s="45" t="s">
        <v>88</v>
      </c>
      <c r="E310" s="76" t="s">
        <v>49</v>
      </c>
      <c r="F310" s="68" t="s">
        <v>115</v>
      </c>
      <c r="G310" s="17"/>
      <c r="H310" s="42" t="s">
        <v>89</v>
      </c>
      <c r="I310" s="44" t="s">
        <v>90</v>
      </c>
      <c r="J310" s="70" t="s">
        <v>68</v>
      </c>
      <c r="K310" s="17"/>
      <c r="L310" s="42" t="s">
        <v>91</v>
      </c>
      <c r="M310" s="44" t="s">
        <v>90</v>
      </c>
      <c r="N310" s="30"/>
      <c r="O310" s="30"/>
    </row>
    <row r="311" ht="14.25" customHeight="1">
      <c r="A311" s="28"/>
      <c r="B311" s="46">
        <v>75.0</v>
      </c>
      <c r="C311" s="22">
        <v>8.0</v>
      </c>
      <c r="D311" s="23">
        <v>30.0</v>
      </c>
      <c r="E311" s="54"/>
      <c r="F311" s="46">
        <v>60.0</v>
      </c>
      <c r="G311" s="22">
        <v>8.0</v>
      </c>
      <c r="H311" s="32" t="s">
        <v>94</v>
      </c>
      <c r="I311" s="24"/>
      <c r="J311" s="28">
        <v>65.0</v>
      </c>
      <c r="K311" s="54">
        <v>8.0</v>
      </c>
      <c r="L311" s="32" t="s">
        <v>95</v>
      </c>
      <c r="M311" s="26"/>
      <c r="N311" s="30"/>
      <c r="O311" s="30"/>
    </row>
    <row r="312" ht="14.25" customHeight="1">
      <c r="A312" s="28" t="s">
        <v>37</v>
      </c>
      <c r="B312" s="46">
        <v>80.0</v>
      </c>
      <c r="C312" s="22">
        <v>8.0</v>
      </c>
      <c r="D312" s="23">
        <v>60.0</v>
      </c>
      <c r="E312" s="54"/>
      <c r="F312" s="46">
        <v>65.0</v>
      </c>
      <c r="G312" s="22">
        <v>8.0</v>
      </c>
      <c r="H312" s="32" t="s">
        <v>94</v>
      </c>
      <c r="I312" s="24"/>
      <c r="J312" s="27">
        <v>70.0</v>
      </c>
      <c r="K312" s="54">
        <v>8.0</v>
      </c>
      <c r="L312" s="32" t="s">
        <v>96</v>
      </c>
      <c r="M312" s="26"/>
      <c r="N312" s="30"/>
      <c r="O312" s="30"/>
    </row>
    <row r="313" ht="14.25" customHeight="1">
      <c r="A313" s="28" t="s">
        <v>39</v>
      </c>
      <c r="B313" s="46">
        <v>85.0</v>
      </c>
      <c r="C313" s="22">
        <v>8.0</v>
      </c>
      <c r="D313" s="23">
        <v>80.0</v>
      </c>
      <c r="E313" s="54"/>
      <c r="F313" s="46">
        <v>70.0</v>
      </c>
      <c r="G313" s="22">
        <v>8.0</v>
      </c>
      <c r="H313" s="32" t="s">
        <v>98</v>
      </c>
      <c r="I313" s="24"/>
      <c r="J313" s="27">
        <v>75.0</v>
      </c>
      <c r="K313" s="54">
        <v>8.0</v>
      </c>
      <c r="L313" s="32" t="s">
        <v>99</v>
      </c>
      <c r="M313" s="26"/>
      <c r="N313" s="30"/>
      <c r="O313" s="30"/>
    </row>
    <row r="314" ht="14.25" customHeight="1">
      <c r="A314" s="28"/>
      <c r="B314" s="46">
        <v>90.0</v>
      </c>
      <c r="C314" s="22">
        <v>8.0</v>
      </c>
      <c r="D314" s="23">
        <v>100.0</v>
      </c>
      <c r="E314" s="54"/>
      <c r="F314" s="46">
        <v>75.0</v>
      </c>
      <c r="G314" s="22">
        <v>8.0</v>
      </c>
      <c r="H314" s="32" t="s">
        <v>98</v>
      </c>
      <c r="I314" s="24"/>
      <c r="J314" s="46"/>
      <c r="K314" s="22"/>
      <c r="L314" s="32" t="s">
        <v>100</v>
      </c>
      <c r="M314" s="26"/>
      <c r="N314" s="30"/>
      <c r="O314" s="30"/>
    </row>
    <row r="315" ht="14.25" customHeight="1">
      <c r="A315" s="28" t="s">
        <v>41</v>
      </c>
      <c r="B315" s="13"/>
      <c r="C315" s="24"/>
      <c r="D315" s="1" t="s">
        <v>101</v>
      </c>
      <c r="E315" s="24"/>
      <c r="F315" s="31"/>
      <c r="G315" s="24"/>
      <c r="H315" s="32" t="s">
        <v>102</v>
      </c>
      <c r="I315" s="24"/>
      <c r="J315" s="31"/>
      <c r="K315" s="24"/>
      <c r="L315" s="32" t="s">
        <v>99</v>
      </c>
      <c r="M315" s="24"/>
      <c r="N315" s="30"/>
      <c r="O315" s="30"/>
    </row>
    <row r="316" ht="14.25" customHeight="1">
      <c r="A316" s="28" t="s">
        <v>43</v>
      </c>
      <c r="B316" s="13"/>
      <c r="C316" s="34"/>
      <c r="D316" s="28" t="s">
        <v>103</v>
      </c>
      <c r="E316" s="34"/>
      <c r="F316" s="13"/>
      <c r="G316" s="34"/>
      <c r="H316" s="32" t="s">
        <v>102</v>
      </c>
      <c r="I316" s="24"/>
      <c r="J316" s="13"/>
      <c r="K316" s="24"/>
      <c r="L316" s="32"/>
      <c r="M316" s="24" t="s">
        <v>42</v>
      </c>
      <c r="N316" s="30"/>
      <c r="O316" s="30"/>
    </row>
    <row r="317" ht="14.25" customHeight="1">
      <c r="A317" s="28"/>
      <c r="B317" s="35" t="s">
        <v>25</v>
      </c>
      <c r="C317" s="55">
        <f>C311*B311 + B312*C312 + B313*C313 + B314*C314 + B316*C316</f>
        <v>2640</v>
      </c>
      <c r="D317" s="35" t="s">
        <v>25</v>
      </c>
      <c r="E317" s="55" t="str">
        <f>E311*D311 + D312*E312 + D313*E313 + D314*E314 + D316*E316</f>
        <v>#VALUE!</v>
      </c>
      <c r="F317" s="35" t="s">
        <v>25</v>
      </c>
      <c r="G317" s="55">
        <f>G311*F311 + F312*G312 + F313*G313 + F314*G314 + F316*G316</f>
        <v>2160</v>
      </c>
      <c r="H317" s="35" t="s">
        <v>25</v>
      </c>
      <c r="I317" s="56" t="str">
        <f>I311*H311 + H312*I312 + H313*I313 + H314*I314 + H316*I316</f>
        <v>#VALUE!</v>
      </c>
      <c r="J317" s="35" t="s">
        <v>25</v>
      </c>
      <c r="K317" s="36">
        <f>K311*J311 + J312*K312 + J313*K313 + J314*K314 + J316*K316</f>
        <v>1680</v>
      </c>
      <c r="L317" s="35" t="s">
        <v>25</v>
      </c>
      <c r="M317" s="36" t="str">
        <f>M311*L311 + L312*M312 + L313*M313 + L314*M314 + L316*M316</f>
        <v>#VALUE!</v>
      </c>
      <c r="N317" s="30"/>
      <c r="O317" s="30"/>
    </row>
    <row r="318" ht="14.25" customHeight="1">
      <c r="A318" s="28" t="s">
        <v>116</v>
      </c>
      <c r="B318" s="39" t="s">
        <v>26</v>
      </c>
      <c r="C318" s="77">
        <f>(B311*C311 + B312*C312 + B313*C313 + B314*C314 + B316*C316)/SUM(C311:C316)</f>
        <v>82.5</v>
      </c>
      <c r="D318" s="39" t="s">
        <v>26</v>
      </c>
      <c r="E318" s="77" t="str">
        <f>(D311*E311 + D312*E312 + D313*E313 + D314*E314 + D316*E316)/SUM(E311:E316)</f>
        <v>#VALUE!</v>
      </c>
      <c r="F318" s="39" t="s">
        <v>26</v>
      </c>
      <c r="G318" s="77">
        <f>(F311*G311 + F312*G312 + F313*G313 + F314*G314 + F316*G316)/SUM(G311:G316)</f>
        <v>67.5</v>
      </c>
      <c r="H318" s="39" t="s">
        <v>26</v>
      </c>
      <c r="I318" s="77" t="str">
        <f>(H311*I311 + H312*I312 + H313*I313 + H314*I314 + H316*I316)/SUM(I311:I316)</f>
        <v>#VALUE!</v>
      </c>
      <c r="J318" s="39" t="s">
        <v>26</v>
      </c>
      <c r="K318" s="40">
        <f>(J311*K311 + J312*K312 + J313*K313 + J314*K314 + J316*K316)/SUM(K311:K316)</f>
        <v>70</v>
      </c>
      <c r="L318" s="39" t="s">
        <v>26</v>
      </c>
      <c r="M318" s="40" t="str">
        <f>(L311*M311 + L312*M312 + L313*M313 + L314*M314 + L316*M316)/SUM(M311:M316)</f>
        <v>#VALUE!</v>
      </c>
      <c r="N318" s="30"/>
      <c r="O318" s="30"/>
    </row>
    <row r="319" ht="14.25" customHeight="1">
      <c r="A319" s="28" t="s">
        <v>117</v>
      </c>
      <c r="B319" s="70" t="s">
        <v>71</v>
      </c>
      <c r="C319" s="17"/>
      <c r="D319" s="45" t="s">
        <v>104</v>
      </c>
      <c r="E319" s="17"/>
      <c r="F319" s="70" t="s">
        <v>71</v>
      </c>
      <c r="G319" s="17"/>
      <c r="H319" s="49" t="s">
        <v>33</v>
      </c>
      <c r="I319" s="17"/>
      <c r="J319" s="70" t="s">
        <v>71</v>
      </c>
      <c r="K319" s="17"/>
      <c r="L319" s="42" t="s">
        <v>105</v>
      </c>
      <c r="M319" s="44" t="s">
        <v>49</v>
      </c>
      <c r="N319" s="30"/>
      <c r="O319" s="30"/>
    </row>
    <row r="320" ht="14.25" customHeight="1">
      <c r="A320" s="28" t="s">
        <v>120</v>
      </c>
      <c r="B320" s="28">
        <v>60.0</v>
      </c>
      <c r="C320" s="54">
        <v>8.0</v>
      </c>
      <c r="D320" s="78">
        <v>30.0</v>
      </c>
      <c r="E320" s="24"/>
      <c r="F320" s="28">
        <v>60.0</v>
      </c>
      <c r="G320" s="54">
        <v>8.0</v>
      </c>
      <c r="H320" s="23"/>
      <c r="I320" s="24"/>
      <c r="J320" s="28">
        <v>65.0</v>
      </c>
      <c r="K320" s="54">
        <v>8.0</v>
      </c>
      <c r="L320" s="32" t="s">
        <v>106</v>
      </c>
      <c r="M320" s="24"/>
      <c r="N320" s="30"/>
      <c r="O320" s="30"/>
    </row>
    <row r="321" ht="14.25" customHeight="1">
      <c r="A321" s="28"/>
      <c r="B321" s="27">
        <v>65.0</v>
      </c>
      <c r="C321" s="54">
        <v>8.0</v>
      </c>
      <c r="D321" s="21">
        <v>100.0</v>
      </c>
      <c r="E321" s="26"/>
      <c r="F321" s="27">
        <v>65.0</v>
      </c>
      <c r="G321" s="54">
        <v>8.0</v>
      </c>
      <c r="H321" s="23"/>
      <c r="I321" s="24"/>
      <c r="J321" s="27">
        <v>70.0</v>
      </c>
      <c r="K321" s="54">
        <v>8.0</v>
      </c>
      <c r="L321" s="32" t="s">
        <v>107</v>
      </c>
      <c r="M321" s="26"/>
      <c r="N321" s="30"/>
      <c r="O321" s="30"/>
    </row>
    <row r="322" ht="14.25" customHeight="1">
      <c r="A322" s="28" t="s">
        <v>121</v>
      </c>
      <c r="B322" s="27">
        <v>67.5</v>
      </c>
      <c r="C322" s="54">
        <v>8.0</v>
      </c>
      <c r="D322" s="21">
        <v>60.0</v>
      </c>
      <c r="E322" s="24"/>
      <c r="F322" s="27">
        <v>70.0</v>
      </c>
      <c r="G322" s="54">
        <v>8.0</v>
      </c>
      <c r="H322" s="23"/>
      <c r="I322" s="24"/>
      <c r="J322" s="27">
        <v>72.5</v>
      </c>
      <c r="K322" s="54">
        <v>8.0</v>
      </c>
      <c r="L322" s="32" t="s">
        <v>108</v>
      </c>
      <c r="M322" s="24"/>
      <c r="N322" s="30"/>
      <c r="O322" s="30"/>
    </row>
    <row r="323" ht="14.25" customHeight="1">
      <c r="A323" s="28" t="s">
        <v>122</v>
      </c>
      <c r="B323" s="28"/>
      <c r="C323" s="79"/>
      <c r="D323" s="21">
        <v>80.0</v>
      </c>
      <c r="E323" s="79"/>
      <c r="F323" s="28"/>
      <c r="G323" s="34"/>
      <c r="H323" s="28"/>
      <c r="I323" s="34"/>
      <c r="J323" s="28"/>
      <c r="K323" s="54"/>
      <c r="L323" s="32" t="s">
        <v>109</v>
      </c>
      <c r="M323" s="24"/>
      <c r="N323" s="30"/>
      <c r="O323" s="30"/>
    </row>
    <row r="324" ht="14.25" customHeight="1">
      <c r="A324" s="28" t="s">
        <v>123</v>
      </c>
      <c r="B324" s="13"/>
      <c r="C324" s="34"/>
      <c r="D324" s="21">
        <v>30.0</v>
      </c>
      <c r="E324" s="34"/>
      <c r="F324" s="13"/>
      <c r="G324" s="34"/>
      <c r="H324" s="28"/>
      <c r="I324" s="34"/>
      <c r="J324" s="13"/>
      <c r="K324" s="24"/>
      <c r="L324" s="31"/>
      <c r="M324" s="24"/>
      <c r="N324" s="30"/>
      <c r="O324" s="30"/>
    </row>
    <row r="325" ht="14.25" customHeight="1">
      <c r="A325" s="13"/>
      <c r="B325" s="35" t="s">
        <v>25</v>
      </c>
      <c r="C325" s="55">
        <f>C320*B320 + B321*C321 + B322*C322 + B323*C323 + B324*C324</f>
        <v>1540</v>
      </c>
      <c r="D325" s="35" t="s">
        <v>25</v>
      </c>
      <c r="E325" s="55">
        <f>E320*D320 + D321*E321 + D322*E322 + D323*E323 + D324*E324</f>
        <v>0</v>
      </c>
      <c r="F325" s="35" t="s">
        <v>25</v>
      </c>
      <c r="G325" s="55">
        <f>G320*F320 + F321*G321 + F322*G322 + F323*G323 + F324*G324</f>
        <v>1560</v>
      </c>
      <c r="H325" s="35" t="s">
        <v>25</v>
      </c>
      <c r="I325" s="56">
        <f>I320*H320 + H321*I321 + H322*I322 + H323*I323 + H324*I324</f>
        <v>0</v>
      </c>
      <c r="J325" s="35" t="s">
        <v>25</v>
      </c>
      <c r="K325" s="36">
        <f>K320*J320 + J321*K321 + J322*K322 + J323*K323 + J324*K324</f>
        <v>1660</v>
      </c>
      <c r="L325" s="57" t="s">
        <v>25</v>
      </c>
      <c r="M325" s="58" t="str">
        <f>M320*L320 + L321*M321 + L322*M322 + L323*M323 + L324*M324</f>
        <v>#VALUE!</v>
      </c>
      <c r="N325" s="30"/>
      <c r="O325" s="30"/>
    </row>
    <row r="326" ht="14.25" customHeight="1">
      <c r="A326" s="13"/>
      <c r="B326" s="39" t="s">
        <v>26</v>
      </c>
      <c r="C326" s="40">
        <f>(B320*C320 + B321*C321 + B322*C322 + B323*C323 + B324*C324)/SUM(C320:C324)</f>
        <v>64.16666667</v>
      </c>
      <c r="D326" s="59" t="s">
        <v>26</v>
      </c>
      <c r="E326" s="40" t="str">
        <f>(D320*E320 + D321*E321 + D322*E322 + D323*E323 + D324*E324)/SUM(E320:E324)</f>
        <v>#DIV/0!</v>
      </c>
      <c r="F326" s="31" t="s">
        <v>26</v>
      </c>
      <c r="G326" s="75">
        <f>(F320*G320 + F321*G321 + F322*G322 + F323*G323 + F324*G324)/SUM(G320:G324)</f>
        <v>65</v>
      </c>
      <c r="H326" s="59" t="s">
        <v>26</v>
      </c>
      <c r="I326" s="40" t="str">
        <f>(H320*I320 + H321*I321 + H322*I322 + H323*I323 + H324*I324)/SUM(I320:I324)</f>
        <v>#DIV/0!</v>
      </c>
      <c r="J326" s="39" t="s">
        <v>26</v>
      </c>
      <c r="K326" s="40">
        <f>(J320*K320 + J321*K321 + J322*K322 + J323*K323 + J324*K324)/SUM(K320:K324)</f>
        <v>69.16666667</v>
      </c>
      <c r="L326" s="59" t="s">
        <v>26</v>
      </c>
      <c r="M326" s="40" t="str">
        <f>(L320*M320 + L321*M321 + L322*M322 + L323*M323 + L324*M324)/SUM(M320:M324)</f>
        <v>#VALUE!</v>
      </c>
      <c r="N326" s="30"/>
      <c r="O326" s="30"/>
    </row>
    <row r="327" ht="14.25" customHeight="1">
      <c r="A327" s="28" t="s">
        <v>124</v>
      </c>
      <c r="B327" s="28"/>
      <c r="C327" s="30" t="s">
        <v>49</v>
      </c>
      <c r="D327" s="37"/>
      <c r="E327" s="30" t="s">
        <v>49</v>
      </c>
      <c r="F327" s="120"/>
      <c r="G327" s="121" t="s">
        <v>49</v>
      </c>
      <c r="H327" s="122" t="s">
        <v>33</v>
      </c>
      <c r="I327" s="30"/>
      <c r="J327" s="28"/>
      <c r="K327" s="60" t="s">
        <v>49</v>
      </c>
      <c r="L327" s="30"/>
      <c r="M327" s="60" t="s">
        <v>49</v>
      </c>
      <c r="N327" s="30"/>
      <c r="O327" s="30"/>
    </row>
    <row r="328" ht="14.25" customHeight="1">
      <c r="A328" s="28" t="s">
        <v>125</v>
      </c>
      <c r="B328" s="27" t="s">
        <v>178</v>
      </c>
      <c r="C328" s="60"/>
      <c r="D328" s="23"/>
      <c r="E328" s="61"/>
      <c r="F328" s="27" t="s">
        <v>178</v>
      </c>
      <c r="G328" s="61"/>
      <c r="H328" s="30"/>
      <c r="I328" s="60"/>
      <c r="J328" s="27" t="s">
        <v>178</v>
      </c>
      <c r="K328" s="60"/>
      <c r="L328" s="62"/>
      <c r="M328" s="60"/>
      <c r="N328" s="30"/>
      <c r="O328" s="30"/>
    </row>
    <row r="329" ht="14.25" customHeight="1">
      <c r="A329" s="37"/>
      <c r="B329" s="52" t="s">
        <v>53</v>
      </c>
      <c r="C329" s="60"/>
      <c r="D329" s="23"/>
      <c r="E329" s="60"/>
      <c r="F329" s="53" t="s">
        <v>53</v>
      </c>
      <c r="G329" s="60"/>
      <c r="H329" s="30"/>
      <c r="I329" s="60"/>
      <c r="J329" s="53" t="s">
        <v>53</v>
      </c>
      <c r="K329" s="60"/>
      <c r="L329" s="30"/>
      <c r="M329" s="60"/>
      <c r="N329" s="30"/>
      <c r="O329" s="30"/>
    </row>
    <row r="330" ht="14.25" customHeight="1">
      <c r="A330" s="37"/>
      <c r="B330" s="32" t="s">
        <v>54</v>
      </c>
      <c r="C330" s="60"/>
      <c r="D330" s="23"/>
      <c r="E330" s="60"/>
      <c r="F330" s="23" t="s">
        <v>54</v>
      </c>
      <c r="G330" s="60"/>
      <c r="H330" s="30"/>
      <c r="I330" s="60"/>
      <c r="J330" s="30" t="s">
        <v>54</v>
      </c>
      <c r="K330" s="60"/>
      <c r="L330" s="30"/>
      <c r="M330" s="60"/>
      <c r="N330" s="30"/>
      <c r="O330" s="30"/>
    </row>
    <row r="331" ht="14.25" customHeight="1">
      <c r="A331" s="37"/>
      <c r="B331" s="28"/>
      <c r="C331" s="1"/>
      <c r="D331" s="28"/>
      <c r="E331" s="1"/>
      <c r="F331" s="28"/>
      <c r="G331" s="60"/>
      <c r="H331" s="30"/>
      <c r="I331" s="30"/>
      <c r="J331" s="37"/>
      <c r="K331" s="60"/>
      <c r="L331" s="30"/>
      <c r="M331" s="60"/>
      <c r="N331" s="30"/>
      <c r="O331" s="30"/>
    </row>
    <row r="332" ht="14.25" customHeight="1">
      <c r="A332" s="37"/>
      <c r="B332" s="28"/>
      <c r="C332" s="1"/>
      <c r="D332" s="28"/>
      <c r="E332" s="1"/>
      <c r="F332" s="28"/>
      <c r="G332" s="60"/>
      <c r="H332" s="30"/>
      <c r="I332" s="30"/>
      <c r="J332" s="37"/>
      <c r="K332" s="60"/>
      <c r="L332" s="30"/>
      <c r="M332" s="60"/>
      <c r="N332" s="30"/>
      <c r="O332" s="30"/>
    </row>
    <row r="333" ht="14.25" customHeight="1">
      <c r="A333" s="37"/>
      <c r="B333" s="28"/>
      <c r="C333" s="1"/>
      <c r="D333" s="28"/>
      <c r="E333" s="1"/>
      <c r="F333" s="28"/>
      <c r="G333" s="60"/>
      <c r="H333" s="30"/>
      <c r="I333" s="30"/>
      <c r="J333" s="37"/>
      <c r="K333" s="60"/>
      <c r="L333" s="30"/>
      <c r="M333" s="60"/>
      <c r="N333" s="30"/>
      <c r="O333" s="30"/>
    </row>
    <row r="334" ht="14.25" customHeight="1">
      <c r="A334" s="64"/>
      <c r="B334" s="65"/>
      <c r="C334" s="66"/>
      <c r="D334" s="65"/>
      <c r="E334" s="66"/>
      <c r="F334" s="64"/>
      <c r="G334" s="67"/>
      <c r="H334" s="66"/>
      <c r="I334" s="66"/>
      <c r="J334" s="64"/>
      <c r="K334" s="67"/>
      <c r="L334" s="66"/>
      <c r="M334" s="67"/>
      <c r="N334" s="30"/>
      <c r="O334" s="30"/>
    </row>
    <row r="335" ht="14.25" customHeight="1">
      <c r="A335" s="30"/>
      <c r="B335" s="30"/>
      <c r="C335" s="30"/>
      <c r="D335" s="23"/>
      <c r="E335" s="30"/>
      <c r="F335" s="30"/>
      <c r="G335" s="30"/>
      <c r="H335" s="23"/>
      <c r="I335" s="30"/>
      <c r="J335" s="30"/>
      <c r="K335" s="30"/>
      <c r="L335" s="30"/>
      <c r="M335" s="30"/>
      <c r="N335" s="30"/>
      <c r="O335" s="30"/>
    </row>
    <row r="336" ht="14.25" customHeight="1">
      <c r="A336" s="2" t="s">
        <v>2</v>
      </c>
      <c r="B336" s="3" t="s">
        <v>3</v>
      </c>
      <c r="C336" s="4">
        <f>M299+2</f>
        <v>45418</v>
      </c>
      <c r="D336" s="5" t="s">
        <v>4</v>
      </c>
      <c r="E336" s="6">
        <f>C336+1</f>
        <v>45419</v>
      </c>
      <c r="F336" s="3" t="s">
        <v>5</v>
      </c>
      <c r="G336" s="6">
        <f>E336+1</f>
        <v>45420</v>
      </c>
      <c r="H336" s="3" t="s">
        <v>6</v>
      </c>
      <c r="I336" s="6">
        <f>G336+1</f>
        <v>45421</v>
      </c>
      <c r="J336" s="3" t="s">
        <v>7</v>
      </c>
      <c r="K336" s="6">
        <f>I336+1</f>
        <v>45422</v>
      </c>
      <c r="L336" s="7" t="s">
        <v>8</v>
      </c>
      <c r="M336" s="8">
        <f>K336+1</f>
        <v>45423</v>
      </c>
      <c r="N336" s="30"/>
      <c r="O336" s="30"/>
    </row>
    <row r="337" ht="14.25" customHeight="1">
      <c r="A337" s="10">
        <f>A300+1</f>
        <v>10</v>
      </c>
      <c r="B337" s="11" t="s">
        <v>10</v>
      </c>
      <c r="C337" s="12" t="s">
        <v>11</v>
      </c>
      <c r="D337" s="11" t="s">
        <v>10</v>
      </c>
      <c r="E337" s="12" t="s">
        <v>11</v>
      </c>
      <c r="F337" s="11" t="s">
        <v>10</v>
      </c>
      <c r="G337" s="12" t="s">
        <v>11</v>
      </c>
      <c r="H337" s="11" t="s">
        <v>10</v>
      </c>
      <c r="I337" s="12" t="s">
        <v>11</v>
      </c>
      <c r="J337" s="11" t="s">
        <v>10</v>
      </c>
      <c r="K337" s="12" t="s">
        <v>11</v>
      </c>
      <c r="L337" s="11" t="s">
        <v>10</v>
      </c>
      <c r="M337" s="12" t="s">
        <v>11</v>
      </c>
      <c r="N337" s="30"/>
      <c r="O337" s="30"/>
    </row>
    <row r="338" ht="14.25" customHeight="1">
      <c r="A338" s="13" t="s">
        <v>12</v>
      </c>
      <c r="B338" s="70" t="s">
        <v>110</v>
      </c>
      <c r="C338" s="17"/>
      <c r="D338" s="18" t="s">
        <v>14</v>
      </c>
      <c r="E338" s="17"/>
      <c r="F338" s="20" t="s">
        <v>111</v>
      </c>
      <c r="G338" s="17"/>
      <c r="H338" s="42" t="s">
        <v>15</v>
      </c>
      <c r="I338" s="17"/>
      <c r="J338" s="20" t="s">
        <v>112</v>
      </c>
      <c r="K338" s="17"/>
      <c r="L338" s="72" t="s">
        <v>14</v>
      </c>
      <c r="M338" s="17"/>
      <c r="N338" s="30"/>
      <c r="O338" s="30"/>
    </row>
    <row r="339" ht="14.25" customHeight="1">
      <c r="A339" s="13"/>
      <c r="B339" s="46">
        <v>65.0</v>
      </c>
      <c r="C339" s="22">
        <v>8.0</v>
      </c>
      <c r="D339" s="23" t="s">
        <v>76</v>
      </c>
      <c r="E339" s="24" t="s">
        <v>77</v>
      </c>
      <c r="F339" s="46">
        <v>65.0</v>
      </c>
      <c r="G339" s="48">
        <v>8.0</v>
      </c>
      <c r="H339" s="52" t="s">
        <v>78</v>
      </c>
      <c r="I339" s="26"/>
      <c r="J339" s="46">
        <v>80.0</v>
      </c>
      <c r="K339" s="48">
        <v>8.0</v>
      </c>
      <c r="L339" s="52" t="s">
        <v>79</v>
      </c>
      <c r="M339" s="24"/>
      <c r="N339" s="30"/>
      <c r="O339" s="30"/>
    </row>
    <row r="340" ht="14.25" customHeight="1">
      <c r="A340" s="28" t="s">
        <v>20</v>
      </c>
      <c r="B340" s="46">
        <v>70.0</v>
      </c>
      <c r="C340" s="22">
        <v>8.0</v>
      </c>
      <c r="D340" s="23" t="s">
        <v>80</v>
      </c>
      <c r="E340" s="26" t="s">
        <v>81</v>
      </c>
      <c r="F340" s="46">
        <v>70.0</v>
      </c>
      <c r="G340" s="48">
        <v>8.0</v>
      </c>
      <c r="H340" s="32"/>
      <c r="I340" s="26"/>
      <c r="J340" s="46">
        <v>85.0</v>
      </c>
      <c r="K340" s="48">
        <v>8.0</v>
      </c>
      <c r="L340" s="32" t="s">
        <v>82</v>
      </c>
      <c r="M340" s="24"/>
      <c r="N340" s="30"/>
      <c r="O340" s="30"/>
    </row>
    <row r="341" ht="14.25" customHeight="1">
      <c r="A341" s="29" t="s">
        <v>22</v>
      </c>
      <c r="B341" s="46">
        <v>72.5</v>
      </c>
      <c r="C341" s="22">
        <v>8.0</v>
      </c>
      <c r="D341" s="30" t="s">
        <v>83</v>
      </c>
      <c r="E341" s="26" t="s">
        <v>84</v>
      </c>
      <c r="F341" s="46">
        <v>72.5</v>
      </c>
      <c r="G341" s="48">
        <v>8.0</v>
      </c>
      <c r="H341" s="23"/>
      <c r="I341" s="26"/>
      <c r="J341" s="46">
        <v>87.5</v>
      </c>
      <c r="K341" s="48">
        <v>8.0</v>
      </c>
      <c r="L341" s="23"/>
      <c r="M341" s="24"/>
      <c r="N341" s="30"/>
      <c r="O341" s="30"/>
    </row>
    <row r="342" ht="14.25" customHeight="1">
      <c r="A342" s="28" t="s">
        <v>23</v>
      </c>
      <c r="B342" s="46">
        <v>75.0</v>
      </c>
      <c r="C342" s="22">
        <v>8.0</v>
      </c>
      <c r="D342" s="23" t="s">
        <v>85</v>
      </c>
      <c r="E342" s="26"/>
      <c r="F342" s="47">
        <v>75.0</v>
      </c>
      <c r="G342" s="48">
        <v>8.0</v>
      </c>
      <c r="H342" s="31"/>
      <c r="I342" s="24"/>
      <c r="J342" s="46"/>
      <c r="K342" s="22"/>
      <c r="L342" s="23"/>
      <c r="M342" s="26"/>
      <c r="N342" s="30"/>
      <c r="O342" s="30"/>
    </row>
    <row r="343" ht="14.25" customHeight="1">
      <c r="A343" s="13"/>
      <c r="B343" s="13"/>
      <c r="C343" s="24"/>
      <c r="D343" s="73" t="s">
        <v>86</v>
      </c>
      <c r="E343" s="26"/>
      <c r="F343" s="13"/>
      <c r="G343" s="34"/>
      <c r="H343" s="13"/>
      <c r="I343" s="34"/>
      <c r="J343" s="13"/>
      <c r="K343" s="24"/>
      <c r="L343" s="13"/>
      <c r="M343" s="24"/>
      <c r="N343" s="30"/>
      <c r="O343" s="30"/>
    </row>
    <row r="344" ht="14.25" customHeight="1">
      <c r="A344" s="28" t="s">
        <v>113</v>
      </c>
      <c r="B344" s="35" t="s">
        <v>25</v>
      </c>
      <c r="C344" s="58">
        <f>C339*B339 + B340*C340 + B341*C341 + B342*C342 + B343*C343</f>
        <v>2260</v>
      </c>
      <c r="D344" s="57" t="s">
        <v>25</v>
      </c>
      <c r="E344" s="55" t="str">
        <f>E339*D339 + D340*#REF! + E340*E341 + D342*E342 + D343*E343</f>
        <v>#VALUE!</v>
      </c>
      <c r="F344" s="35" t="s">
        <v>25</v>
      </c>
      <c r="G344" s="56">
        <f>G339*F339 + F340*G340 + F341*G341 + F342*G342 + F343*G343</f>
        <v>2260</v>
      </c>
      <c r="H344" s="35" t="s">
        <v>25</v>
      </c>
      <c r="I344" s="56" t="str">
        <f>I339*H339 + H340*I340 + H341*I341 + H342*I342 + H343*I343</f>
        <v>#VALUE!</v>
      </c>
      <c r="J344" s="35" t="s">
        <v>25</v>
      </c>
      <c r="K344" s="58">
        <f>K339*J339 + J340*K340 + J341*K341 + J342*K342 + J343*K343</f>
        <v>2020</v>
      </c>
      <c r="L344" s="35" t="s">
        <v>25</v>
      </c>
      <c r="M344" s="36" t="str">
        <f>M339*L339 + L340*M340 + L341*M341 + L342*M342 + L343*M343</f>
        <v>#VALUE!</v>
      </c>
      <c r="N344" s="30"/>
      <c r="O344" s="30"/>
    </row>
    <row r="345" ht="14.25" customHeight="1">
      <c r="A345" s="37"/>
      <c r="B345" s="39" t="s">
        <v>26</v>
      </c>
      <c r="C345" s="116">
        <f>(B339*C339 + B340*C340 + B341*C341 + B342*C342 + B343*C343)/SUM(C339:C343)</f>
        <v>70.625</v>
      </c>
      <c r="D345" s="31" t="s">
        <v>26</v>
      </c>
      <c r="E345" s="74" t="str">
        <f>(D339*E339 + D340*#REF! + E340*E341 + D342*E342 + D343*E343)/SUM(E339:E343)</f>
        <v>#VALUE!</v>
      </c>
      <c r="F345" s="13" t="s">
        <v>26</v>
      </c>
      <c r="G345" s="117">
        <f>(F339*G339 + F340*G340 + F341*G341 + F342*G342 + F343*G343)/SUM(G339:G343)</f>
        <v>70.625</v>
      </c>
      <c r="H345" s="13" t="s">
        <v>26</v>
      </c>
      <c r="I345" s="74" t="str">
        <f>(H339*I339 + H340*I340 + H341*I341 + H342*I342 + H343*I343)/SUM(I339:I343)</f>
        <v>#VALUE!</v>
      </c>
      <c r="J345" s="39" t="s">
        <v>26</v>
      </c>
      <c r="K345" s="116">
        <f>(J339*K339 + J340*K340 + J341*K341 + J342*K342 + J343*K343)/SUM(K339:K343)</f>
        <v>84.16666667</v>
      </c>
      <c r="L345" s="13" t="s">
        <v>26</v>
      </c>
      <c r="M345" s="75" t="str">
        <f>(L339*M339 + L340*M340 + L341*M341 + L342*M342 + L343*M343)/SUM(M339:M343)</f>
        <v>#VALUE!</v>
      </c>
      <c r="N345" s="30"/>
      <c r="O345" s="30"/>
    </row>
    <row r="346" ht="14.25" customHeight="1">
      <c r="A346" s="28" t="s">
        <v>27</v>
      </c>
      <c r="B346" s="11" t="s">
        <v>10</v>
      </c>
      <c r="C346" s="12" t="s">
        <v>11</v>
      </c>
      <c r="D346" s="11" t="s">
        <v>10</v>
      </c>
      <c r="E346" s="12" t="s">
        <v>11</v>
      </c>
      <c r="F346" s="11" t="s">
        <v>10</v>
      </c>
      <c r="G346" s="12" t="s">
        <v>11</v>
      </c>
      <c r="H346" s="11" t="s">
        <v>10</v>
      </c>
      <c r="I346" s="12" t="s">
        <v>11</v>
      </c>
      <c r="J346" s="11" t="s">
        <v>10</v>
      </c>
      <c r="K346" s="12" t="s">
        <v>11</v>
      </c>
      <c r="L346" s="11" t="s">
        <v>10</v>
      </c>
      <c r="M346" s="12" t="s">
        <v>11</v>
      </c>
      <c r="N346" s="30"/>
      <c r="O346" s="30"/>
    </row>
    <row r="347" ht="14.25" customHeight="1">
      <c r="A347" s="41" t="s">
        <v>28</v>
      </c>
      <c r="B347" s="20" t="s">
        <v>114</v>
      </c>
      <c r="C347" s="17"/>
      <c r="D347" s="45" t="s">
        <v>88</v>
      </c>
      <c r="E347" s="76" t="s">
        <v>49</v>
      </c>
      <c r="F347" s="68" t="s">
        <v>115</v>
      </c>
      <c r="G347" s="17"/>
      <c r="H347" s="42" t="s">
        <v>89</v>
      </c>
      <c r="I347" s="44" t="s">
        <v>90</v>
      </c>
      <c r="J347" s="70" t="s">
        <v>68</v>
      </c>
      <c r="K347" s="17"/>
      <c r="L347" s="42" t="s">
        <v>91</v>
      </c>
      <c r="M347" s="44" t="s">
        <v>90</v>
      </c>
      <c r="N347" s="30"/>
      <c r="O347" s="30"/>
    </row>
    <row r="348" ht="14.25" customHeight="1">
      <c r="A348" s="28"/>
      <c r="B348" s="46">
        <v>80.0</v>
      </c>
      <c r="C348" s="22">
        <v>8.0</v>
      </c>
      <c r="D348" s="23">
        <v>30.0</v>
      </c>
      <c r="E348" s="54"/>
      <c r="F348" s="46">
        <v>65.0</v>
      </c>
      <c r="G348" s="22">
        <v>8.0</v>
      </c>
      <c r="H348" s="32" t="s">
        <v>94</v>
      </c>
      <c r="I348" s="24"/>
      <c r="J348" s="28">
        <v>70.0</v>
      </c>
      <c r="K348" s="54">
        <v>8.0</v>
      </c>
      <c r="L348" s="32" t="s">
        <v>95</v>
      </c>
      <c r="M348" s="26"/>
      <c r="N348" s="30"/>
      <c r="O348" s="30"/>
    </row>
    <row r="349" ht="14.25" customHeight="1">
      <c r="A349" s="28" t="s">
        <v>37</v>
      </c>
      <c r="B349" s="46">
        <v>85.0</v>
      </c>
      <c r="C349" s="22">
        <v>8.0</v>
      </c>
      <c r="D349" s="1">
        <v>80.0</v>
      </c>
      <c r="E349" s="54"/>
      <c r="F349" s="46">
        <v>70.0</v>
      </c>
      <c r="G349" s="22">
        <v>8.0</v>
      </c>
      <c r="H349" s="32" t="s">
        <v>94</v>
      </c>
      <c r="I349" s="24"/>
      <c r="J349" s="27">
        <v>75.0</v>
      </c>
      <c r="K349" s="54">
        <v>8.0</v>
      </c>
      <c r="L349" s="32" t="s">
        <v>96</v>
      </c>
      <c r="M349" s="26"/>
      <c r="N349" s="30"/>
      <c r="O349" s="30"/>
    </row>
    <row r="350" ht="14.25" customHeight="1">
      <c r="A350" s="28" t="s">
        <v>39</v>
      </c>
      <c r="B350" s="46">
        <v>90.0</v>
      </c>
      <c r="C350" s="22">
        <v>8.0</v>
      </c>
      <c r="D350" s="1">
        <v>60.0</v>
      </c>
      <c r="E350" s="54"/>
      <c r="F350" s="46">
        <v>75.0</v>
      </c>
      <c r="G350" s="22">
        <v>8.0</v>
      </c>
      <c r="H350" s="32" t="s">
        <v>98</v>
      </c>
      <c r="I350" s="24"/>
      <c r="J350" s="27">
        <v>80.0</v>
      </c>
      <c r="K350" s="54">
        <v>8.0</v>
      </c>
      <c r="L350" s="32" t="s">
        <v>99</v>
      </c>
      <c r="M350" s="26"/>
      <c r="N350" s="30"/>
      <c r="O350" s="30"/>
    </row>
    <row r="351" ht="14.25" customHeight="1">
      <c r="A351" s="28"/>
      <c r="B351" s="46">
        <v>95.0</v>
      </c>
      <c r="C351" s="22">
        <v>8.0</v>
      </c>
      <c r="D351" s="23">
        <v>100.0</v>
      </c>
      <c r="E351" s="54"/>
      <c r="F351" s="46">
        <v>80.0</v>
      </c>
      <c r="G351" s="22">
        <v>8.0</v>
      </c>
      <c r="H351" s="32" t="s">
        <v>98</v>
      </c>
      <c r="I351" s="24"/>
      <c r="J351" s="46"/>
      <c r="K351" s="22"/>
      <c r="L351" s="32" t="s">
        <v>100</v>
      </c>
      <c r="M351" s="26"/>
      <c r="N351" s="30"/>
      <c r="O351" s="30"/>
    </row>
    <row r="352" ht="14.25" customHeight="1">
      <c r="A352" s="28" t="s">
        <v>41</v>
      </c>
      <c r="B352" s="13"/>
      <c r="C352" s="24"/>
      <c r="D352" s="1" t="s">
        <v>101</v>
      </c>
      <c r="E352" s="24"/>
      <c r="F352" s="31"/>
      <c r="G352" s="24"/>
      <c r="H352" s="32" t="s">
        <v>102</v>
      </c>
      <c r="I352" s="24"/>
      <c r="J352" s="31"/>
      <c r="K352" s="24"/>
      <c r="L352" s="32" t="s">
        <v>99</v>
      </c>
      <c r="M352" s="24"/>
      <c r="N352" s="30"/>
      <c r="O352" s="30"/>
    </row>
    <row r="353" ht="14.25" customHeight="1">
      <c r="A353" s="28" t="s">
        <v>43</v>
      </c>
      <c r="B353" s="13"/>
      <c r="C353" s="34"/>
      <c r="D353" s="28" t="s">
        <v>103</v>
      </c>
      <c r="E353" s="34"/>
      <c r="F353" s="13"/>
      <c r="G353" s="34"/>
      <c r="H353" s="32" t="s">
        <v>102</v>
      </c>
      <c r="I353" s="24"/>
      <c r="J353" s="13"/>
      <c r="K353" s="24"/>
      <c r="L353" s="32"/>
      <c r="M353" s="24" t="s">
        <v>42</v>
      </c>
      <c r="N353" s="30"/>
      <c r="O353" s="30"/>
    </row>
    <row r="354" ht="14.25" customHeight="1">
      <c r="A354" s="28"/>
      <c r="B354" s="35" t="s">
        <v>25</v>
      </c>
      <c r="C354" s="55">
        <f>C348*B348 + B349*C349 + B350*C350 + B351*C351 + B353*C353</f>
        <v>2800</v>
      </c>
      <c r="D354" s="35" t="s">
        <v>25</v>
      </c>
      <c r="E354" s="55" t="str">
        <f>E348*D348 + D349*E349 + D350*E350 + D351*E351 + D353*E353</f>
        <v>#VALUE!</v>
      </c>
      <c r="F354" s="35" t="s">
        <v>25</v>
      </c>
      <c r="G354" s="55">
        <f>G348*F348 + F349*G349 + F350*G350 + F351*G351 + F353*G353</f>
        <v>2320</v>
      </c>
      <c r="H354" s="35" t="s">
        <v>25</v>
      </c>
      <c r="I354" s="56" t="str">
        <f>I348*H348 + H349*I349 + H350*I350 + H351*I351 + H353*I353</f>
        <v>#VALUE!</v>
      </c>
      <c r="J354" s="35" t="s">
        <v>25</v>
      </c>
      <c r="K354" s="36">
        <f>K348*J348 + J349*K349 + J350*K350 + J351*K351 + J353*K353</f>
        <v>1800</v>
      </c>
      <c r="L354" s="35" t="s">
        <v>25</v>
      </c>
      <c r="M354" s="36" t="str">
        <f>M348*L348 + L349*M349 + L350*M350 + L351*M351 + L353*M353</f>
        <v>#VALUE!</v>
      </c>
      <c r="N354" s="30"/>
      <c r="O354" s="30"/>
    </row>
    <row r="355" ht="14.25" customHeight="1">
      <c r="A355" s="28" t="s">
        <v>116</v>
      </c>
      <c r="B355" s="39" t="s">
        <v>26</v>
      </c>
      <c r="C355" s="77">
        <f>(B348*C348 + B349*C349 + B350*C350 + B351*C351 + B353*C353)/SUM(C348:C353)</f>
        <v>87.5</v>
      </c>
      <c r="D355" s="39" t="s">
        <v>26</v>
      </c>
      <c r="E355" s="77" t="str">
        <f>(D348*E348 + D349*E349 + D350*E350 + D351*E351 + D353*E353)/SUM(E348:E353)</f>
        <v>#VALUE!</v>
      </c>
      <c r="F355" s="39" t="s">
        <v>26</v>
      </c>
      <c r="G355" s="77">
        <f>(F348*G348 + F349*G349 + F350*G350 + F351*G351 + F353*G353)/SUM(G348:G353)</f>
        <v>72.5</v>
      </c>
      <c r="H355" s="39" t="s">
        <v>26</v>
      </c>
      <c r="I355" s="77" t="str">
        <f>(H348*I348 + H349*I349 + H350*I350 + H351*I351 + H353*I353)/SUM(I348:I353)</f>
        <v>#VALUE!</v>
      </c>
      <c r="J355" s="39" t="s">
        <v>26</v>
      </c>
      <c r="K355" s="40">
        <f>(J348*K348 + J349*K349 + J350*K350 + J351*K351 + J353*K353)/SUM(K348:K353)</f>
        <v>75</v>
      </c>
      <c r="L355" s="39" t="s">
        <v>26</v>
      </c>
      <c r="M355" s="40" t="str">
        <f>(L348*M348 + L349*M349 + L350*M350 + L351*M351 + L353*M353)/SUM(M348:M353)</f>
        <v>#VALUE!</v>
      </c>
      <c r="N355" s="30"/>
      <c r="O355" s="30"/>
    </row>
    <row r="356" ht="14.25" customHeight="1">
      <c r="A356" s="28" t="s">
        <v>117</v>
      </c>
      <c r="B356" s="70" t="s">
        <v>71</v>
      </c>
      <c r="C356" s="17"/>
      <c r="D356" s="45" t="s">
        <v>88</v>
      </c>
      <c r="E356" s="17"/>
      <c r="F356" s="70" t="s">
        <v>71</v>
      </c>
      <c r="G356" s="17"/>
      <c r="H356" s="49" t="s">
        <v>33</v>
      </c>
      <c r="I356" s="17"/>
      <c r="J356" s="70" t="s">
        <v>71</v>
      </c>
      <c r="K356" s="17"/>
      <c r="L356" s="42" t="s">
        <v>105</v>
      </c>
      <c r="M356" s="44" t="s">
        <v>49</v>
      </c>
      <c r="N356" s="30"/>
      <c r="O356" s="30"/>
    </row>
    <row r="357" ht="14.25" customHeight="1">
      <c r="A357" s="28" t="s">
        <v>120</v>
      </c>
      <c r="B357" s="28">
        <v>65.0</v>
      </c>
      <c r="C357" s="54">
        <v>8.0</v>
      </c>
      <c r="D357" s="78">
        <v>30.0</v>
      </c>
      <c r="E357" s="24"/>
      <c r="F357" s="28">
        <v>60.0</v>
      </c>
      <c r="G357" s="54">
        <v>8.0</v>
      </c>
      <c r="H357" s="23"/>
      <c r="I357" s="24"/>
      <c r="J357" s="28">
        <v>65.0</v>
      </c>
      <c r="K357" s="54">
        <v>8.0</v>
      </c>
      <c r="L357" s="32" t="s">
        <v>106</v>
      </c>
      <c r="M357" s="24"/>
      <c r="N357" s="30"/>
      <c r="O357" s="30"/>
    </row>
    <row r="358" ht="14.25" customHeight="1">
      <c r="A358" s="28"/>
      <c r="B358" s="27">
        <v>70.0</v>
      </c>
      <c r="C358" s="54">
        <v>8.0</v>
      </c>
      <c r="D358" s="21">
        <v>100.0</v>
      </c>
      <c r="E358" s="26"/>
      <c r="F358" s="27">
        <v>65.0</v>
      </c>
      <c r="G358" s="54">
        <v>8.0</v>
      </c>
      <c r="H358" s="23"/>
      <c r="I358" s="24"/>
      <c r="J358" s="27">
        <v>70.0</v>
      </c>
      <c r="K358" s="54">
        <v>8.0</v>
      </c>
      <c r="L358" s="32" t="s">
        <v>107</v>
      </c>
      <c r="M358" s="26"/>
      <c r="N358" s="30"/>
      <c r="O358" s="30"/>
    </row>
    <row r="359" ht="14.25" customHeight="1">
      <c r="A359" s="28" t="s">
        <v>121</v>
      </c>
      <c r="B359" s="27">
        <v>75.0</v>
      </c>
      <c r="C359" s="54">
        <v>8.0</v>
      </c>
      <c r="D359" s="46">
        <v>80.0</v>
      </c>
      <c r="E359" s="24"/>
      <c r="F359" s="27">
        <v>70.0</v>
      </c>
      <c r="G359" s="54">
        <v>8.0</v>
      </c>
      <c r="H359" s="23"/>
      <c r="I359" s="24"/>
      <c r="J359" s="27">
        <v>72.5</v>
      </c>
      <c r="K359" s="54">
        <v>8.0</v>
      </c>
      <c r="L359" s="32" t="s">
        <v>108</v>
      </c>
      <c r="M359" s="24"/>
      <c r="N359" s="30"/>
      <c r="O359" s="30"/>
    </row>
    <row r="360" ht="14.25" customHeight="1">
      <c r="A360" s="28" t="s">
        <v>122</v>
      </c>
      <c r="B360" s="28"/>
      <c r="C360" s="79"/>
      <c r="D360" s="46">
        <v>60.0</v>
      </c>
      <c r="E360" s="79"/>
      <c r="F360" s="28"/>
      <c r="G360" s="34"/>
      <c r="H360" s="28"/>
      <c r="I360" s="34"/>
      <c r="J360" s="28"/>
      <c r="K360" s="54"/>
      <c r="L360" s="32" t="s">
        <v>109</v>
      </c>
      <c r="M360" s="24"/>
      <c r="N360" s="30"/>
      <c r="O360" s="30"/>
    </row>
    <row r="361" ht="14.25" customHeight="1">
      <c r="A361" s="28" t="s">
        <v>123</v>
      </c>
      <c r="B361" s="13"/>
      <c r="C361" s="34"/>
      <c r="D361" s="21">
        <v>30.0</v>
      </c>
      <c r="E361" s="34"/>
      <c r="F361" s="13"/>
      <c r="G361" s="34"/>
      <c r="H361" s="28"/>
      <c r="I361" s="34"/>
      <c r="J361" s="13"/>
      <c r="K361" s="24"/>
      <c r="L361" s="31"/>
      <c r="M361" s="24"/>
      <c r="N361" s="30"/>
      <c r="O361" s="30"/>
    </row>
    <row r="362" ht="14.25" customHeight="1">
      <c r="A362" s="13"/>
      <c r="B362" s="35" t="s">
        <v>25</v>
      </c>
      <c r="C362" s="55">
        <f>C357*B357 + B358*C358 + B359*C359 + B360*C360 + B361*C361</f>
        <v>1680</v>
      </c>
      <c r="D362" s="35" t="s">
        <v>25</v>
      </c>
      <c r="E362" s="55">
        <f>E357*D357 + D358*E358 + D359*E359 + D360*E360 + D361*E361</f>
        <v>0</v>
      </c>
      <c r="F362" s="35" t="s">
        <v>25</v>
      </c>
      <c r="G362" s="55">
        <f>G357*F357 + F358*G358 + F359*G359 + F360*G360 + F361*G361</f>
        <v>1560</v>
      </c>
      <c r="H362" s="35" t="s">
        <v>25</v>
      </c>
      <c r="I362" s="56">
        <f>I357*H357 + H358*I358 + H359*I359 + H360*I360 + H361*I361</f>
        <v>0</v>
      </c>
      <c r="J362" s="35" t="s">
        <v>25</v>
      </c>
      <c r="K362" s="36">
        <f>K357*J357 + J358*K358 + J359*K359 + J360*K360 + J361*K361</f>
        <v>1660</v>
      </c>
      <c r="L362" s="57" t="s">
        <v>25</v>
      </c>
      <c r="M362" s="58" t="str">
        <f>M357*L357 + L358*M358 + L359*M359 + L360*M360 + L361*M361</f>
        <v>#VALUE!</v>
      </c>
      <c r="N362" s="30"/>
      <c r="O362" s="30"/>
    </row>
    <row r="363" ht="14.25" customHeight="1">
      <c r="A363" s="13"/>
      <c r="B363" s="39" t="s">
        <v>26</v>
      </c>
      <c r="C363" s="40">
        <f>(B357*C357 + B358*C358 + B359*C359 + B360*C360 + B361*C361)/SUM(C357:C361)</f>
        <v>70</v>
      </c>
      <c r="D363" s="59" t="s">
        <v>26</v>
      </c>
      <c r="E363" s="40" t="str">
        <f>(D357*E357 + D358*E358 + D359*E359 + D360*E360 + D361*E361)/SUM(E357:E361)</f>
        <v>#DIV/0!</v>
      </c>
      <c r="F363" s="31" t="s">
        <v>26</v>
      </c>
      <c r="G363" s="75">
        <f>(F357*G357 + F358*G358 + F359*G359 + F360*G360 + F361*G361)/SUM(G357:G361)</f>
        <v>65</v>
      </c>
      <c r="H363" s="59" t="s">
        <v>26</v>
      </c>
      <c r="I363" s="40" t="str">
        <f>(H357*I357 + H358*I358 + H359*I359 + H360*I360 + H361*I361)/SUM(I357:I361)</f>
        <v>#DIV/0!</v>
      </c>
      <c r="J363" s="39" t="s">
        <v>26</v>
      </c>
      <c r="K363" s="40">
        <f>(J357*K357 + J358*K358 + J359*K359 + J360*K360 + J361*K361)/SUM(K357:K361)</f>
        <v>69.16666667</v>
      </c>
      <c r="L363" s="59" t="s">
        <v>26</v>
      </c>
      <c r="M363" s="40" t="str">
        <f>(L357*M357 + L358*M358 + L359*M359 + L360*M360 + L361*M361)/SUM(M357:M361)</f>
        <v>#VALUE!</v>
      </c>
      <c r="N363" s="30"/>
      <c r="O363" s="30"/>
    </row>
    <row r="364" ht="14.25" customHeight="1">
      <c r="A364" s="28" t="s">
        <v>124</v>
      </c>
      <c r="B364" s="28"/>
      <c r="C364" s="30" t="s">
        <v>49</v>
      </c>
      <c r="D364" s="37"/>
      <c r="E364" s="30" t="s">
        <v>49</v>
      </c>
      <c r="F364" s="120"/>
      <c r="G364" s="121" t="s">
        <v>49</v>
      </c>
      <c r="H364" s="122" t="s">
        <v>33</v>
      </c>
      <c r="I364" s="30"/>
      <c r="J364" s="28"/>
      <c r="K364" s="60" t="s">
        <v>49</v>
      </c>
      <c r="L364" s="30"/>
      <c r="M364" s="60" t="s">
        <v>49</v>
      </c>
      <c r="N364" s="30"/>
      <c r="O364" s="30"/>
    </row>
    <row r="365" ht="14.25" customHeight="1">
      <c r="A365" s="28" t="s">
        <v>125</v>
      </c>
      <c r="B365" s="27" t="s">
        <v>178</v>
      </c>
      <c r="C365" s="60"/>
      <c r="D365" s="23"/>
      <c r="E365" s="61"/>
      <c r="F365" s="27" t="s">
        <v>178</v>
      </c>
      <c r="G365" s="61"/>
      <c r="H365" s="30"/>
      <c r="I365" s="60"/>
      <c r="J365" s="27" t="s">
        <v>178</v>
      </c>
      <c r="K365" s="60"/>
      <c r="L365" s="62"/>
      <c r="M365" s="60"/>
      <c r="N365" s="30"/>
      <c r="O365" s="30"/>
    </row>
    <row r="366" ht="14.25" customHeight="1">
      <c r="A366" s="37"/>
      <c r="B366" s="52" t="s">
        <v>53</v>
      </c>
      <c r="C366" s="60"/>
      <c r="D366" s="23"/>
      <c r="E366" s="60"/>
      <c r="F366" s="53" t="s">
        <v>53</v>
      </c>
      <c r="G366" s="60"/>
      <c r="H366" s="30"/>
      <c r="I366" s="60"/>
      <c r="J366" s="53" t="s">
        <v>53</v>
      </c>
      <c r="K366" s="60"/>
      <c r="L366" s="30"/>
      <c r="M366" s="60"/>
      <c r="N366" s="30"/>
      <c r="O366" s="30"/>
    </row>
    <row r="367" ht="14.25" customHeight="1">
      <c r="A367" s="37"/>
      <c r="B367" s="32" t="s">
        <v>54</v>
      </c>
      <c r="C367" s="60"/>
      <c r="D367" s="23"/>
      <c r="E367" s="60"/>
      <c r="F367" s="23" t="s">
        <v>54</v>
      </c>
      <c r="G367" s="60"/>
      <c r="H367" s="30"/>
      <c r="I367" s="60"/>
      <c r="J367" s="30" t="s">
        <v>54</v>
      </c>
      <c r="K367" s="60"/>
      <c r="L367" s="30"/>
      <c r="M367" s="60"/>
      <c r="N367" s="30"/>
      <c r="O367" s="30"/>
    </row>
    <row r="368" ht="14.25" customHeight="1">
      <c r="A368" s="37"/>
      <c r="B368" s="28"/>
      <c r="C368" s="1"/>
      <c r="D368" s="28"/>
      <c r="E368" s="1"/>
      <c r="F368" s="28"/>
      <c r="G368" s="60"/>
      <c r="H368" s="30"/>
      <c r="I368" s="30"/>
      <c r="J368" s="37"/>
      <c r="K368" s="60"/>
      <c r="L368" s="30"/>
      <c r="M368" s="60"/>
      <c r="N368" s="30"/>
      <c r="O368" s="30"/>
    </row>
    <row r="369" ht="14.25" customHeight="1">
      <c r="A369" s="37"/>
      <c r="B369" s="28"/>
      <c r="C369" s="1"/>
      <c r="D369" s="28"/>
      <c r="E369" s="1"/>
      <c r="F369" s="28"/>
      <c r="G369" s="60"/>
      <c r="H369" s="30"/>
      <c r="I369" s="30"/>
      <c r="J369" s="37"/>
      <c r="K369" s="60"/>
      <c r="L369" s="30"/>
      <c r="M369" s="60"/>
      <c r="N369" s="30"/>
      <c r="O369" s="30"/>
    </row>
    <row r="370" ht="14.25" customHeight="1">
      <c r="A370" s="37"/>
      <c r="B370" s="28"/>
      <c r="C370" s="1"/>
      <c r="D370" s="28"/>
      <c r="E370" s="1"/>
      <c r="F370" s="28"/>
      <c r="G370" s="60"/>
      <c r="H370" s="30"/>
      <c r="I370" s="30"/>
      <c r="J370" s="37"/>
      <c r="K370" s="60"/>
      <c r="L370" s="30"/>
      <c r="M370" s="60"/>
      <c r="N370" s="30"/>
      <c r="O370" s="30"/>
    </row>
    <row r="371" ht="14.25" customHeight="1">
      <c r="A371" s="64"/>
      <c r="B371" s="65"/>
      <c r="C371" s="66"/>
      <c r="D371" s="65"/>
      <c r="E371" s="66"/>
      <c r="F371" s="64"/>
      <c r="G371" s="67"/>
      <c r="H371" s="66"/>
      <c r="I371" s="66"/>
      <c r="J371" s="64"/>
      <c r="K371" s="67"/>
      <c r="L371" s="66"/>
      <c r="M371" s="67"/>
      <c r="N371" s="30"/>
      <c r="O371" s="30"/>
    </row>
    <row r="372" ht="14.25" customHeight="1">
      <c r="A372" s="30"/>
      <c r="B372" s="30"/>
      <c r="C372" s="30"/>
      <c r="D372" s="23"/>
      <c r="E372" s="30"/>
      <c r="F372" s="30"/>
      <c r="G372" s="30"/>
      <c r="H372" s="23"/>
      <c r="I372" s="30"/>
      <c r="J372" s="30"/>
      <c r="K372" s="30"/>
      <c r="L372" s="30"/>
      <c r="M372" s="30"/>
      <c r="N372" s="30"/>
      <c r="O372" s="30"/>
    </row>
    <row r="373" ht="14.25" customHeight="1">
      <c r="A373" s="2" t="s">
        <v>2</v>
      </c>
      <c r="B373" s="3" t="s">
        <v>3</v>
      </c>
      <c r="C373" s="4">
        <f>M336+2</f>
        <v>45425</v>
      </c>
      <c r="D373" s="5" t="s">
        <v>4</v>
      </c>
      <c r="E373" s="6">
        <f>C373+1</f>
        <v>45426</v>
      </c>
      <c r="F373" s="3" t="s">
        <v>5</v>
      </c>
      <c r="G373" s="6">
        <f>E373+1</f>
        <v>45427</v>
      </c>
      <c r="H373" s="3" t="s">
        <v>6</v>
      </c>
      <c r="I373" s="6">
        <f>G373+1</f>
        <v>45428</v>
      </c>
      <c r="J373" s="3" t="s">
        <v>7</v>
      </c>
      <c r="K373" s="6">
        <f>I373+1</f>
        <v>45429</v>
      </c>
      <c r="L373" s="7" t="s">
        <v>8</v>
      </c>
      <c r="M373" s="8">
        <f>K373+1</f>
        <v>45430</v>
      </c>
      <c r="N373" s="30"/>
      <c r="O373" s="30"/>
    </row>
    <row r="374" ht="14.25" customHeight="1">
      <c r="A374" s="10">
        <f>A337+1</f>
        <v>11</v>
      </c>
      <c r="B374" s="11" t="s">
        <v>10</v>
      </c>
      <c r="C374" s="12" t="s">
        <v>11</v>
      </c>
      <c r="D374" s="11" t="s">
        <v>10</v>
      </c>
      <c r="E374" s="12" t="s">
        <v>11</v>
      </c>
      <c r="F374" s="11" t="s">
        <v>10</v>
      </c>
      <c r="G374" s="12" t="s">
        <v>11</v>
      </c>
      <c r="H374" s="11" t="s">
        <v>10</v>
      </c>
      <c r="I374" s="12" t="s">
        <v>11</v>
      </c>
      <c r="J374" s="11" t="s">
        <v>10</v>
      </c>
      <c r="K374" s="12" t="s">
        <v>11</v>
      </c>
      <c r="L374" s="11" t="s">
        <v>10</v>
      </c>
      <c r="M374" s="12" t="s">
        <v>11</v>
      </c>
      <c r="N374" s="30"/>
      <c r="O374" s="30"/>
    </row>
    <row r="375" ht="14.25" customHeight="1">
      <c r="A375" s="13" t="s">
        <v>12</v>
      </c>
      <c r="B375" s="70" t="s">
        <v>127</v>
      </c>
      <c r="C375" s="76"/>
      <c r="D375" s="18" t="s">
        <v>14</v>
      </c>
      <c r="E375" s="17"/>
      <c r="F375" s="20" t="s">
        <v>128</v>
      </c>
      <c r="G375" s="17"/>
      <c r="H375" s="42" t="s">
        <v>15</v>
      </c>
      <c r="I375" s="17"/>
      <c r="J375" s="20" t="s">
        <v>111</v>
      </c>
      <c r="K375" s="17"/>
      <c r="L375" s="72" t="s">
        <v>14</v>
      </c>
      <c r="M375" s="17"/>
      <c r="N375" s="30"/>
      <c r="O375" s="30"/>
    </row>
    <row r="376" ht="14.25" customHeight="1">
      <c r="A376" s="13"/>
      <c r="B376" s="46">
        <v>70.0</v>
      </c>
      <c r="C376" s="22">
        <v>8.0</v>
      </c>
      <c r="D376" s="1" t="s">
        <v>129</v>
      </c>
      <c r="E376" s="24" t="s">
        <v>77</v>
      </c>
      <c r="F376" s="46">
        <v>85.0</v>
      </c>
      <c r="G376" s="48">
        <v>8.0</v>
      </c>
      <c r="H376" s="27" t="s">
        <v>130</v>
      </c>
      <c r="I376" s="26"/>
      <c r="J376" s="46">
        <v>72.5</v>
      </c>
      <c r="K376" s="48">
        <v>8.0</v>
      </c>
      <c r="L376" s="52" t="s">
        <v>79</v>
      </c>
      <c r="M376" s="24"/>
      <c r="N376" s="30"/>
      <c r="O376" s="30"/>
    </row>
    <row r="377" ht="14.25" customHeight="1">
      <c r="A377" s="28" t="s">
        <v>20</v>
      </c>
      <c r="B377" s="46">
        <v>75.0</v>
      </c>
      <c r="C377" s="22">
        <v>8.0</v>
      </c>
      <c r="D377" s="23" t="s">
        <v>80</v>
      </c>
      <c r="E377" s="26" t="s">
        <v>81</v>
      </c>
      <c r="F377" s="46">
        <v>90.0</v>
      </c>
      <c r="G377" s="48">
        <v>8.0</v>
      </c>
      <c r="H377" s="28" t="s">
        <v>131</v>
      </c>
      <c r="I377" s="26"/>
      <c r="J377" s="46">
        <v>77.5</v>
      </c>
      <c r="K377" s="48">
        <v>8.0</v>
      </c>
      <c r="L377" s="32" t="s">
        <v>82</v>
      </c>
      <c r="M377" s="24"/>
      <c r="N377" s="30"/>
      <c r="O377" s="30"/>
    </row>
    <row r="378" ht="14.25" customHeight="1">
      <c r="A378" s="29" t="s">
        <v>22</v>
      </c>
      <c r="B378" s="46">
        <v>77.5</v>
      </c>
      <c r="C378" s="48">
        <v>8.0</v>
      </c>
      <c r="D378" s="1" t="s">
        <v>132</v>
      </c>
      <c r="E378" s="26" t="s">
        <v>84</v>
      </c>
      <c r="F378" s="46">
        <v>95.0</v>
      </c>
      <c r="G378" s="48">
        <v>8.0</v>
      </c>
      <c r="H378" s="23"/>
      <c r="I378" s="26"/>
      <c r="J378" s="46">
        <v>80.0</v>
      </c>
      <c r="K378" s="48">
        <v>8.0</v>
      </c>
      <c r="L378" s="23"/>
      <c r="M378" s="24"/>
      <c r="N378" s="30"/>
      <c r="O378" s="30"/>
    </row>
    <row r="379" ht="14.25" customHeight="1">
      <c r="A379" s="28" t="s">
        <v>23</v>
      </c>
      <c r="B379" s="46">
        <v>80.0</v>
      </c>
      <c r="C379" s="22">
        <v>8.0</v>
      </c>
      <c r="D379" s="23" t="s">
        <v>85</v>
      </c>
      <c r="E379" s="26"/>
      <c r="F379" s="47">
        <v>100.0</v>
      </c>
      <c r="G379" s="48">
        <v>8.0</v>
      </c>
      <c r="H379" s="31"/>
      <c r="I379" s="24"/>
      <c r="J379" s="46"/>
      <c r="K379" s="22"/>
      <c r="L379" s="23"/>
      <c r="M379" s="26"/>
      <c r="N379" s="30"/>
      <c r="O379" s="30"/>
    </row>
    <row r="380" ht="14.25" customHeight="1">
      <c r="A380" s="13"/>
      <c r="B380" s="13"/>
      <c r="C380" s="24"/>
      <c r="D380" s="73" t="s">
        <v>86</v>
      </c>
      <c r="E380" s="26"/>
      <c r="F380" s="13"/>
      <c r="G380" s="34"/>
      <c r="H380" s="13"/>
      <c r="I380" s="34"/>
      <c r="J380" s="13"/>
      <c r="K380" s="24"/>
      <c r="L380" s="13"/>
      <c r="M380" s="24"/>
      <c r="N380" s="30"/>
      <c r="O380" s="30"/>
    </row>
    <row r="381" ht="14.25" customHeight="1">
      <c r="A381" s="28" t="s">
        <v>113</v>
      </c>
      <c r="B381" s="35" t="s">
        <v>25</v>
      </c>
      <c r="C381" s="58">
        <f>C376*B376 + B377*C377 + B378*C378 + B379*C379 + B380*C380</f>
        <v>2420</v>
      </c>
      <c r="D381" s="57" t="s">
        <v>25</v>
      </c>
      <c r="E381" s="55" t="str">
        <f>E376*D376 + D377*#REF! + E377*E378 + D379*E379 + D380*E380</f>
        <v>#VALUE!</v>
      </c>
      <c r="F381" s="35" t="s">
        <v>25</v>
      </c>
      <c r="G381" s="56">
        <f>G376*F376 + F377*G377 + F378*G378 + F379*G379 + F380*G380</f>
        <v>2960</v>
      </c>
      <c r="H381" s="35" t="s">
        <v>25</v>
      </c>
      <c r="I381" s="56" t="str">
        <f>I376*H376 + H377*I377 + H378*I378 + H379*I379 + H380*I380</f>
        <v>#VALUE!</v>
      </c>
      <c r="J381" s="35" t="s">
        <v>25</v>
      </c>
      <c r="K381" s="58">
        <f>K376*J376 + J377*K377 + J378*K378 + J379*K379 + J380*K380</f>
        <v>1840</v>
      </c>
      <c r="L381" s="35" t="s">
        <v>25</v>
      </c>
      <c r="M381" s="36" t="str">
        <f>M376*L376 + L377*M377 + L378*M378 + L379*M379 + L380*M380</f>
        <v>#VALUE!</v>
      </c>
      <c r="N381" s="30"/>
      <c r="O381" s="30"/>
    </row>
    <row r="382" ht="14.25" customHeight="1">
      <c r="A382" s="37"/>
      <c r="B382" s="39" t="s">
        <v>26</v>
      </c>
      <c r="C382" s="116">
        <f>(B376*C376 + B377*C377 + B378*C378 + B379*C379 + B380*C380)/SUM(C376:C380)</f>
        <v>75.625</v>
      </c>
      <c r="D382" s="31" t="s">
        <v>26</v>
      </c>
      <c r="E382" s="74" t="str">
        <f>(D376*E376 + D377*#REF! + E377*E378 + D379*E379 + D380*E380)/SUM(E376:E380)</f>
        <v>#VALUE!</v>
      </c>
      <c r="F382" s="13" t="s">
        <v>26</v>
      </c>
      <c r="G382" s="117">
        <f>(F376*G376 + F377*G377 + F378*G378 + F379*G379 + F380*G380)/SUM(G376:G380)</f>
        <v>92.5</v>
      </c>
      <c r="H382" s="13" t="s">
        <v>26</v>
      </c>
      <c r="I382" s="74" t="str">
        <f>(H376*I376 + H377*I377 + H378*I378 + H379*I379 + H380*I380)/SUM(I376:I380)</f>
        <v>#VALUE!</v>
      </c>
      <c r="J382" s="39" t="s">
        <v>26</v>
      </c>
      <c r="K382" s="116">
        <f>(J376*K376 + J377*K377 + J378*K378 + J379*K379 + J380*K380)/SUM(K376:K380)</f>
        <v>76.66666667</v>
      </c>
      <c r="L382" s="13" t="s">
        <v>26</v>
      </c>
      <c r="M382" s="75" t="str">
        <f>(L376*M376 + L377*M377 + L378*M378 + L379*M379 + L380*M380)/SUM(M376:M380)</f>
        <v>#VALUE!</v>
      </c>
      <c r="N382" s="30"/>
      <c r="O382" s="30"/>
    </row>
    <row r="383" ht="14.25" customHeight="1">
      <c r="A383" s="28" t="s">
        <v>27</v>
      </c>
      <c r="B383" s="11" t="s">
        <v>10</v>
      </c>
      <c r="C383" s="12" t="s">
        <v>11</v>
      </c>
      <c r="D383" s="11" t="s">
        <v>10</v>
      </c>
      <c r="E383" s="12" t="s">
        <v>11</v>
      </c>
      <c r="F383" s="11" t="s">
        <v>10</v>
      </c>
      <c r="G383" s="12" t="s">
        <v>11</v>
      </c>
      <c r="H383" s="11" t="s">
        <v>10</v>
      </c>
      <c r="I383" s="12" t="s">
        <v>11</v>
      </c>
      <c r="J383" s="11" t="s">
        <v>10</v>
      </c>
      <c r="K383" s="12" t="s">
        <v>11</v>
      </c>
      <c r="L383" s="11" t="s">
        <v>10</v>
      </c>
      <c r="M383" s="12" t="s">
        <v>11</v>
      </c>
      <c r="N383" s="30"/>
      <c r="O383" s="30"/>
    </row>
    <row r="384" ht="14.25" customHeight="1">
      <c r="A384" s="41" t="s">
        <v>28</v>
      </c>
      <c r="B384" s="20" t="s">
        <v>133</v>
      </c>
      <c r="C384" s="17"/>
      <c r="D384" s="45" t="s">
        <v>88</v>
      </c>
      <c r="E384" s="76" t="s">
        <v>49</v>
      </c>
      <c r="F384" s="68" t="s">
        <v>134</v>
      </c>
      <c r="G384" s="17"/>
      <c r="H384" s="42" t="s">
        <v>89</v>
      </c>
      <c r="I384" s="44" t="s">
        <v>90</v>
      </c>
      <c r="J384" s="70" t="s">
        <v>135</v>
      </c>
      <c r="K384" s="17"/>
      <c r="L384" s="42" t="s">
        <v>91</v>
      </c>
      <c r="M384" s="44" t="s">
        <v>90</v>
      </c>
      <c r="N384" s="30"/>
      <c r="O384" s="30"/>
    </row>
    <row r="385" ht="14.25" customHeight="1">
      <c r="A385" s="28"/>
      <c r="B385" s="46">
        <v>100.0</v>
      </c>
      <c r="C385" s="22">
        <v>8.0</v>
      </c>
      <c r="D385" s="1">
        <v>40.0</v>
      </c>
      <c r="E385" s="54"/>
      <c r="F385" s="46">
        <v>85.0</v>
      </c>
      <c r="G385" s="22">
        <v>8.0</v>
      </c>
      <c r="H385" s="32" t="s">
        <v>94</v>
      </c>
      <c r="I385" s="24"/>
      <c r="J385" s="28">
        <v>70.0</v>
      </c>
      <c r="K385" s="54">
        <v>8.0</v>
      </c>
      <c r="L385" s="28" t="s">
        <v>136</v>
      </c>
      <c r="M385" s="26"/>
      <c r="N385" s="30"/>
      <c r="O385" s="30"/>
    </row>
    <row r="386" ht="14.25" customHeight="1">
      <c r="A386" s="28" t="s">
        <v>37</v>
      </c>
      <c r="B386" s="46">
        <v>105.0</v>
      </c>
      <c r="C386" s="22">
        <v>8.0</v>
      </c>
      <c r="D386" s="1">
        <v>30.0</v>
      </c>
      <c r="E386" s="54"/>
      <c r="F386" s="46">
        <v>90.0</v>
      </c>
      <c r="G386" s="22">
        <v>8.0</v>
      </c>
      <c r="H386" s="32" t="s">
        <v>94</v>
      </c>
      <c r="I386" s="24"/>
      <c r="J386" s="27">
        <v>75.0</v>
      </c>
      <c r="K386" s="54">
        <v>8.0</v>
      </c>
      <c r="L386" s="28" t="s">
        <v>99</v>
      </c>
      <c r="M386" s="26"/>
      <c r="N386" s="30"/>
      <c r="O386" s="30"/>
    </row>
    <row r="387" ht="14.25" customHeight="1">
      <c r="A387" s="28" t="s">
        <v>39</v>
      </c>
      <c r="B387" s="46">
        <v>110.0</v>
      </c>
      <c r="C387" s="22">
        <v>8.0</v>
      </c>
      <c r="D387" s="1">
        <v>100.0</v>
      </c>
      <c r="E387" s="54"/>
      <c r="F387" s="46">
        <v>95.0</v>
      </c>
      <c r="G387" s="22">
        <v>8.0</v>
      </c>
      <c r="H387" s="32" t="s">
        <v>98</v>
      </c>
      <c r="I387" s="24"/>
      <c r="J387" s="27">
        <v>80.0</v>
      </c>
      <c r="K387" s="54">
        <v>8.0</v>
      </c>
      <c r="L387" s="28" t="s">
        <v>137</v>
      </c>
      <c r="M387" s="26"/>
      <c r="N387" s="30"/>
      <c r="O387" s="30"/>
    </row>
    <row r="388" ht="14.25" customHeight="1">
      <c r="A388" s="28"/>
      <c r="B388" s="46">
        <v>115.0</v>
      </c>
      <c r="C388" s="22">
        <v>8.0</v>
      </c>
      <c r="D388" s="1">
        <v>80.0</v>
      </c>
      <c r="E388" s="54"/>
      <c r="F388" s="46">
        <v>100.0</v>
      </c>
      <c r="G388" s="22">
        <v>8.0</v>
      </c>
      <c r="H388" s="32" t="s">
        <v>98</v>
      </c>
      <c r="I388" s="24"/>
      <c r="J388" s="46"/>
      <c r="K388" s="22"/>
      <c r="L388" s="28" t="s">
        <v>138</v>
      </c>
      <c r="M388" s="26"/>
      <c r="N388" s="30"/>
      <c r="O388" s="30"/>
    </row>
    <row r="389" ht="14.25" customHeight="1">
      <c r="A389" s="28" t="s">
        <v>41</v>
      </c>
      <c r="B389" s="13"/>
      <c r="C389" s="24"/>
      <c r="D389" s="1" t="s">
        <v>101</v>
      </c>
      <c r="E389" s="24"/>
      <c r="F389" s="31"/>
      <c r="G389" s="24"/>
      <c r="H389" s="32" t="s">
        <v>102</v>
      </c>
      <c r="I389" s="24"/>
      <c r="J389" s="31"/>
      <c r="K389" s="24"/>
      <c r="L389" s="28" t="s">
        <v>109</v>
      </c>
      <c r="M389" s="24"/>
      <c r="N389" s="30"/>
      <c r="O389" s="30"/>
    </row>
    <row r="390" ht="14.25" customHeight="1">
      <c r="A390" s="28" t="s">
        <v>43</v>
      </c>
      <c r="B390" s="13"/>
      <c r="C390" s="34"/>
      <c r="D390" s="28" t="s">
        <v>103</v>
      </c>
      <c r="E390" s="34"/>
      <c r="F390" s="13"/>
      <c r="G390" s="34"/>
      <c r="H390" s="32" t="s">
        <v>102</v>
      </c>
      <c r="I390" s="24"/>
      <c r="J390" s="13"/>
      <c r="K390" s="24"/>
      <c r="L390" s="32"/>
      <c r="M390" s="24" t="s">
        <v>42</v>
      </c>
      <c r="N390" s="30"/>
      <c r="O390" s="30"/>
    </row>
    <row r="391" ht="14.25" customHeight="1">
      <c r="A391" s="28"/>
      <c r="B391" s="35" t="s">
        <v>25</v>
      </c>
      <c r="C391" s="55">
        <f>C385*B385 + B386*C386 + B387*C387 + B388*C388 + B390*C390</f>
        <v>3440</v>
      </c>
      <c r="D391" s="35" t="s">
        <v>25</v>
      </c>
      <c r="E391" s="55" t="str">
        <f>E385*D385 + D386*E386 + D387*E387 + D388*E388 + D390*E390</f>
        <v>#VALUE!</v>
      </c>
      <c r="F391" s="35" t="s">
        <v>25</v>
      </c>
      <c r="G391" s="55">
        <f>G385*F385 + F386*G386 + F387*G387 + F388*G388 + F390*G390</f>
        <v>2960</v>
      </c>
      <c r="H391" s="35" t="s">
        <v>25</v>
      </c>
      <c r="I391" s="56" t="str">
        <f>I385*H385 + H386*I386 + H387*I387 + H388*I388 + H390*I390</f>
        <v>#VALUE!</v>
      </c>
      <c r="J391" s="35" t="s">
        <v>25</v>
      </c>
      <c r="K391" s="36">
        <f>K385*J385 + J386*K386 + J387*K387 + J388*K388 + J390*K390</f>
        <v>1800</v>
      </c>
      <c r="L391" s="35" t="s">
        <v>25</v>
      </c>
      <c r="M391" s="36" t="str">
        <f>M385*L385 + L386*M386 + L387*M387 + L388*M388 + L390*M390</f>
        <v>#VALUE!</v>
      </c>
      <c r="N391" s="30"/>
      <c r="O391" s="30"/>
    </row>
    <row r="392" ht="14.25" customHeight="1">
      <c r="A392" s="28" t="s">
        <v>116</v>
      </c>
      <c r="B392" s="39" t="s">
        <v>26</v>
      </c>
      <c r="C392" s="77">
        <f>(B385*C385 + B386*C386 + B387*C387 + B388*C388 + B390*C390)/SUM(C385:C390)</f>
        <v>107.5</v>
      </c>
      <c r="D392" s="39" t="s">
        <v>26</v>
      </c>
      <c r="E392" s="77" t="str">
        <f>(D385*E385 + D386*E386 + D387*E387 + D388*E388 + D390*E390)/SUM(E385:E390)</f>
        <v>#VALUE!</v>
      </c>
      <c r="F392" s="39" t="s">
        <v>26</v>
      </c>
      <c r="G392" s="77">
        <f>(F385*G385 + F386*G386 + F387*G387 + F388*G388 + F390*G390)/SUM(G385:G390)</f>
        <v>92.5</v>
      </c>
      <c r="H392" s="39" t="s">
        <v>26</v>
      </c>
      <c r="I392" s="77" t="str">
        <f>(H385*I385 + H386*I386 + H387*I387 + H388*I388 + H390*I390)/SUM(I385:I390)</f>
        <v>#VALUE!</v>
      </c>
      <c r="J392" s="39" t="s">
        <v>26</v>
      </c>
      <c r="K392" s="40">
        <f>(J385*K385 + J386*K386 + J387*K387 + J388*K388 + J390*K390)/SUM(K385:K390)</f>
        <v>75</v>
      </c>
      <c r="L392" s="39" t="s">
        <v>26</v>
      </c>
      <c r="M392" s="40" t="str">
        <f>(L385*M385 + L386*M386 + L387*M387 + L388*M388 + L390*M390)/SUM(M385:M390)</f>
        <v>#VALUE!</v>
      </c>
      <c r="N392" s="30"/>
      <c r="O392" s="30"/>
    </row>
    <row r="393" ht="14.25" customHeight="1">
      <c r="A393" s="28" t="s">
        <v>117</v>
      </c>
      <c r="B393" s="70" t="s">
        <v>71</v>
      </c>
      <c r="C393" s="17"/>
      <c r="D393" s="45" t="s">
        <v>88</v>
      </c>
      <c r="E393" s="17"/>
      <c r="F393" s="70" t="s">
        <v>71</v>
      </c>
      <c r="G393" s="17"/>
      <c r="H393" s="49" t="s">
        <v>33</v>
      </c>
      <c r="I393" s="17"/>
      <c r="J393" s="70" t="s">
        <v>71</v>
      </c>
      <c r="K393" s="17"/>
      <c r="L393" s="42" t="s">
        <v>105</v>
      </c>
      <c r="M393" s="44" t="s">
        <v>49</v>
      </c>
      <c r="N393" s="30"/>
      <c r="O393" s="30"/>
    </row>
    <row r="394" ht="14.25" customHeight="1">
      <c r="A394" s="28" t="s">
        <v>120</v>
      </c>
      <c r="B394" s="28">
        <v>65.0</v>
      </c>
      <c r="C394" s="54">
        <v>8.0</v>
      </c>
      <c r="D394" s="110">
        <v>60.0</v>
      </c>
      <c r="E394" s="24"/>
      <c r="F394" s="28">
        <v>65.0</v>
      </c>
      <c r="G394" s="54">
        <v>8.0</v>
      </c>
      <c r="H394" s="23"/>
      <c r="I394" s="24"/>
      <c r="J394" s="28">
        <v>65.0</v>
      </c>
      <c r="K394" s="54">
        <v>8.0</v>
      </c>
      <c r="L394" s="28" t="s">
        <v>139</v>
      </c>
      <c r="M394" s="24"/>
      <c r="N394" s="30"/>
      <c r="O394" s="30"/>
    </row>
    <row r="395" ht="14.25" customHeight="1">
      <c r="A395" s="28"/>
      <c r="B395" s="27">
        <v>70.0</v>
      </c>
      <c r="C395" s="54">
        <v>8.0</v>
      </c>
      <c r="D395" s="46">
        <v>80.0</v>
      </c>
      <c r="E395" s="26"/>
      <c r="F395" s="27">
        <v>70.0</v>
      </c>
      <c r="G395" s="54">
        <v>8.0</v>
      </c>
      <c r="H395" s="23"/>
      <c r="I395" s="24"/>
      <c r="J395" s="27">
        <v>70.0</v>
      </c>
      <c r="K395" s="54">
        <v>8.0</v>
      </c>
      <c r="L395" s="28" t="s">
        <v>108</v>
      </c>
      <c r="M395" s="26"/>
      <c r="N395" s="30"/>
      <c r="O395" s="30"/>
    </row>
    <row r="396" ht="14.25" customHeight="1">
      <c r="A396" s="28" t="s">
        <v>121</v>
      </c>
      <c r="B396" s="27">
        <v>75.0</v>
      </c>
      <c r="C396" s="54">
        <v>8.0</v>
      </c>
      <c r="D396" s="46">
        <v>40.0</v>
      </c>
      <c r="E396" s="24"/>
      <c r="F396" s="27">
        <v>72.5</v>
      </c>
      <c r="G396" s="54">
        <v>8.0</v>
      </c>
      <c r="H396" s="23"/>
      <c r="I396" s="24"/>
      <c r="J396" s="27">
        <v>75.0</v>
      </c>
      <c r="K396" s="54">
        <v>8.0</v>
      </c>
      <c r="L396" s="28" t="s">
        <v>107</v>
      </c>
      <c r="M396" s="24"/>
      <c r="N396" s="30"/>
      <c r="O396" s="30"/>
    </row>
    <row r="397" ht="14.25" customHeight="1">
      <c r="A397" s="28" t="s">
        <v>122</v>
      </c>
      <c r="B397" s="28"/>
      <c r="C397" s="79"/>
      <c r="D397" s="46">
        <v>60.0</v>
      </c>
      <c r="E397" s="79"/>
      <c r="F397" s="28"/>
      <c r="G397" s="34"/>
      <c r="H397" s="28"/>
      <c r="I397" s="34"/>
      <c r="J397" s="28"/>
      <c r="K397" s="54"/>
      <c r="L397" s="32" t="s">
        <v>109</v>
      </c>
      <c r="M397" s="24"/>
      <c r="N397" s="30"/>
      <c r="O397" s="30"/>
    </row>
    <row r="398" ht="14.25" customHeight="1">
      <c r="A398" s="28" t="s">
        <v>123</v>
      </c>
      <c r="B398" s="13"/>
      <c r="C398" s="34"/>
      <c r="D398" s="21">
        <v>30.0</v>
      </c>
      <c r="E398" s="34"/>
      <c r="F398" s="13"/>
      <c r="G398" s="34"/>
      <c r="H398" s="28"/>
      <c r="I398" s="34"/>
      <c r="J398" s="13"/>
      <c r="K398" s="24"/>
      <c r="L398" s="31"/>
      <c r="M398" s="24"/>
      <c r="N398" s="30"/>
      <c r="O398" s="30"/>
    </row>
    <row r="399" ht="14.25" customHeight="1">
      <c r="A399" s="13"/>
      <c r="B399" s="35" t="s">
        <v>25</v>
      </c>
      <c r="C399" s="55">
        <f>C394*B394 + B395*C395 + B396*C396 + B397*C397 + B398*C398</f>
        <v>1680</v>
      </c>
      <c r="D399" s="35" t="s">
        <v>25</v>
      </c>
      <c r="E399" s="55">
        <f>E394*D394 + D395*E395 + D396*E396 + D397*E397 + D398*E398</f>
        <v>0</v>
      </c>
      <c r="F399" s="35" t="s">
        <v>25</v>
      </c>
      <c r="G399" s="55">
        <f>G394*F394 + F395*G395 + F396*G396 + F397*G397 + F398*G398</f>
        <v>1660</v>
      </c>
      <c r="H399" s="35" t="s">
        <v>25</v>
      </c>
      <c r="I399" s="56">
        <f>I394*H394 + H395*I395 + H396*I396 + H397*I397 + H398*I398</f>
        <v>0</v>
      </c>
      <c r="J399" s="35" t="s">
        <v>25</v>
      </c>
      <c r="K399" s="36">
        <f>K394*J394 + J395*K395 + J396*K396 + J397*K397 + J398*K398</f>
        <v>1680</v>
      </c>
      <c r="L399" s="57" t="s">
        <v>25</v>
      </c>
      <c r="M399" s="58" t="str">
        <f>M394*L394 + L395*M395 + L396*M396 + L397*M397 + L398*M398</f>
        <v>#VALUE!</v>
      </c>
      <c r="N399" s="30"/>
      <c r="O399" s="30"/>
    </row>
    <row r="400" ht="14.25" customHeight="1">
      <c r="A400" s="13"/>
      <c r="B400" s="39" t="s">
        <v>26</v>
      </c>
      <c r="C400" s="40">
        <f>(B394*C394 + B395*C395 + B396*C396 + B397*C397 + B398*C398)/SUM(C394:C398)</f>
        <v>70</v>
      </c>
      <c r="D400" s="59" t="s">
        <v>26</v>
      </c>
      <c r="E400" s="40" t="str">
        <f>(D394*E394 + D395*E395 + D396*E396 + D397*E397 + D398*E398)/SUM(E394:E398)</f>
        <v>#DIV/0!</v>
      </c>
      <c r="F400" s="31" t="s">
        <v>26</v>
      </c>
      <c r="G400" s="75">
        <f>(F394*G394 + F395*G395 + F396*G396 + F397*G397 + F398*G398)/SUM(G394:G398)</f>
        <v>69.16666667</v>
      </c>
      <c r="H400" s="59" t="s">
        <v>26</v>
      </c>
      <c r="I400" s="40" t="str">
        <f>(H394*I394 + H395*I395 + H396*I396 + H397*I397 + H398*I398)/SUM(I394:I398)</f>
        <v>#DIV/0!</v>
      </c>
      <c r="J400" s="39" t="s">
        <v>26</v>
      </c>
      <c r="K400" s="40">
        <f>(J394*K394 + J395*K395 + J396*K396 + J397*K397 + J398*K398)/SUM(K394:K398)</f>
        <v>70</v>
      </c>
      <c r="L400" s="59" t="s">
        <v>26</v>
      </c>
      <c r="M400" s="40" t="str">
        <f>(L394*M394 + L395*M395 + L396*M396 + L397*M397 + L398*M398)/SUM(M394:M398)</f>
        <v>#VALUE!</v>
      </c>
      <c r="N400" s="30"/>
      <c r="O400" s="30"/>
    </row>
    <row r="401" ht="14.25" customHeight="1">
      <c r="A401" s="28" t="s">
        <v>124</v>
      </c>
      <c r="B401" s="28"/>
      <c r="C401" s="30" t="s">
        <v>49</v>
      </c>
      <c r="D401" s="37"/>
      <c r="E401" s="30" t="s">
        <v>49</v>
      </c>
      <c r="F401" s="120"/>
      <c r="G401" s="121" t="s">
        <v>49</v>
      </c>
      <c r="H401" s="122" t="s">
        <v>33</v>
      </c>
      <c r="I401" s="30"/>
      <c r="J401" s="28"/>
      <c r="K401" s="60" t="s">
        <v>49</v>
      </c>
      <c r="L401" s="30"/>
      <c r="M401" s="60" t="s">
        <v>49</v>
      </c>
      <c r="N401" s="30"/>
      <c r="O401" s="30"/>
    </row>
    <row r="402" ht="14.25" customHeight="1">
      <c r="A402" s="28" t="s">
        <v>125</v>
      </c>
      <c r="B402" s="27" t="s">
        <v>178</v>
      </c>
      <c r="C402" s="60"/>
      <c r="D402" s="23"/>
      <c r="E402" s="61"/>
      <c r="F402" s="27" t="s">
        <v>178</v>
      </c>
      <c r="G402" s="61"/>
      <c r="H402" s="30"/>
      <c r="I402" s="60"/>
      <c r="J402" s="27" t="s">
        <v>178</v>
      </c>
      <c r="K402" s="60"/>
      <c r="L402" s="62"/>
      <c r="M402" s="60"/>
      <c r="N402" s="30"/>
      <c r="O402" s="30"/>
    </row>
    <row r="403" ht="14.25" customHeight="1">
      <c r="A403" s="37"/>
      <c r="B403" s="52" t="s">
        <v>53</v>
      </c>
      <c r="C403" s="60"/>
      <c r="D403" s="23"/>
      <c r="E403" s="60"/>
      <c r="F403" s="53" t="s">
        <v>53</v>
      </c>
      <c r="G403" s="60"/>
      <c r="H403" s="30"/>
      <c r="I403" s="60"/>
      <c r="J403" s="53" t="s">
        <v>53</v>
      </c>
      <c r="K403" s="60"/>
      <c r="L403" s="30"/>
      <c r="M403" s="60"/>
      <c r="N403" s="30"/>
      <c r="O403" s="30"/>
    </row>
    <row r="404" ht="14.25" customHeight="1">
      <c r="A404" s="37"/>
      <c r="B404" s="32" t="s">
        <v>54</v>
      </c>
      <c r="C404" s="60"/>
      <c r="D404" s="23"/>
      <c r="E404" s="60"/>
      <c r="F404" s="23" t="s">
        <v>54</v>
      </c>
      <c r="G404" s="60"/>
      <c r="H404" s="30"/>
      <c r="I404" s="60"/>
      <c r="J404" s="30" t="s">
        <v>54</v>
      </c>
      <c r="K404" s="60"/>
      <c r="L404" s="30"/>
      <c r="M404" s="60"/>
      <c r="N404" s="30"/>
      <c r="O404" s="30"/>
    </row>
    <row r="405" ht="14.25" customHeight="1">
      <c r="A405" s="37"/>
      <c r="B405" s="28"/>
      <c r="C405" s="1"/>
      <c r="D405" s="28"/>
      <c r="E405" s="1"/>
      <c r="F405" s="28"/>
      <c r="G405" s="60"/>
      <c r="H405" s="30"/>
      <c r="I405" s="30"/>
      <c r="J405" s="37"/>
      <c r="K405" s="60"/>
      <c r="L405" s="30"/>
      <c r="M405" s="60"/>
      <c r="N405" s="30"/>
      <c r="O405" s="30"/>
    </row>
    <row r="406" ht="14.25" customHeight="1">
      <c r="A406" s="37"/>
      <c r="B406" s="28"/>
      <c r="C406" s="1"/>
      <c r="D406" s="28"/>
      <c r="E406" s="1"/>
      <c r="F406" s="28"/>
      <c r="G406" s="60"/>
      <c r="H406" s="30"/>
      <c r="I406" s="30"/>
      <c r="J406" s="37"/>
      <c r="K406" s="60"/>
      <c r="L406" s="30"/>
      <c r="M406" s="60"/>
      <c r="N406" s="30"/>
      <c r="O406" s="30"/>
    </row>
    <row r="407" ht="14.25" customHeight="1">
      <c r="A407" s="37"/>
      <c r="B407" s="28"/>
      <c r="C407" s="1"/>
      <c r="D407" s="28"/>
      <c r="E407" s="1"/>
      <c r="F407" s="28"/>
      <c r="G407" s="60"/>
      <c r="H407" s="30"/>
      <c r="I407" s="30"/>
      <c r="J407" s="37"/>
      <c r="K407" s="60"/>
      <c r="L407" s="30"/>
      <c r="M407" s="60"/>
      <c r="N407" s="30"/>
      <c r="O407" s="30"/>
    </row>
    <row r="408" ht="14.25" customHeight="1">
      <c r="A408" s="64"/>
      <c r="B408" s="65"/>
      <c r="C408" s="66"/>
      <c r="D408" s="65"/>
      <c r="E408" s="66"/>
      <c r="F408" s="64"/>
      <c r="G408" s="67"/>
      <c r="H408" s="66"/>
      <c r="I408" s="66"/>
      <c r="J408" s="64"/>
      <c r="K408" s="67"/>
      <c r="L408" s="66"/>
      <c r="M408" s="67"/>
      <c r="N408" s="30"/>
      <c r="O408" s="30"/>
    </row>
    <row r="409" ht="14.25" customHeight="1">
      <c r="A409" s="30"/>
      <c r="B409" s="30"/>
      <c r="C409" s="30"/>
      <c r="D409" s="23"/>
      <c r="E409" s="30"/>
      <c r="F409" s="30"/>
      <c r="G409" s="30"/>
      <c r="H409" s="23"/>
      <c r="I409" s="30"/>
      <c r="J409" s="30"/>
      <c r="K409" s="30"/>
      <c r="L409" s="30"/>
      <c r="M409" s="30"/>
      <c r="N409" s="30"/>
      <c r="O409" s="30"/>
    </row>
    <row r="410" ht="14.25" customHeight="1">
      <c r="A410" s="2" t="s">
        <v>2</v>
      </c>
      <c r="B410" s="3" t="s">
        <v>3</v>
      </c>
      <c r="C410" s="4">
        <f>M373+2</f>
        <v>45432</v>
      </c>
      <c r="D410" s="5" t="s">
        <v>4</v>
      </c>
      <c r="E410" s="6">
        <f>C410+1</f>
        <v>45433</v>
      </c>
      <c r="F410" s="3" t="s">
        <v>5</v>
      </c>
      <c r="G410" s="6">
        <f>E410+1</f>
        <v>45434</v>
      </c>
      <c r="H410" s="3" t="s">
        <v>6</v>
      </c>
      <c r="I410" s="6">
        <f>G410+1</f>
        <v>45435</v>
      </c>
      <c r="J410" s="3" t="s">
        <v>7</v>
      </c>
      <c r="K410" s="6">
        <f>I410+1</f>
        <v>45436</v>
      </c>
      <c r="L410" s="7" t="s">
        <v>8</v>
      </c>
      <c r="M410" s="8">
        <f>K410+1</f>
        <v>45437</v>
      </c>
      <c r="N410" s="30"/>
      <c r="O410" s="30"/>
    </row>
    <row r="411" ht="14.25" customHeight="1">
      <c r="A411" s="10">
        <f>A374+1</f>
        <v>12</v>
      </c>
      <c r="B411" s="11" t="s">
        <v>10</v>
      </c>
      <c r="C411" s="12" t="s">
        <v>11</v>
      </c>
      <c r="D411" s="11" t="s">
        <v>10</v>
      </c>
      <c r="E411" s="12" t="s">
        <v>11</v>
      </c>
      <c r="F411" s="11" t="s">
        <v>10</v>
      </c>
      <c r="G411" s="12" t="s">
        <v>11</v>
      </c>
      <c r="H411" s="11" t="s">
        <v>10</v>
      </c>
      <c r="I411" s="12" t="s">
        <v>11</v>
      </c>
      <c r="J411" s="11" t="s">
        <v>10</v>
      </c>
      <c r="K411" s="12" t="s">
        <v>11</v>
      </c>
      <c r="L411" s="11" t="s">
        <v>10</v>
      </c>
      <c r="M411" s="12" t="s">
        <v>11</v>
      </c>
      <c r="N411" s="30"/>
      <c r="O411" s="30"/>
    </row>
    <row r="412" ht="14.25" customHeight="1">
      <c r="A412" s="13" t="s">
        <v>12</v>
      </c>
      <c r="B412" s="70" t="s">
        <v>127</v>
      </c>
      <c r="C412" s="76"/>
      <c r="D412" s="18" t="s">
        <v>14</v>
      </c>
      <c r="E412" s="17"/>
      <c r="F412" s="20" t="s">
        <v>128</v>
      </c>
      <c r="G412" s="17"/>
      <c r="H412" s="42" t="s">
        <v>15</v>
      </c>
      <c r="I412" s="17"/>
      <c r="J412" s="20" t="s">
        <v>111</v>
      </c>
      <c r="K412" s="17"/>
      <c r="L412" s="72" t="s">
        <v>14</v>
      </c>
      <c r="M412" s="17"/>
      <c r="N412" s="30"/>
      <c r="O412" s="30"/>
    </row>
    <row r="413" ht="14.25" customHeight="1">
      <c r="A413" s="13"/>
      <c r="B413" s="46">
        <v>75.0</v>
      </c>
      <c r="C413" s="22">
        <v>8.0</v>
      </c>
      <c r="D413" s="1" t="s">
        <v>129</v>
      </c>
      <c r="E413" s="24" t="s">
        <v>77</v>
      </c>
      <c r="F413" s="46">
        <v>90.0</v>
      </c>
      <c r="G413" s="48">
        <v>8.0</v>
      </c>
      <c r="H413" s="27" t="s">
        <v>130</v>
      </c>
      <c r="I413" s="26"/>
      <c r="J413" s="46">
        <v>75.0</v>
      </c>
      <c r="K413" s="48">
        <v>8.0</v>
      </c>
      <c r="L413" s="52" t="s">
        <v>79</v>
      </c>
      <c r="M413" s="24"/>
      <c r="N413" s="30"/>
      <c r="O413" s="30"/>
    </row>
    <row r="414" ht="14.25" customHeight="1">
      <c r="A414" s="28" t="s">
        <v>20</v>
      </c>
      <c r="B414" s="46">
        <v>80.0</v>
      </c>
      <c r="C414" s="22">
        <v>8.0</v>
      </c>
      <c r="D414" s="23" t="s">
        <v>80</v>
      </c>
      <c r="E414" s="26" t="s">
        <v>81</v>
      </c>
      <c r="F414" s="46">
        <v>95.0</v>
      </c>
      <c r="G414" s="48">
        <v>8.0</v>
      </c>
      <c r="H414" s="28" t="s">
        <v>131</v>
      </c>
      <c r="I414" s="26"/>
      <c r="J414" s="46">
        <v>80.0</v>
      </c>
      <c r="K414" s="48">
        <v>8.0</v>
      </c>
      <c r="L414" s="32" t="s">
        <v>82</v>
      </c>
      <c r="M414" s="24"/>
      <c r="N414" s="30"/>
      <c r="O414" s="30"/>
    </row>
    <row r="415" ht="14.25" customHeight="1">
      <c r="A415" s="29" t="s">
        <v>22</v>
      </c>
      <c r="B415" s="46">
        <v>82.5</v>
      </c>
      <c r="C415" s="48">
        <v>6.0</v>
      </c>
      <c r="D415" s="1" t="s">
        <v>132</v>
      </c>
      <c r="E415" s="26" t="s">
        <v>84</v>
      </c>
      <c r="F415" s="46">
        <v>97.5</v>
      </c>
      <c r="G415" s="48">
        <v>6.0</v>
      </c>
      <c r="H415" s="23"/>
      <c r="I415" s="26"/>
      <c r="J415" s="46">
        <v>82.5</v>
      </c>
      <c r="K415" s="48">
        <v>6.0</v>
      </c>
      <c r="L415" s="23"/>
      <c r="M415" s="24"/>
      <c r="N415" s="30"/>
      <c r="O415" s="30"/>
    </row>
    <row r="416" ht="14.25" customHeight="1">
      <c r="A416" s="28" t="s">
        <v>23</v>
      </c>
      <c r="B416" s="46">
        <v>85.0</v>
      </c>
      <c r="C416" s="48">
        <v>6.0</v>
      </c>
      <c r="D416" s="23" t="s">
        <v>85</v>
      </c>
      <c r="E416" s="26"/>
      <c r="F416" s="47">
        <v>100.0</v>
      </c>
      <c r="G416" s="48">
        <v>6.0</v>
      </c>
      <c r="H416" s="31"/>
      <c r="I416" s="24"/>
      <c r="J416" s="46"/>
      <c r="K416" s="22"/>
      <c r="L416" s="23"/>
      <c r="M416" s="26"/>
      <c r="N416" s="30"/>
      <c r="O416" s="30"/>
    </row>
    <row r="417" ht="14.25" customHeight="1">
      <c r="A417" s="13"/>
      <c r="B417" s="13"/>
      <c r="C417" s="24"/>
      <c r="D417" s="73" t="s">
        <v>86</v>
      </c>
      <c r="E417" s="26"/>
      <c r="F417" s="13"/>
      <c r="G417" s="34"/>
      <c r="H417" s="13"/>
      <c r="I417" s="34"/>
      <c r="J417" s="13"/>
      <c r="K417" s="24"/>
      <c r="L417" s="13"/>
      <c r="M417" s="24"/>
      <c r="N417" s="30"/>
      <c r="O417" s="30"/>
    </row>
    <row r="418" ht="14.25" customHeight="1">
      <c r="A418" s="28" t="s">
        <v>113</v>
      </c>
      <c r="B418" s="35" t="s">
        <v>25</v>
      </c>
      <c r="C418" s="58">
        <f>C413*B413 + B414*C414 + B415*C415 + B416*C416 + B417*C417</f>
        <v>2245</v>
      </c>
      <c r="D418" s="57" t="s">
        <v>25</v>
      </c>
      <c r="E418" s="55" t="str">
        <f>E413*D413 + D414*#REF! + E414*E415 + D416*E416 + D417*E417</f>
        <v>#VALUE!</v>
      </c>
      <c r="F418" s="35" t="s">
        <v>25</v>
      </c>
      <c r="G418" s="56">
        <f>G413*F413 + F414*G414 + F415*G415 + F416*G416 + F417*G417</f>
        <v>2665</v>
      </c>
      <c r="H418" s="35" t="s">
        <v>25</v>
      </c>
      <c r="I418" s="56" t="str">
        <f>I413*H413 + H414*I414 + H415*I415 + H416*I416 + H417*I417</f>
        <v>#VALUE!</v>
      </c>
      <c r="J418" s="35" t="s">
        <v>25</v>
      </c>
      <c r="K418" s="58">
        <f>K413*J413 + J414*K414 + J415*K415 + J416*K416 + J417*K417</f>
        <v>1735</v>
      </c>
      <c r="L418" s="35" t="s">
        <v>25</v>
      </c>
      <c r="M418" s="36" t="str">
        <f>M413*L413 + L414*M414 + L415*M415 + L416*M416 + L417*M417</f>
        <v>#VALUE!</v>
      </c>
      <c r="N418" s="30"/>
      <c r="O418" s="30"/>
    </row>
    <row r="419" ht="14.25" customHeight="1">
      <c r="A419" s="37"/>
      <c r="B419" s="39" t="s">
        <v>26</v>
      </c>
      <c r="C419" s="116">
        <f>(B413*C413 + B414*C414 + B415*C415 + B416*C416 + B417*C417)/SUM(C413:C417)</f>
        <v>80.17857143</v>
      </c>
      <c r="D419" s="31" t="s">
        <v>26</v>
      </c>
      <c r="E419" s="74" t="str">
        <f>(D413*E413 + D414*#REF! + E414*E415 + D416*E416 + D417*E417)/SUM(E413:E417)</f>
        <v>#VALUE!</v>
      </c>
      <c r="F419" s="13" t="s">
        <v>26</v>
      </c>
      <c r="G419" s="117">
        <f>(F413*G413 + F414*G414 + F415*G415 + F416*G416 + F417*G417)/SUM(G413:G417)</f>
        <v>95.17857143</v>
      </c>
      <c r="H419" s="13" t="s">
        <v>26</v>
      </c>
      <c r="I419" s="74" t="str">
        <f>(H413*I413 + H414*I414 + H415*I415 + H416*I416 + H417*I417)/SUM(I413:I417)</f>
        <v>#VALUE!</v>
      </c>
      <c r="J419" s="39" t="s">
        <v>26</v>
      </c>
      <c r="K419" s="116">
        <f>(J413*K413 + J414*K414 + J415*K415 + J416*K416 + J417*K417)/SUM(K413:K417)</f>
        <v>78.86363636</v>
      </c>
      <c r="L419" s="13" t="s">
        <v>26</v>
      </c>
      <c r="M419" s="75" t="str">
        <f>(L413*M413 + L414*M414 + L415*M415 + L416*M416 + L417*M417)/SUM(M413:M417)</f>
        <v>#VALUE!</v>
      </c>
      <c r="N419" s="30"/>
      <c r="O419" s="30"/>
    </row>
    <row r="420" ht="14.25" customHeight="1">
      <c r="A420" s="28" t="s">
        <v>27</v>
      </c>
      <c r="B420" s="11" t="s">
        <v>10</v>
      </c>
      <c r="C420" s="12" t="s">
        <v>11</v>
      </c>
      <c r="D420" s="11" t="s">
        <v>10</v>
      </c>
      <c r="E420" s="12" t="s">
        <v>11</v>
      </c>
      <c r="F420" s="11" t="s">
        <v>10</v>
      </c>
      <c r="G420" s="12" t="s">
        <v>11</v>
      </c>
      <c r="H420" s="11" t="s">
        <v>10</v>
      </c>
      <c r="I420" s="12" t="s">
        <v>11</v>
      </c>
      <c r="J420" s="11" t="s">
        <v>10</v>
      </c>
      <c r="K420" s="12" t="s">
        <v>11</v>
      </c>
      <c r="L420" s="11" t="s">
        <v>10</v>
      </c>
      <c r="M420" s="12" t="s">
        <v>11</v>
      </c>
      <c r="N420" s="30"/>
      <c r="O420" s="30"/>
    </row>
    <row r="421" ht="14.25" customHeight="1">
      <c r="A421" s="41" t="s">
        <v>28</v>
      </c>
      <c r="B421" s="20" t="s">
        <v>133</v>
      </c>
      <c r="C421" s="17"/>
      <c r="D421" s="45" t="s">
        <v>88</v>
      </c>
      <c r="E421" s="76" t="s">
        <v>49</v>
      </c>
      <c r="F421" s="68" t="s">
        <v>134</v>
      </c>
      <c r="G421" s="17"/>
      <c r="H421" s="42" t="s">
        <v>89</v>
      </c>
      <c r="I421" s="44" t="s">
        <v>90</v>
      </c>
      <c r="J421" s="70" t="s">
        <v>135</v>
      </c>
      <c r="K421" s="17"/>
      <c r="L421" s="42" t="s">
        <v>91</v>
      </c>
      <c r="M421" s="44" t="s">
        <v>90</v>
      </c>
      <c r="N421" s="30"/>
      <c r="O421" s="30"/>
    </row>
    <row r="422" ht="14.25" customHeight="1">
      <c r="A422" s="28"/>
      <c r="B422" s="46">
        <v>105.0</v>
      </c>
      <c r="C422" s="22">
        <v>8.0</v>
      </c>
      <c r="D422" s="1">
        <v>60.0</v>
      </c>
      <c r="E422" s="54"/>
      <c r="F422" s="46">
        <v>90.0</v>
      </c>
      <c r="G422" s="22">
        <v>8.0</v>
      </c>
      <c r="H422" s="32" t="s">
        <v>94</v>
      </c>
      <c r="I422" s="24"/>
      <c r="J422" s="28">
        <v>75.0</v>
      </c>
      <c r="K422" s="54">
        <v>8.0</v>
      </c>
      <c r="L422" s="28" t="s">
        <v>136</v>
      </c>
      <c r="M422" s="26"/>
      <c r="N422" s="30"/>
      <c r="O422" s="30"/>
    </row>
    <row r="423" ht="14.25" customHeight="1">
      <c r="A423" s="28" t="s">
        <v>37</v>
      </c>
      <c r="B423" s="46">
        <v>110.0</v>
      </c>
      <c r="C423" s="22">
        <v>8.0</v>
      </c>
      <c r="D423" s="1">
        <v>30.0</v>
      </c>
      <c r="E423" s="54"/>
      <c r="F423" s="46">
        <v>95.0</v>
      </c>
      <c r="G423" s="22">
        <v>8.0</v>
      </c>
      <c r="H423" s="32" t="s">
        <v>94</v>
      </c>
      <c r="I423" s="24"/>
      <c r="J423" s="27">
        <v>80.0</v>
      </c>
      <c r="K423" s="54">
        <v>8.0</v>
      </c>
      <c r="L423" s="28" t="s">
        <v>99</v>
      </c>
      <c r="M423" s="26"/>
      <c r="N423" s="30"/>
      <c r="O423" s="30"/>
    </row>
    <row r="424" ht="14.25" customHeight="1">
      <c r="A424" s="28" t="s">
        <v>39</v>
      </c>
      <c r="B424" s="46">
        <v>115.0</v>
      </c>
      <c r="C424" s="22">
        <v>8.0</v>
      </c>
      <c r="D424" s="1">
        <v>80.0</v>
      </c>
      <c r="E424" s="54"/>
      <c r="F424" s="46">
        <v>100.0</v>
      </c>
      <c r="G424" s="22">
        <v>8.0</v>
      </c>
      <c r="H424" s="32" t="s">
        <v>98</v>
      </c>
      <c r="I424" s="24"/>
      <c r="J424" s="27">
        <v>85.0</v>
      </c>
      <c r="K424" s="54">
        <v>8.0</v>
      </c>
      <c r="L424" s="28" t="s">
        <v>137</v>
      </c>
      <c r="M424" s="26"/>
      <c r="N424" s="30"/>
      <c r="O424" s="30"/>
    </row>
    <row r="425" ht="14.25" customHeight="1">
      <c r="A425" s="28"/>
      <c r="B425" s="46">
        <v>120.0</v>
      </c>
      <c r="C425" s="22">
        <v>8.0</v>
      </c>
      <c r="D425" s="1">
        <v>30.0</v>
      </c>
      <c r="E425" s="54"/>
      <c r="F425" s="46">
        <v>105.0</v>
      </c>
      <c r="G425" s="22">
        <v>8.0</v>
      </c>
      <c r="H425" s="32" t="s">
        <v>98</v>
      </c>
      <c r="I425" s="24"/>
      <c r="J425" s="46"/>
      <c r="K425" s="22"/>
      <c r="L425" s="28" t="s">
        <v>138</v>
      </c>
      <c r="M425" s="26"/>
      <c r="N425" s="30"/>
      <c r="O425" s="30"/>
    </row>
    <row r="426" ht="14.25" customHeight="1">
      <c r="A426" s="28" t="s">
        <v>41</v>
      </c>
      <c r="B426" s="13"/>
      <c r="C426" s="24"/>
      <c r="D426" s="1" t="s">
        <v>101</v>
      </c>
      <c r="E426" s="24"/>
      <c r="F426" s="31"/>
      <c r="G426" s="24"/>
      <c r="H426" s="32" t="s">
        <v>102</v>
      </c>
      <c r="I426" s="24"/>
      <c r="J426" s="31"/>
      <c r="K426" s="24"/>
      <c r="L426" s="28" t="s">
        <v>109</v>
      </c>
      <c r="M426" s="24"/>
      <c r="N426" s="30"/>
      <c r="O426" s="30"/>
    </row>
    <row r="427" ht="14.25" customHeight="1">
      <c r="A427" s="28" t="s">
        <v>43</v>
      </c>
      <c r="B427" s="13"/>
      <c r="C427" s="34"/>
      <c r="D427" s="28" t="s">
        <v>103</v>
      </c>
      <c r="E427" s="34"/>
      <c r="F427" s="13"/>
      <c r="G427" s="34"/>
      <c r="H427" s="32" t="s">
        <v>102</v>
      </c>
      <c r="I427" s="24"/>
      <c r="J427" s="13"/>
      <c r="K427" s="24"/>
      <c r="L427" s="32"/>
      <c r="M427" s="24" t="s">
        <v>42</v>
      </c>
      <c r="N427" s="30"/>
      <c r="O427" s="30"/>
    </row>
    <row r="428" ht="14.25" customHeight="1">
      <c r="A428" s="28"/>
      <c r="B428" s="35" t="s">
        <v>25</v>
      </c>
      <c r="C428" s="55">
        <f>C422*B422 + B423*C423 + B424*C424 + B425*C425 + B427*C427</f>
        <v>3600</v>
      </c>
      <c r="D428" s="35" t="s">
        <v>25</v>
      </c>
      <c r="E428" s="55" t="str">
        <f>E422*D422 + D423*E423 + D424*E424 + D425*E425 + D427*E427</f>
        <v>#VALUE!</v>
      </c>
      <c r="F428" s="35" t="s">
        <v>25</v>
      </c>
      <c r="G428" s="55">
        <f>G422*F422 + F423*G423 + F424*G424 + F425*G425 + F427*G427</f>
        <v>3120</v>
      </c>
      <c r="H428" s="35" t="s">
        <v>25</v>
      </c>
      <c r="I428" s="56" t="str">
        <f>I422*H422 + H423*I423 + H424*I424 + H425*I425 + H427*I427</f>
        <v>#VALUE!</v>
      </c>
      <c r="J428" s="35" t="s">
        <v>25</v>
      </c>
      <c r="K428" s="36">
        <f>K422*J422 + J423*K423 + J424*K424 + J425*K425 + J427*K427</f>
        <v>1920</v>
      </c>
      <c r="L428" s="35" t="s">
        <v>25</v>
      </c>
      <c r="M428" s="36" t="str">
        <f>M422*L422 + L423*M423 + L424*M424 + L425*M425 + L427*M427</f>
        <v>#VALUE!</v>
      </c>
      <c r="N428" s="30"/>
      <c r="O428" s="30"/>
    </row>
    <row r="429" ht="14.25" customHeight="1">
      <c r="A429" s="28" t="s">
        <v>116</v>
      </c>
      <c r="B429" s="39" t="s">
        <v>26</v>
      </c>
      <c r="C429" s="77">
        <f>(B422*C422 + B423*C423 + B424*C424 + B425*C425 + B427*C427)/SUM(C422:C427)</f>
        <v>112.5</v>
      </c>
      <c r="D429" s="39" t="s">
        <v>26</v>
      </c>
      <c r="E429" s="77" t="str">
        <f>(D422*E422 + D423*E423 + D424*E424 + D425*E425 + D427*E427)/SUM(E422:E427)</f>
        <v>#VALUE!</v>
      </c>
      <c r="F429" s="39" t="s">
        <v>26</v>
      </c>
      <c r="G429" s="77">
        <f>(F422*G422 + F423*G423 + F424*G424 + F425*G425 + F427*G427)/SUM(G422:G427)</f>
        <v>97.5</v>
      </c>
      <c r="H429" s="39" t="s">
        <v>26</v>
      </c>
      <c r="I429" s="77" t="str">
        <f>(H422*I422 + H423*I423 + H424*I424 + H425*I425 + H427*I427)/SUM(I422:I427)</f>
        <v>#VALUE!</v>
      </c>
      <c r="J429" s="39" t="s">
        <v>26</v>
      </c>
      <c r="K429" s="40">
        <f>(J422*K422 + J423*K423 + J424*K424 + J425*K425 + J427*K427)/SUM(K422:K427)</f>
        <v>80</v>
      </c>
      <c r="L429" s="39" t="s">
        <v>26</v>
      </c>
      <c r="M429" s="40" t="str">
        <f>(L422*M422 + L423*M423 + L424*M424 + L425*M425 + L427*M427)/SUM(M422:M427)</f>
        <v>#VALUE!</v>
      </c>
      <c r="N429" s="30"/>
      <c r="O429" s="30"/>
    </row>
    <row r="430" ht="14.25" customHeight="1">
      <c r="A430" s="28" t="s">
        <v>117</v>
      </c>
      <c r="B430" s="70" t="s">
        <v>185</v>
      </c>
      <c r="C430" s="17"/>
      <c r="D430" s="45" t="s">
        <v>88</v>
      </c>
      <c r="E430" s="17"/>
      <c r="F430" s="70" t="s">
        <v>71</v>
      </c>
      <c r="G430" s="17"/>
      <c r="H430" s="49" t="s">
        <v>33</v>
      </c>
      <c r="I430" s="17"/>
      <c r="J430" s="70" t="s">
        <v>185</v>
      </c>
      <c r="K430" s="17"/>
      <c r="L430" s="42" t="s">
        <v>105</v>
      </c>
      <c r="M430" s="44" t="s">
        <v>49</v>
      </c>
      <c r="N430" s="30"/>
      <c r="O430" s="30"/>
    </row>
    <row r="431" ht="14.25" customHeight="1">
      <c r="A431" s="28" t="s">
        <v>120</v>
      </c>
      <c r="B431" s="28"/>
      <c r="C431" s="54">
        <v>8.0</v>
      </c>
      <c r="D431" s="110">
        <v>100.0</v>
      </c>
      <c r="E431" s="24"/>
      <c r="F431" s="28">
        <v>70.0</v>
      </c>
      <c r="G431" s="54">
        <v>8.0</v>
      </c>
      <c r="H431" s="23"/>
      <c r="I431" s="24"/>
      <c r="J431" s="28"/>
      <c r="K431" s="54">
        <v>8.0</v>
      </c>
      <c r="L431" s="28" t="s">
        <v>139</v>
      </c>
      <c r="M431" s="24"/>
      <c r="N431" s="30"/>
      <c r="O431" s="30"/>
    </row>
    <row r="432" ht="14.25" customHeight="1">
      <c r="A432" s="28" t="s">
        <v>186</v>
      </c>
      <c r="B432" s="27"/>
      <c r="C432" s="54">
        <v>8.0</v>
      </c>
      <c r="D432" s="46">
        <v>40.0</v>
      </c>
      <c r="E432" s="26"/>
      <c r="F432" s="27">
        <v>75.0</v>
      </c>
      <c r="G432" s="54">
        <v>8.0</v>
      </c>
      <c r="H432" s="23"/>
      <c r="I432" s="24"/>
      <c r="J432" s="27"/>
      <c r="K432" s="54">
        <v>8.0</v>
      </c>
      <c r="L432" s="28" t="s">
        <v>108</v>
      </c>
      <c r="M432" s="26"/>
      <c r="N432" s="30"/>
      <c r="O432" s="30"/>
    </row>
    <row r="433" ht="14.25" customHeight="1">
      <c r="A433" s="28" t="s">
        <v>187</v>
      </c>
      <c r="B433" s="27"/>
      <c r="C433" s="54">
        <v>8.0</v>
      </c>
      <c r="D433" s="46">
        <v>80.0</v>
      </c>
      <c r="E433" s="24"/>
      <c r="F433" s="27">
        <v>77.5</v>
      </c>
      <c r="G433" s="54">
        <v>8.0</v>
      </c>
      <c r="H433" s="23"/>
      <c r="I433" s="24"/>
      <c r="J433" s="27"/>
      <c r="K433" s="54">
        <v>8.0</v>
      </c>
      <c r="L433" s="28" t="s">
        <v>107</v>
      </c>
      <c r="M433" s="24"/>
      <c r="N433" s="30"/>
      <c r="O433" s="30"/>
    </row>
    <row r="434" ht="14.25" customHeight="1">
      <c r="A434" s="28" t="s">
        <v>188</v>
      </c>
      <c r="B434" s="28"/>
      <c r="C434" s="79"/>
      <c r="D434" s="46">
        <v>60.0</v>
      </c>
      <c r="E434" s="79"/>
      <c r="F434" s="28"/>
      <c r="G434" s="34"/>
      <c r="H434" s="28"/>
      <c r="I434" s="34"/>
      <c r="J434" s="28"/>
      <c r="K434" s="54"/>
      <c r="L434" s="32" t="s">
        <v>109</v>
      </c>
      <c r="M434" s="24"/>
      <c r="N434" s="30"/>
      <c r="O434" s="30"/>
    </row>
    <row r="435" ht="14.25" customHeight="1">
      <c r="A435" s="28" t="s">
        <v>189</v>
      </c>
      <c r="B435" s="13"/>
      <c r="C435" s="34"/>
      <c r="D435" s="21">
        <v>30.0</v>
      </c>
      <c r="E435" s="34"/>
      <c r="F435" s="13"/>
      <c r="G435" s="34"/>
      <c r="H435" s="28"/>
      <c r="I435" s="34"/>
      <c r="J435" s="13"/>
      <c r="K435" s="24"/>
      <c r="L435" s="31"/>
      <c r="M435" s="24"/>
      <c r="N435" s="30"/>
      <c r="O435" s="30"/>
    </row>
    <row r="436" ht="14.25" customHeight="1">
      <c r="A436" s="28" t="s">
        <v>190</v>
      </c>
      <c r="B436" s="35" t="s">
        <v>25</v>
      </c>
      <c r="C436" s="55">
        <f>C431*B431 + B432*C432 + B433*C433 + B434*C434 + B435*C435</f>
        <v>0</v>
      </c>
      <c r="D436" s="35" t="s">
        <v>25</v>
      </c>
      <c r="E436" s="55">
        <f>E431*D431 + D432*E432 + D433*E433 + D434*E434 + D435*E435</f>
        <v>0</v>
      </c>
      <c r="F436" s="35" t="s">
        <v>25</v>
      </c>
      <c r="G436" s="55">
        <f>G431*F431 + F432*G432 + F433*G433 + F434*G434 + F435*G435</f>
        <v>1780</v>
      </c>
      <c r="H436" s="35" t="s">
        <v>25</v>
      </c>
      <c r="I436" s="56">
        <f>I431*H431 + H432*I432 + H433*I433 + H434*I434 + H435*I435</f>
        <v>0</v>
      </c>
      <c r="J436" s="35" t="s">
        <v>25</v>
      </c>
      <c r="K436" s="36">
        <f>K431*J431 + J432*K432 + J433*K433 + J434*K434 + J435*K435</f>
        <v>0</v>
      </c>
      <c r="L436" s="57" t="s">
        <v>25</v>
      </c>
      <c r="M436" s="58" t="str">
        <f>M431*L431 + L432*M432 + L433*M433 + L434*M434 + L435*M435</f>
        <v>#VALUE!</v>
      </c>
      <c r="N436" s="30"/>
      <c r="O436" s="30"/>
    </row>
    <row r="437" ht="14.25" customHeight="1">
      <c r="A437" s="28" t="s">
        <v>191</v>
      </c>
      <c r="B437" s="39" t="s">
        <v>26</v>
      </c>
      <c r="C437" s="40">
        <f>(B431*C431 + B432*C432 + B433*C433 + B434*C434 + B435*C435)/SUM(C431:C435)</f>
        <v>0</v>
      </c>
      <c r="D437" s="59" t="s">
        <v>26</v>
      </c>
      <c r="E437" s="40" t="str">
        <f>(D431*E431 + D432*E432 + D433*E433 + D434*E434 + D435*E435)/SUM(E431:E435)</f>
        <v>#DIV/0!</v>
      </c>
      <c r="F437" s="31" t="s">
        <v>26</v>
      </c>
      <c r="G437" s="75">
        <f>(F431*G431 + F432*G432 + F433*G433 + F434*G434 + F435*G435)/SUM(G431:G435)</f>
        <v>74.16666667</v>
      </c>
      <c r="H437" s="59" t="s">
        <v>26</v>
      </c>
      <c r="I437" s="40" t="str">
        <f>(H431*I431 + H432*I432 + H433*I433 + H434*I434 + H435*I435)/SUM(I431:I435)</f>
        <v>#DIV/0!</v>
      </c>
      <c r="J437" s="39" t="s">
        <v>26</v>
      </c>
      <c r="K437" s="40">
        <f>(J431*K431 + J432*K432 + J433*K433 + J434*K434 + J435*K435)/SUM(K431:K435)</f>
        <v>0</v>
      </c>
      <c r="L437" s="59" t="s">
        <v>26</v>
      </c>
      <c r="M437" s="40" t="str">
        <f>(L431*M431 + L432*M432 + L433*M433 + L434*M434 + L435*M435)/SUM(M431:M435)</f>
        <v>#VALUE!</v>
      </c>
      <c r="N437" s="30"/>
      <c r="O437" s="30"/>
    </row>
    <row r="438" ht="14.25" customHeight="1">
      <c r="A438" s="28" t="s">
        <v>192</v>
      </c>
      <c r="B438" s="28" t="s">
        <v>91</v>
      </c>
      <c r="C438" s="30" t="s">
        <v>49</v>
      </c>
      <c r="D438" s="37"/>
      <c r="E438" s="30" t="s">
        <v>49</v>
      </c>
      <c r="F438" s="120" t="s">
        <v>193</v>
      </c>
      <c r="G438" s="121" t="s">
        <v>49</v>
      </c>
      <c r="H438" s="122" t="s">
        <v>33</v>
      </c>
      <c r="I438" s="30"/>
      <c r="J438" s="28" t="s">
        <v>91</v>
      </c>
      <c r="K438" s="60" t="s">
        <v>49</v>
      </c>
      <c r="L438" s="30"/>
      <c r="M438" s="60" t="s">
        <v>49</v>
      </c>
      <c r="N438" s="30"/>
      <c r="O438" s="30"/>
    </row>
    <row r="439" ht="14.25" customHeight="1">
      <c r="A439" s="28"/>
      <c r="B439" s="27">
        <v>30.0</v>
      </c>
      <c r="C439" s="60"/>
      <c r="D439" s="23"/>
      <c r="E439" s="61"/>
      <c r="F439" s="27" t="s">
        <v>194</v>
      </c>
      <c r="G439" s="61"/>
      <c r="H439" s="30"/>
      <c r="I439" s="60"/>
      <c r="J439" s="27">
        <v>40.0</v>
      </c>
      <c r="K439" s="60"/>
      <c r="L439" s="62"/>
      <c r="M439" s="60"/>
      <c r="N439" s="30"/>
      <c r="O439" s="30"/>
    </row>
    <row r="440" ht="14.25" customHeight="1">
      <c r="A440" s="28" t="s">
        <v>195</v>
      </c>
      <c r="B440" s="27">
        <v>40.0</v>
      </c>
      <c r="C440" s="60"/>
      <c r="D440" s="23"/>
      <c r="E440" s="60"/>
      <c r="F440" s="53"/>
      <c r="G440" s="60"/>
      <c r="H440" s="30"/>
      <c r="I440" s="60"/>
      <c r="J440" s="69">
        <v>30.0</v>
      </c>
      <c r="K440" s="60"/>
      <c r="L440" s="30"/>
      <c r="M440" s="60"/>
      <c r="N440" s="30"/>
      <c r="O440" s="30"/>
    </row>
    <row r="441" ht="14.25" customHeight="1">
      <c r="A441" s="37"/>
      <c r="B441" s="28">
        <v>50.0</v>
      </c>
      <c r="C441" s="60"/>
      <c r="D441" s="23"/>
      <c r="E441" s="60"/>
      <c r="F441" s="23"/>
      <c r="G441" s="60"/>
      <c r="H441" s="30"/>
      <c r="I441" s="60"/>
      <c r="J441" s="1">
        <v>20.0</v>
      </c>
      <c r="K441" s="60"/>
      <c r="L441" s="30"/>
      <c r="M441" s="60"/>
      <c r="N441" s="30"/>
      <c r="O441" s="30"/>
    </row>
    <row r="442" ht="14.25" customHeight="1">
      <c r="A442" s="37"/>
      <c r="B442" s="28">
        <v>30.0</v>
      </c>
      <c r="C442" s="1"/>
      <c r="D442" s="28"/>
      <c r="E442" s="1"/>
      <c r="F442" s="28"/>
      <c r="G442" s="60"/>
      <c r="H442" s="30"/>
      <c r="I442" s="30"/>
      <c r="J442" s="28">
        <v>50.0</v>
      </c>
      <c r="K442" s="60"/>
      <c r="L442" s="30"/>
      <c r="M442" s="60"/>
      <c r="N442" s="30"/>
      <c r="O442" s="30"/>
    </row>
    <row r="443" ht="14.25" customHeight="1">
      <c r="A443" s="37"/>
      <c r="B443" s="28"/>
      <c r="C443" s="1"/>
      <c r="D443" s="28"/>
      <c r="E443" s="1"/>
      <c r="F443" s="28"/>
      <c r="G443" s="60"/>
      <c r="H443" s="30"/>
      <c r="I443" s="30"/>
      <c r="J443" s="28">
        <v>30.0</v>
      </c>
      <c r="K443" s="60"/>
      <c r="L443" s="30"/>
      <c r="M443" s="60"/>
      <c r="N443" s="30"/>
      <c r="O443" s="30"/>
    </row>
    <row r="444" ht="14.25" customHeight="1">
      <c r="A444" s="37"/>
      <c r="B444" s="28"/>
      <c r="C444" s="1"/>
      <c r="D444" s="28"/>
      <c r="E444" s="1"/>
      <c r="F444" s="28"/>
      <c r="G444" s="60"/>
      <c r="H444" s="30"/>
      <c r="I444" s="30"/>
      <c r="J444" s="37"/>
      <c r="K444" s="60"/>
      <c r="L444" s="30"/>
      <c r="M444" s="60"/>
      <c r="N444" s="30"/>
      <c r="O444" s="30"/>
    </row>
    <row r="445" ht="14.25" customHeight="1">
      <c r="A445" s="64"/>
      <c r="B445" s="65"/>
      <c r="C445" s="66"/>
      <c r="D445" s="65"/>
      <c r="E445" s="66"/>
      <c r="F445" s="64"/>
      <c r="G445" s="67"/>
      <c r="H445" s="66"/>
      <c r="I445" s="66"/>
      <c r="J445" s="64"/>
      <c r="K445" s="67"/>
      <c r="L445" s="66"/>
      <c r="M445" s="67"/>
      <c r="N445" s="30"/>
      <c r="O445" s="30"/>
    </row>
    <row r="446" ht="14.25" customHeight="1">
      <c r="A446" s="30"/>
      <c r="B446" s="30"/>
      <c r="C446" s="30"/>
      <c r="D446" s="23"/>
      <c r="E446" s="30"/>
      <c r="F446" s="30"/>
      <c r="G446" s="30"/>
      <c r="H446" s="23"/>
      <c r="I446" s="30"/>
      <c r="J446" s="30"/>
      <c r="K446" s="30"/>
      <c r="L446" s="30"/>
      <c r="M446" s="30"/>
      <c r="N446" s="30"/>
      <c r="O446" s="30"/>
    </row>
    <row r="447" ht="14.25" customHeight="1">
      <c r="A447" s="2" t="s">
        <v>2</v>
      </c>
      <c r="B447" s="3" t="s">
        <v>3</v>
      </c>
      <c r="C447" s="4">
        <f>M410+2</f>
        <v>45439</v>
      </c>
      <c r="D447" s="5" t="s">
        <v>4</v>
      </c>
      <c r="E447" s="6">
        <f>C447+1</f>
        <v>45440</v>
      </c>
      <c r="F447" s="3" t="s">
        <v>5</v>
      </c>
      <c r="G447" s="6">
        <f>E447+1</f>
        <v>45441</v>
      </c>
      <c r="H447" s="3" t="s">
        <v>6</v>
      </c>
      <c r="I447" s="6">
        <f>G447+1</f>
        <v>45442</v>
      </c>
      <c r="J447" s="3" t="s">
        <v>7</v>
      </c>
      <c r="K447" s="6">
        <f>I447+1</f>
        <v>45443</v>
      </c>
      <c r="L447" s="7" t="s">
        <v>8</v>
      </c>
      <c r="M447" s="8">
        <f>K447+1</f>
        <v>45444</v>
      </c>
      <c r="N447" s="30"/>
      <c r="O447" s="30"/>
    </row>
    <row r="448" ht="14.25" customHeight="1">
      <c r="A448" s="10">
        <f>A411+1</f>
        <v>13</v>
      </c>
      <c r="B448" s="11" t="s">
        <v>10</v>
      </c>
      <c r="C448" s="12" t="s">
        <v>11</v>
      </c>
      <c r="D448" s="11" t="s">
        <v>10</v>
      </c>
      <c r="E448" s="12" t="s">
        <v>11</v>
      </c>
      <c r="F448" s="11" t="s">
        <v>10</v>
      </c>
      <c r="G448" s="12" t="s">
        <v>11</v>
      </c>
      <c r="H448" s="11" t="s">
        <v>10</v>
      </c>
      <c r="I448" s="12" t="s">
        <v>11</v>
      </c>
      <c r="J448" s="11" t="s">
        <v>10</v>
      </c>
      <c r="K448" s="12" t="s">
        <v>11</v>
      </c>
      <c r="L448" s="11" t="s">
        <v>10</v>
      </c>
      <c r="M448" s="12" t="s">
        <v>11</v>
      </c>
      <c r="N448" s="30"/>
      <c r="O448" s="30"/>
    </row>
    <row r="449" ht="14.25" customHeight="1">
      <c r="A449" s="13" t="s">
        <v>12</v>
      </c>
      <c r="B449" s="20" t="s">
        <v>128</v>
      </c>
      <c r="C449" s="76"/>
      <c r="D449" s="18" t="s">
        <v>14</v>
      </c>
      <c r="E449" s="17"/>
      <c r="F449" s="20" t="s">
        <v>196</v>
      </c>
      <c r="G449" s="17"/>
      <c r="H449" s="42" t="s">
        <v>15</v>
      </c>
      <c r="I449" s="17"/>
      <c r="J449" s="20" t="s">
        <v>112</v>
      </c>
      <c r="K449" s="17"/>
      <c r="L449" s="72" t="s">
        <v>14</v>
      </c>
      <c r="M449" s="17"/>
      <c r="N449" s="30"/>
      <c r="O449" s="30"/>
    </row>
    <row r="450" ht="14.25" customHeight="1">
      <c r="A450" s="13"/>
      <c r="B450" s="46">
        <v>95.0</v>
      </c>
      <c r="C450" s="48">
        <v>8.0</v>
      </c>
      <c r="D450" s="1" t="s">
        <v>129</v>
      </c>
      <c r="E450" s="24" t="s">
        <v>77</v>
      </c>
      <c r="F450" s="46">
        <v>80.0</v>
      </c>
      <c r="G450" s="48">
        <v>8.0</v>
      </c>
      <c r="H450" s="27" t="s">
        <v>130</v>
      </c>
      <c r="I450" s="26"/>
      <c r="J450" s="46">
        <v>90.0</v>
      </c>
      <c r="K450" s="48">
        <v>8.0</v>
      </c>
      <c r="L450" s="52" t="s">
        <v>79</v>
      </c>
      <c r="M450" s="24"/>
      <c r="N450" s="30"/>
      <c r="O450" s="30"/>
    </row>
    <row r="451" ht="14.25" customHeight="1">
      <c r="A451" s="28" t="s">
        <v>20</v>
      </c>
      <c r="B451" s="46">
        <v>100.0</v>
      </c>
      <c r="C451" s="48">
        <v>6.0</v>
      </c>
      <c r="D451" s="23" t="s">
        <v>80</v>
      </c>
      <c r="E451" s="26" t="s">
        <v>81</v>
      </c>
      <c r="F451" s="46">
        <v>85.0</v>
      </c>
      <c r="G451" s="48">
        <v>6.0</v>
      </c>
      <c r="H451" s="28" t="s">
        <v>131</v>
      </c>
      <c r="I451" s="26"/>
      <c r="J451" s="46">
        <v>95.0</v>
      </c>
      <c r="K451" s="48">
        <v>6.0</v>
      </c>
      <c r="L451" s="32" t="s">
        <v>82</v>
      </c>
      <c r="M451" s="24"/>
      <c r="N451" s="30"/>
      <c r="O451" s="30"/>
    </row>
    <row r="452" ht="14.25" customHeight="1">
      <c r="A452" s="29" t="s">
        <v>22</v>
      </c>
      <c r="B452" s="46">
        <v>105.0</v>
      </c>
      <c r="C452" s="48">
        <v>6.0</v>
      </c>
      <c r="D452" s="1" t="s">
        <v>132</v>
      </c>
      <c r="E452" s="26" t="s">
        <v>84</v>
      </c>
      <c r="F452" s="46">
        <v>87.5</v>
      </c>
      <c r="G452" s="48">
        <v>6.0</v>
      </c>
      <c r="H452" s="23"/>
      <c r="I452" s="26"/>
      <c r="J452" s="46">
        <v>97.5</v>
      </c>
      <c r="K452" s="48">
        <v>6.0</v>
      </c>
      <c r="L452" s="23"/>
      <c r="M452" s="24"/>
      <c r="N452" s="30"/>
      <c r="O452" s="30"/>
    </row>
    <row r="453" ht="14.25" customHeight="1">
      <c r="A453" s="28" t="s">
        <v>23</v>
      </c>
      <c r="B453" s="46">
        <v>110.0</v>
      </c>
      <c r="C453" s="48">
        <v>6.0</v>
      </c>
      <c r="D453" s="23" t="s">
        <v>85</v>
      </c>
      <c r="E453" s="26"/>
      <c r="F453" s="46">
        <v>85.0</v>
      </c>
      <c r="G453" s="48">
        <v>6.0</v>
      </c>
      <c r="H453" s="31"/>
      <c r="I453" s="24"/>
      <c r="J453" s="46"/>
      <c r="K453" s="22"/>
      <c r="L453" s="23"/>
      <c r="M453" s="26"/>
      <c r="N453" s="30"/>
      <c r="O453" s="30"/>
    </row>
    <row r="454" ht="14.25" customHeight="1">
      <c r="A454" s="13"/>
      <c r="B454" s="13"/>
      <c r="C454" s="24"/>
      <c r="D454" s="73" t="s">
        <v>86</v>
      </c>
      <c r="E454" s="26"/>
      <c r="F454" s="13"/>
      <c r="G454" s="34"/>
      <c r="H454" s="13"/>
      <c r="I454" s="34"/>
      <c r="J454" s="13"/>
      <c r="K454" s="24"/>
      <c r="L454" s="13"/>
      <c r="M454" s="24"/>
      <c r="N454" s="30"/>
      <c r="O454" s="30"/>
    </row>
    <row r="455" ht="14.25" customHeight="1">
      <c r="A455" s="28" t="s">
        <v>113</v>
      </c>
      <c r="B455" s="35" t="s">
        <v>25</v>
      </c>
      <c r="C455" s="58">
        <f>C450*B450 + B451*C451 + B452*C452 + B453*C453 + B454*C454</f>
        <v>2650</v>
      </c>
      <c r="D455" s="57" t="s">
        <v>25</v>
      </c>
      <c r="E455" s="55" t="str">
        <f>E450*D450 + D451*#REF! + E451*E452 + D453*E453 + D454*E454</f>
        <v>#VALUE!</v>
      </c>
      <c r="F455" s="35" t="s">
        <v>25</v>
      </c>
      <c r="G455" s="56">
        <f>G450*F450 + F451*G451 + F452*G452 + F453*G453 + F454*G454</f>
        <v>2185</v>
      </c>
      <c r="H455" s="35" t="s">
        <v>25</v>
      </c>
      <c r="I455" s="56" t="str">
        <f>I450*H450 + H451*I451 + H452*I452 + H453*I453 + H454*I454</f>
        <v>#VALUE!</v>
      </c>
      <c r="J455" s="35" t="s">
        <v>25</v>
      </c>
      <c r="K455" s="58">
        <f>K450*J450 + J451*K451 + J452*K452 + J453*K453 + J454*K454</f>
        <v>1875</v>
      </c>
      <c r="L455" s="35" t="s">
        <v>25</v>
      </c>
      <c r="M455" s="36" t="str">
        <f>M450*L450 + L451*M451 + L452*M452 + L453*M453 + L454*M454</f>
        <v>#VALUE!</v>
      </c>
      <c r="N455" s="30"/>
      <c r="O455" s="30"/>
    </row>
    <row r="456" ht="14.25" customHeight="1">
      <c r="A456" s="37"/>
      <c r="B456" s="39" t="s">
        <v>26</v>
      </c>
      <c r="C456" s="116">
        <f>(B450*C450 + B451*C451 + B452*C452 + B453*C453 + B454*C454)/SUM(C450:C454)</f>
        <v>101.9230769</v>
      </c>
      <c r="D456" s="31" t="s">
        <v>26</v>
      </c>
      <c r="E456" s="74" t="str">
        <f>(D450*E450 + D451*#REF! + E451*E452 + D453*E453 + D454*E454)/SUM(E450:E454)</f>
        <v>#VALUE!</v>
      </c>
      <c r="F456" s="13" t="s">
        <v>26</v>
      </c>
      <c r="G456" s="117">
        <f>(F450*G450 + F451*G451 + F452*G452 + F453*G453 + F454*G454)/SUM(G450:G454)</f>
        <v>84.03846154</v>
      </c>
      <c r="H456" s="13" t="s">
        <v>26</v>
      </c>
      <c r="I456" s="74" t="str">
        <f>(H450*I450 + H451*I451 + H452*I452 + H453*I453 + H454*I454)/SUM(I450:I454)</f>
        <v>#VALUE!</v>
      </c>
      <c r="J456" s="39" t="s">
        <v>26</v>
      </c>
      <c r="K456" s="116">
        <f>(J450*K450 + J451*K451 + J452*K452 + J453*K453 + J454*K454)/SUM(K450:K454)</f>
        <v>93.75</v>
      </c>
      <c r="L456" s="13" t="s">
        <v>26</v>
      </c>
      <c r="M456" s="75" t="str">
        <f>(L450*M450 + L451*M451 + L452*M452 + L453*M453 + L454*M454)/SUM(M450:M454)</f>
        <v>#VALUE!</v>
      </c>
      <c r="N456" s="30"/>
      <c r="O456" s="30"/>
    </row>
    <row r="457" ht="14.25" customHeight="1">
      <c r="A457" s="28" t="s">
        <v>27</v>
      </c>
      <c r="B457" s="11" t="s">
        <v>10</v>
      </c>
      <c r="C457" s="12" t="s">
        <v>11</v>
      </c>
      <c r="D457" s="11" t="s">
        <v>10</v>
      </c>
      <c r="E457" s="12" t="s">
        <v>11</v>
      </c>
      <c r="F457" s="11" t="s">
        <v>10</v>
      </c>
      <c r="G457" s="12" t="s">
        <v>11</v>
      </c>
      <c r="H457" s="11" t="s">
        <v>10</v>
      </c>
      <c r="I457" s="12" t="s">
        <v>11</v>
      </c>
      <c r="J457" s="11" t="s">
        <v>10</v>
      </c>
      <c r="K457" s="12" t="s">
        <v>11</v>
      </c>
      <c r="L457" s="11" t="s">
        <v>10</v>
      </c>
      <c r="M457" s="12" t="s">
        <v>11</v>
      </c>
      <c r="N457" s="30"/>
      <c r="O457" s="30"/>
    </row>
    <row r="458" ht="14.25" customHeight="1">
      <c r="A458" s="41" t="s">
        <v>28</v>
      </c>
      <c r="B458" s="20" t="s">
        <v>133</v>
      </c>
      <c r="C458" s="17"/>
      <c r="D458" s="45" t="s">
        <v>88</v>
      </c>
      <c r="E458" s="76" t="s">
        <v>49</v>
      </c>
      <c r="F458" s="68" t="s">
        <v>134</v>
      </c>
      <c r="G458" s="17"/>
      <c r="H458" s="42" t="s">
        <v>89</v>
      </c>
      <c r="I458" s="44" t="s">
        <v>90</v>
      </c>
      <c r="J458" s="70" t="s">
        <v>135</v>
      </c>
      <c r="K458" s="17"/>
      <c r="L458" s="42" t="s">
        <v>91</v>
      </c>
      <c r="M458" s="44" t="s">
        <v>90</v>
      </c>
      <c r="N458" s="30"/>
      <c r="O458" s="30"/>
    </row>
    <row r="459" ht="14.25" customHeight="1">
      <c r="A459" s="28"/>
      <c r="B459" s="46">
        <v>105.0</v>
      </c>
      <c r="C459" s="22">
        <v>8.0</v>
      </c>
      <c r="D459" s="1">
        <v>60.0</v>
      </c>
      <c r="E459" s="54"/>
      <c r="F459" s="46">
        <v>95.0</v>
      </c>
      <c r="G459" s="22">
        <v>8.0</v>
      </c>
      <c r="H459" s="32" t="s">
        <v>94</v>
      </c>
      <c r="I459" s="24"/>
      <c r="J459" s="28">
        <v>80.0</v>
      </c>
      <c r="K459" s="54">
        <v>8.0</v>
      </c>
      <c r="L459" s="28" t="s">
        <v>136</v>
      </c>
      <c r="M459" s="26"/>
      <c r="N459" s="30"/>
      <c r="O459" s="30"/>
    </row>
    <row r="460" ht="14.25" customHeight="1">
      <c r="A460" s="28" t="s">
        <v>37</v>
      </c>
      <c r="B460" s="46">
        <v>110.0</v>
      </c>
      <c r="C460" s="22">
        <v>8.0</v>
      </c>
      <c r="D460" s="1">
        <v>30.0</v>
      </c>
      <c r="E460" s="54"/>
      <c r="F460" s="46">
        <v>100.0</v>
      </c>
      <c r="G460" s="22">
        <v>8.0</v>
      </c>
      <c r="H460" s="32" t="s">
        <v>94</v>
      </c>
      <c r="I460" s="24"/>
      <c r="J460" s="27">
        <v>85.0</v>
      </c>
      <c r="K460" s="54">
        <v>8.0</v>
      </c>
      <c r="L460" s="28" t="s">
        <v>99</v>
      </c>
      <c r="M460" s="26"/>
      <c r="N460" s="30"/>
      <c r="O460" s="30"/>
    </row>
    <row r="461" ht="14.25" customHeight="1">
      <c r="A461" s="28" t="s">
        <v>39</v>
      </c>
      <c r="B461" s="46">
        <v>115.0</v>
      </c>
      <c r="C461" s="48">
        <v>6.0</v>
      </c>
      <c r="D461" s="1">
        <v>80.0</v>
      </c>
      <c r="E461" s="54"/>
      <c r="F461" s="46">
        <v>105.0</v>
      </c>
      <c r="G461" s="48">
        <v>6.0</v>
      </c>
      <c r="H461" s="32" t="s">
        <v>98</v>
      </c>
      <c r="I461" s="24"/>
      <c r="J461" s="27">
        <v>90.0</v>
      </c>
      <c r="K461" s="54">
        <v>8.0</v>
      </c>
      <c r="L461" s="28" t="s">
        <v>137</v>
      </c>
      <c r="M461" s="26"/>
      <c r="N461" s="30"/>
      <c r="O461" s="30"/>
    </row>
    <row r="462" ht="14.25" customHeight="1">
      <c r="A462" s="28"/>
      <c r="B462" s="46">
        <v>120.0</v>
      </c>
      <c r="C462" s="48">
        <v>6.0</v>
      </c>
      <c r="D462" s="1">
        <v>30.0</v>
      </c>
      <c r="E462" s="54"/>
      <c r="F462" s="46">
        <v>110.0</v>
      </c>
      <c r="G462" s="48">
        <v>6.0</v>
      </c>
      <c r="H462" s="32" t="s">
        <v>98</v>
      </c>
      <c r="I462" s="24"/>
      <c r="J462" s="46"/>
      <c r="K462" s="48"/>
      <c r="L462" s="28" t="s">
        <v>138</v>
      </c>
      <c r="M462" s="26"/>
      <c r="N462" s="30"/>
      <c r="O462" s="30"/>
    </row>
    <row r="463" ht="14.25" customHeight="1">
      <c r="A463" s="28" t="s">
        <v>41</v>
      </c>
      <c r="B463" s="13"/>
      <c r="C463" s="24"/>
      <c r="D463" s="1" t="s">
        <v>101</v>
      </c>
      <c r="E463" s="24"/>
      <c r="F463" s="31"/>
      <c r="G463" s="24"/>
      <c r="H463" s="32" t="s">
        <v>102</v>
      </c>
      <c r="I463" s="24"/>
      <c r="J463" s="31"/>
      <c r="K463" s="24"/>
      <c r="L463" s="28" t="s">
        <v>109</v>
      </c>
      <c r="M463" s="24"/>
      <c r="N463" s="30"/>
      <c r="O463" s="30"/>
    </row>
    <row r="464" ht="14.25" customHeight="1">
      <c r="A464" s="28" t="s">
        <v>43</v>
      </c>
      <c r="B464" s="13"/>
      <c r="C464" s="34"/>
      <c r="D464" s="28" t="s">
        <v>103</v>
      </c>
      <c r="E464" s="34"/>
      <c r="F464" s="13"/>
      <c r="G464" s="34"/>
      <c r="H464" s="32" t="s">
        <v>102</v>
      </c>
      <c r="I464" s="24"/>
      <c r="J464" s="13"/>
      <c r="K464" s="24"/>
      <c r="L464" s="32"/>
      <c r="M464" s="24" t="s">
        <v>42</v>
      </c>
      <c r="N464" s="30"/>
      <c r="O464" s="30"/>
    </row>
    <row r="465" ht="14.25" customHeight="1">
      <c r="A465" s="28"/>
      <c r="B465" s="35" t="s">
        <v>25</v>
      </c>
      <c r="C465" s="55">
        <f>C459*B459 + B460*C460 + B461*C461 + B462*C462 + B464*C464</f>
        <v>3130</v>
      </c>
      <c r="D465" s="35" t="s">
        <v>25</v>
      </c>
      <c r="E465" s="55" t="str">
        <f>E459*D459 + D460*E460 + D461*E461 + D462*E462 + D464*E464</f>
        <v>#VALUE!</v>
      </c>
      <c r="F465" s="35" t="s">
        <v>25</v>
      </c>
      <c r="G465" s="55">
        <f>G459*F459 + F460*G460 + F461*G461 + F462*G462 + F464*G464</f>
        <v>2850</v>
      </c>
      <c r="H465" s="35" t="s">
        <v>25</v>
      </c>
      <c r="I465" s="56" t="str">
        <f>I459*H459 + H460*I460 + H461*I461 + H462*I462 + H464*I464</f>
        <v>#VALUE!</v>
      </c>
      <c r="J465" s="35" t="s">
        <v>25</v>
      </c>
      <c r="K465" s="36">
        <f>K459*J459 + J460*K460 + J461*K461 + J462*K462 + J464*K464</f>
        <v>2040</v>
      </c>
      <c r="L465" s="35" t="s">
        <v>25</v>
      </c>
      <c r="M465" s="36" t="str">
        <f>M459*L459 + L460*M460 + L461*M461 + L462*M462 + L464*M464</f>
        <v>#VALUE!</v>
      </c>
      <c r="N465" s="30"/>
      <c r="O465" s="30"/>
    </row>
    <row r="466" ht="14.25" customHeight="1">
      <c r="A466" s="28" t="s">
        <v>116</v>
      </c>
      <c r="B466" s="39" t="s">
        <v>26</v>
      </c>
      <c r="C466" s="77">
        <f>(B459*C459 + B460*C460 + B461*C461 + B462*C462 + B464*C464)/SUM(C459:C464)</f>
        <v>111.7857143</v>
      </c>
      <c r="D466" s="39" t="s">
        <v>26</v>
      </c>
      <c r="E466" s="77" t="str">
        <f>(D459*E459 + D460*E460 + D461*E461 + D462*E462 + D464*E464)/SUM(E459:E464)</f>
        <v>#VALUE!</v>
      </c>
      <c r="F466" s="39" t="s">
        <v>26</v>
      </c>
      <c r="G466" s="77">
        <f>(F459*G459 + F460*G460 + F461*G461 + F462*G462 + F464*G464)/SUM(G459:G464)</f>
        <v>101.7857143</v>
      </c>
      <c r="H466" s="39" t="s">
        <v>26</v>
      </c>
      <c r="I466" s="77" t="str">
        <f>(H459*I459 + H460*I460 + H461*I461 + H462*I462 + H464*I464)/SUM(I459:I464)</f>
        <v>#VALUE!</v>
      </c>
      <c r="J466" s="39" t="s">
        <v>26</v>
      </c>
      <c r="K466" s="40">
        <f>(J459*K459 + J460*K460 + J461*K461 + J462*K462 + J464*K464)/SUM(K459:K464)</f>
        <v>85</v>
      </c>
      <c r="L466" s="39" t="s">
        <v>26</v>
      </c>
      <c r="M466" s="40" t="str">
        <f>(L459*M459 + L460*M460 + L461*M461 + L462*M462 + L464*M464)/SUM(M459:M464)</f>
        <v>#VALUE!</v>
      </c>
      <c r="N466" s="30"/>
      <c r="O466" s="30"/>
    </row>
    <row r="467" ht="14.25" customHeight="1">
      <c r="A467" s="28" t="s">
        <v>117</v>
      </c>
      <c r="B467" s="70" t="s">
        <v>185</v>
      </c>
      <c r="C467" s="17"/>
      <c r="D467" s="45" t="s">
        <v>88</v>
      </c>
      <c r="E467" s="17"/>
      <c r="F467" s="70" t="s">
        <v>71</v>
      </c>
      <c r="G467" s="17"/>
      <c r="H467" s="49" t="s">
        <v>33</v>
      </c>
      <c r="I467" s="17"/>
      <c r="J467" s="70" t="s">
        <v>185</v>
      </c>
      <c r="K467" s="17"/>
      <c r="L467" s="42" t="s">
        <v>105</v>
      </c>
      <c r="M467" s="44" t="s">
        <v>49</v>
      </c>
      <c r="N467" s="30"/>
      <c r="O467" s="30"/>
    </row>
    <row r="468" ht="14.25" customHeight="1">
      <c r="A468" s="28" t="s">
        <v>120</v>
      </c>
      <c r="B468" s="28"/>
      <c r="C468" s="54">
        <v>8.0</v>
      </c>
      <c r="D468" s="110">
        <v>100.0</v>
      </c>
      <c r="E468" s="24"/>
      <c r="F468" s="28">
        <v>75.0</v>
      </c>
      <c r="G468" s="54">
        <v>8.0</v>
      </c>
      <c r="H468" s="23"/>
      <c r="I468" s="24"/>
      <c r="J468" s="28"/>
      <c r="K468" s="54">
        <v>8.0</v>
      </c>
      <c r="L468" s="28" t="s">
        <v>139</v>
      </c>
      <c r="M468" s="24"/>
      <c r="N468" s="30"/>
      <c r="O468" s="30"/>
    </row>
    <row r="469" ht="14.25" customHeight="1">
      <c r="A469" s="28" t="s">
        <v>186</v>
      </c>
      <c r="B469" s="27"/>
      <c r="C469" s="54">
        <v>8.0</v>
      </c>
      <c r="D469" s="46">
        <v>80.0</v>
      </c>
      <c r="E469" s="26"/>
      <c r="F469" s="27">
        <v>80.0</v>
      </c>
      <c r="G469" s="54">
        <v>8.0</v>
      </c>
      <c r="H469" s="23"/>
      <c r="I469" s="24"/>
      <c r="J469" s="27"/>
      <c r="K469" s="54">
        <v>8.0</v>
      </c>
      <c r="L469" s="28" t="s">
        <v>108</v>
      </c>
      <c r="M469" s="26"/>
      <c r="N469" s="30"/>
      <c r="O469" s="30"/>
    </row>
    <row r="470" ht="14.25" customHeight="1">
      <c r="A470" s="28" t="s">
        <v>187</v>
      </c>
      <c r="B470" s="27"/>
      <c r="C470" s="54">
        <v>8.0</v>
      </c>
      <c r="D470" s="46">
        <v>60.0</v>
      </c>
      <c r="E470" s="24"/>
      <c r="F470" s="27">
        <v>82.5</v>
      </c>
      <c r="G470" s="54">
        <v>8.0</v>
      </c>
      <c r="H470" s="23"/>
      <c r="I470" s="24"/>
      <c r="J470" s="27"/>
      <c r="K470" s="54">
        <v>8.0</v>
      </c>
      <c r="L470" s="28" t="s">
        <v>107</v>
      </c>
      <c r="M470" s="24"/>
      <c r="N470" s="30"/>
      <c r="O470" s="30"/>
    </row>
    <row r="471" ht="14.25" customHeight="1">
      <c r="A471" s="28" t="s">
        <v>188</v>
      </c>
      <c r="B471" s="28"/>
      <c r="C471" s="79"/>
      <c r="D471" s="46">
        <v>40.0</v>
      </c>
      <c r="E471" s="79"/>
      <c r="F471" s="28"/>
      <c r="G471" s="34"/>
      <c r="H471" s="28"/>
      <c r="I471" s="34"/>
      <c r="J471" s="28"/>
      <c r="K471" s="54"/>
      <c r="L471" s="32" t="s">
        <v>109</v>
      </c>
      <c r="M471" s="24"/>
      <c r="N471" s="30"/>
      <c r="O471" s="30"/>
    </row>
    <row r="472" ht="14.25" customHeight="1">
      <c r="A472" s="28" t="s">
        <v>189</v>
      </c>
      <c r="B472" s="13"/>
      <c r="C472" s="34"/>
      <c r="D472" s="21">
        <v>30.0</v>
      </c>
      <c r="E472" s="34"/>
      <c r="F472" s="13"/>
      <c r="G472" s="34"/>
      <c r="H472" s="28"/>
      <c r="I472" s="34"/>
      <c r="J472" s="13"/>
      <c r="K472" s="24"/>
      <c r="L472" s="31"/>
      <c r="M472" s="24"/>
      <c r="N472" s="30"/>
      <c r="O472" s="30"/>
    </row>
    <row r="473" ht="14.25" customHeight="1">
      <c r="A473" s="28" t="s">
        <v>190</v>
      </c>
      <c r="B473" s="35" t="s">
        <v>25</v>
      </c>
      <c r="C473" s="55">
        <f>C468*B468 + B469*C469 + B470*C470 + B471*C471 + B472*C472</f>
        <v>0</v>
      </c>
      <c r="D473" s="35" t="s">
        <v>25</v>
      </c>
      <c r="E473" s="55">
        <f>E468*D468 + D469*E469 + D470*E470 + D471*E471 + D472*E472</f>
        <v>0</v>
      </c>
      <c r="F473" s="35" t="s">
        <v>25</v>
      </c>
      <c r="G473" s="55">
        <f>G468*F468 + F469*G469 + F470*G470 + F471*G471 + F472*G472</f>
        <v>1900</v>
      </c>
      <c r="H473" s="35" t="s">
        <v>25</v>
      </c>
      <c r="I473" s="56">
        <f>I468*H468 + H469*I469 + H470*I470 + H471*I471 + H472*I472</f>
        <v>0</v>
      </c>
      <c r="J473" s="35" t="s">
        <v>25</v>
      </c>
      <c r="K473" s="36">
        <f>K468*J468 + J469*K469 + J470*K470 + J471*K471 + J472*K472</f>
        <v>0</v>
      </c>
      <c r="L473" s="57" t="s">
        <v>25</v>
      </c>
      <c r="M473" s="58" t="str">
        <f>M468*L468 + L469*M469 + L470*M470 + L471*M471 + L472*M472</f>
        <v>#VALUE!</v>
      </c>
      <c r="N473" s="30"/>
      <c r="O473" s="30"/>
    </row>
    <row r="474" ht="14.25" customHeight="1">
      <c r="A474" s="28" t="s">
        <v>191</v>
      </c>
      <c r="B474" s="39" t="s">
        <v>26</v>
      </c>
      <c r="C474" s="40">
        <f>(B468*C468 + B469*C469 + B470*C470 + B471*C471 + B472*C472)/SUM(C468:C472)</f>
        <v>0</v>
      </c>
      <c r="D474" s="59" t="s">
        <v>26</v>
      </c>
      <c r="E474" s="40" t="str">
        <f>(D468*E468 + D469*E469 + D470*E470 + D471*E471 + D472*E472)/SUM(E468:E472)</f>
        <v>#DIV/0!</v>
      </c>
      <c r="F474" s="31" t="s">
        <v>26</v>
      </c>
      <c r="G474" s="75">
        <f>(F468*G468 + F469*G469 + F470*G470 + F471*G471 + F472*G472)/SUM(G468:G472)</f>
        <v>79.16666667</v>
      </c>
      <c r="H474" s="59" t="s">
        <v>26</v>
      </c>
      <c r="I474" s="40" t="str">
        <f>(H468*I468 + H469*I469 + H470*I470 + H471*I471 + H472*I472)/SUM(I468:I472)</f>
        <v>#DIV/0!</v>
      </c>
      <c r="J474" s="39" t="s">
        <v>26</v>
      </c>
      <c r="K474" s="40">
        <f>(J468*K468 + J469*K469 + J470*K470 + J471*K471 + J472*K472)/SUM(K468:K472)</f>
        <v>0</v>
      </c>
      <c r="L474" s="59" t="s">
        <v>26</v>
      </c>
      <c r="M474" s="40" t="str">
        <f>(L468*M468 + L469*M469 + L470*M470 + L471*M471 + L472*M472)/SUM(M468:M472)</f>
        <v>#VALUE!</v>
      </c>
      <c r="N474" s="30"/>
      <c r="O474" s="30"/>
    </row>
    <row r="475" ht="14.25" customHeight="1">
      <c r="A475" s="28" t="s">
        <v>192</v>
      </c>
      <c r="B475" s="28" t="s">
        <v>91</v>
      </c>
      <c r="C475" s="30" t="s">
        <v>49</v>
      </c>
      <c r="D475" s="37"/>
      <c r="E475" s="30" t="s">
        <v>49</v>
      </c>
      <c r="F475" s="120" t="s">
        <v>193</v>
      </c>
      <c r="G475" s="121" t="s">
        <v>49</v>
      </c>
      <c r="H475" s="122" t="s">
        <v>33</v>
      </c>
      <c r="I475" s="30"/>
      <c r="J475" s="28" t="s">
        <v>91</v>
      </c>
      <c r="K475" s="60" t="s">
        <v>49</v>
      </c>
      <c r="L475" s="30"/>
      <c r="M475" s="60" t="s">
        <v>49</v>
      </c>
      <c r="N475" s="30"/>
      <c r="O475" s="30"/>
    </row>
    <row r="476" ht="14.25" customHeight="1">
      <c r="A476" s="28"/>
      <c r="B476" s="27">
        <v>40.0</v>
      </c>
      <c r="C476" s="60"/>
      <c r="D476" s="23"/>
      <c r="E476" s="61"/>
      <c r="F476" s="27" t="s">
        <v>194</v>
      </c>
      <c r="G476" s="61"/>
      <c r="H476" s="30"/>
      <c r="I476" s="60"/>
      <c r="J476" s="27">
        <v>40.0</v>
      </c>
      <c r="K476" s="60"/>
      <c r="L476" s="62"/>
      <c r="M476" s="60"/>
      <c r="N476" s="30"/>
      <c r="O476" s="30"/>
    </row>
    <row r="477" ht="14.25" customHeight="1">
      <c r="A477" s="28" t="s">
        <v>195</v>
      </c>
      <c r="B477" s="27">
        <v>30.0</v>
      </c>
      <c r="C477" s="60"/>
      <c r="D477" s="23"/>
      <c r="E477" s="60"/>
      <c r="F477" s="53"/>
      <c r="G477" s="60"/>
      <c r="H477" s="30"/>
      <c r="I477" s="60"/>
      <c r="J477" s="69">
        <v>30.0</v>
      </c>
      <c r="K477" s="60"/>
      <c r="L477" s="30"/>
      <c r="M477" s="60"/>
      <c r="N477" s="30"/>
      <c r="O477" s="30"/>
    </row>
    <row r="478" ht="14.25" customHeight="1">
      <c r="A478" s="37"/>
      <c r="B478" s="28">
        <v>50.0</v>
      </c>
      <c r="C478" s="60"/>
      <c r="D478" s="23"/>
      <c r="E478" s="60"/>
      <c r="F478" s="23"/>
      <c r="G478" s="60"/>
      <c r="H478" s="30"/>
      <c r="I478" s="60"/>
      <c r="J478" s="1">
        <v>20.0</v>
      </c>
      <c r="K478" s="60"/>
      <c r="L478" s="30"/>
      <c r="M478" s="60"/>
      <c r="N478" s="30"/>
      <c r="O478" s="30"/>
    </row>
    <row r="479" ht="14.25" customHeight="1">
      <c r="A479" s="37"/>
      <c r="B479" s="28">
        <v>30.0</v>
      </c>
      <c r="C479" s="1"/>
      <c r="D479" s="28"/>
      <c r="E479" s="1"/>
      <c r="F479" s="28"/>
      <c r="G479" s="60"/>
      <c r="H479" s="30"/>
      <c r="I479" s="30"/>
      <c r="J479" s="28">
        <v>50.0</v>
      </c>
      <c r="K479" s="60"/>
      <c r="L479" s="30"/>
      <c r="M479" s="60"/>
      <c r="N479" s="30"/>
      <c r="O479" s="30"/>
    </row>
    <row r="480" ht="14.25" customHeight="1">
      <c r="A480" s="37"/>
      <c r="B480" s="28"/>
      <c r="C480" s="1"/>
      <c r="D480" s="28"/>
      <c r="E480" s="1"/>
      <c r="F480" s="28"/>
      <c r="G480" s="60"/>
      <c r="H480" s="30"/>
      <c r="I480" s="30"/>
      <c r="J480" s="28">
        <v>30.0</v>
      </c>
      <c r="K480" s="60"/>
      <c r="L480" s="30"/>
      <c r="M480" s="60"/>
      <c r="N480" s="30"/>
      <c r="O480" s="30"/>
    </row>
    <row r="481" ht="14.25" customHeight="1">
      <c r="A481" s="37"/>
      <c r="B481" s="28"/>
      <c r="C481" s="1"/>
      <c r="D481" s="28"/>
      <c r="E481" s="1"/>
      <c r="F481" s="28"/>
      <c r="G481" s="60"/>
      <c r="H481" s="30"/>
      <c r="I481" s="30"/>
      <c r="J481" s="37"/>
      <c r="K481" s="60"/>
      <c r="L481" s="30"/>
      <c r="M481" s="60"/>
      <c r="N481" s="30"/>
      <c r="O481" s="30"/>
    </row>
    <row r="482" ht="14.25" customHeight="1">
      <c r="A482" s="64"/>
      <c r="B482" s="65"/>
      <c r="C482" s="66"/>
      <c r="D482" s="65"/>
      <c r="E482" s="66"/>
      <c r="F482" s="64"/>
      <c r="G482" s="67"/>
      <c r="H482" s="66"/>
      <c r="I482" s="66"/>
      <c r="J482" s="64"/>
      <c r="K482" s="67"/>
      <c r="L482" s="66"/>
      <c r="M482" s="67"/>
      <c r="N482" s="30"/>
      <c r="O482" s="30"/>
    </row>
    <row r="483" ht="14.25" customHeight="1">
      <c r="A483" s="30"/>
      <c r="B483" s="30"/>
      <c r="C483" s="30"/>
      <c r="D483" s="23"/>
      <c r="E483" s="30"/>
      <c r="F483" s="30"/>
      <c r="G483" s="30"/>
      <c r="H483" s="23"/>
      <c r="I483" s="30"/>
      <c r="J483" s="30"/>
      <c r="K483" s="30"/>
      <c r="L483" s="30"/>
      <c r="M483" s="30"/>
      <c r="N483" s="30"/>
      <c r="O483" s="30"/>
    </row>
    <row r="484" ht="14.25" customHeight="1">
      <c r="A484" s="2" t="s">
        <v>2</v>
      </c>
      <c r="B484" s="3" t="s">
        <v>3</v>
      </c>
      <c r="C484" s="4">
        <f>M447+2</f>
        <v>45446</v>
      </c>
      <c r="D484" s="5" t="s">
        <v>4</v>
      </c>
      <c r="E484" s="6">
        <f>C484+1</f>
        <v>45447</v>
      </c>
      <c r="F484" s="3" t="s">
        <v>5</v>
      </c>
      <c r="G484" s="6">
        <f>E484+1</f>
        <v>45448</v>
      </c>
      <c r="H484" s="3" t="s">
        <v>6</v>
      </c>
      <c r="I484" s="6">
        <f>G484+1</f>
        <v>45449</v>
      </c>
      <c r="J484" s="3" t="s">
        <v>7</v>
      </c>
      <c r="K484" s="6">
        <f>I484+1</f>
        <v>45450</v>
      </c>
      <c r="L484" s="7" t="s">
        <v>8</v>
      </c>
      <c r="M484" s="8">
        <f>K484+1</f>
        <v>45451</v>
      </c>
      <c r="N484" s="30"/>
      <c r="O484" s="30"/>
    </row>
    <row r="485" ht="14.25" customHeight="1">
      <c r="A485" s="10">
        <f>A448+1</f>
        <v>14</v>
      </c>
      <c r="B485" s="11" t="s">
        <v>10</v>
      </c>
      <c r="C485" s="12" t="s">
        <v>11</v>
      </c>
      <c r="D485" s="11" t="s">
        <v>10</v>
      </c>
      <c r="E485" s="12" t="s">
        <v>11</v>
      </c>
      <c r="F485" s="11" t="s">
        <v>10</v>
      </c>
      <c r="G485" s="12" t="s">
        <v>11</v>
      </c>
      <c r="H485" s="11" t="s">
        <v>10</v>
      </c>
      <c r="I485" s="12" t="s">
        <v>11</v>
      </c>
      <c r="J485" s="11" t="s">
        <v>10</v>
      </c>
      <c r="K485" s="12" t="s">
        <v>11</v>
      </c>
      <c r="L485" s="11" t="s">
        <v>10</v>
      </c>
      <c r="M485" s="12" t="s">
        <v>11</v>
      </c>
      <c r="N485" s="30"/>
      <c r="O485" s="1" t="s">
        <v>197</v>
      </c>
    </row>
    <row r="486" ht="14.25" customHeight="1">
      <c r="A486" s="13" t="s">
        <v>12</v>
      </c>
      <c r="B486" s="20" t="s">
        <v>128</v>
      </c>
      <c r="C486" s="76"/>
      <c r="D486" s="18" t="s">
        <v>14</v>
      </c>
      <c r="E486" s="17"/>
      <c r="F486" s="20" t="s">
        <v>196</v>
      </c>
      <c r="G486" s="17"/>
      <c r="H486" s="42" t="s">
        <v>15</v>
      </c>
      <c r="I486" s="17"/>
      <c r="J486" s="20" t="s">
        <v>112</v>
      </c>
      <c r="K486" s="17"/>
      <c r="L486" s="72" t="s">
        <v>14</v>
      </c>
      <c r="M486" s="17"/>
      <c r="N486" s="30"/>
      <c r="O486" s="30"/>
    </row>
    <row r="487" ht="14.25" customHeight="1">
      <c r="A487" s="13"/>
      <c r="B487" s="46">
        <v>100.0</v>
      </c>
      <c r="C487" s="48">
        <v>6.0</v>
      </c>
      <c r="D487" s="1" t="s">
        <v>129</v>
      </c>
      <c r="E487" s="24" t="s">
        <v>77</v>
      </c>
      <c r="F487" s="46">
        <v>80.0</v>
      </c>
      <c r="G487" s="48">
        <v>6.0</v>
      </c>
      <c r="H487" s="27" t="s">
        <v>130</v>
      </c>
      <c r="I487" s="26"/>
      <c r="J487" s="46">
        <v>90.0</v>
      </c>
      <c r="K487" s="48">
        <v>8.0</v>
      </c>
      <c r="L487" s="52" t="s">
        <v>79</v>
      </c>
      <c r="M487" s="24"/>
      <c r="N487" s="30"/>
      <c r="O487" s="30"/>
    </row>
    <row r="488" ht="14.25" customHeight="1">
      <c r="A488" s="28" t="s">
        <v>20</v>
      </c>
      <c r="B488" s="46">
        <v>110.0</v>
      </c>
      <c r="C488" s="48">
        <v>6.0</v>
      </c>
      <c r="D488" s="23" t="s">
        <v>80</v>
      </c>
      <c r="E488" s="26" t="s">
        <v>81</v>
      </c>
      <c r="F488" s="46">
        <v>90.0</v>
      </c>
      <c r="G488" s="48">
        <v>6.0</v>
      </c>
      <c r="H488" s="28" t="s">
        <v>198</v>
      </c>
      <c r="I488" s="26"/>
      <c r="J488" s="46">
        <v>95.0</v>
      </c>
      <c r="K488" s="48">
        <v>6.0</v>
      </c>
      <c r="L488" s="32" t="s">
        <v>82</v>
      </c>
      <c r="M488" s="24"/>
      <c r="N488" s="30"/>
      <c r="O488" s="30"/>
    </row>
    <row r="489" ht="14.25" customHeight="1">
      <c r="A489" s="29" t="s">
        <v>22</v>
      </c>
      <c r="B489" s="46">
        <v>115.0</v>
      </c>
      <c r="C489" s="48">
        <v>6.0</v>
      </c>
      <c r="D489" s="1" t="s">
        <v>132</v>
      </c>
      <c r="E489" s="26" t="s">
        <v>84</v>
      </c>
      <c r="F489" s="46">
        <v>95.0</v>
      </c>
      <c r="G489" s="48">
        <v>4.0</v>
      </c>
      <c r="H489" s="1" t="s">
        <v>199</v>
      </c>
      <c r="I489" s="26"/>
      <c r="J489" s="46">
        <v>97.5</v>
      </c>
      <c r="K489" s="48">
        <v>6.0</v>
      </c>
      <c r="L489" s="23"/>
      <c r="M489" s="24"/>
      <c r="N489" s="30"/>
      <c r="O489" s="30"/>
    </row>
    <row r="490" ht="14.25" customHeight="1">
      <c r="A490" s="28" t="s">
        <v>23</v>
      </c>
      <c r="B490" s="46">
        <v>120.0</v>
      </c>
      <c r="C490" s="48">
        <v>6.0</v>
      </c>
      <c r="D490" s="1" t="s">
        <v>200</v>
      </c>
      <c r="E490" s="26"/>
      <c r="F490" s="46">
        <v>100.0</v>
      </c>
      <c r="G490" s="48">
        <v>2.0</v>
      </c>
      <c r="H490" s="31"/>
      <c r="I490" s="24"/>
      <c r="J490" s="46"/>
      <c r="K490" s="22"/>
      <c r="L490" s="23"/>
      <c r="M490" s="26"/>
      <c r="N490" s="30"/>
      <c r="O490" s="30"/>
    </row>
    <row r="491" ht="14.25" customHeight="1">
      <c r="A491" s="13"/>
      <c r="B491" s="13"/>
      <c r="C491" s="24"/>
      <c r="D491" s="73" t="s">
        <v>86</v>
      </c>
      <c r="E491" s="26"/>
      <c r="F491" s="13"/>
      <c r="G491" s="34"/>
      <c r="H491" s="13"/>
      <c r="I491" s="34"/>
      <c r="J491" s="13"/>
      <c r="K491" s="24"/>
      <c r="L491" s="13"/>
      <c r="M491" s="24"/>
      <c r="N491" s="30"/>
      <c r="O491" s="30"/>
    </row>
    <row r="492" ht="14.25" customHeight="1">
      <c r="A492" s="28" t="s">
        <v>24</v>
      </c>
      <c r="B492" s="35" t="s">
        <v>25</v>
      </c>
      <c r="C492" s="58">
        <f>C487*B487 + B488*C488 + B489*C489 + B490*C490 + B491*C491</f>
        <v>2670</v>
      </c>
      <c r="D492" s="57" t="s">
        <v>25</v>
      </c>
      <c r="E492" s="55" t="str">
        <f>E487*D487 + D488*#REF! + E488*E489 + D490*E490 + D491*E491</f>
        <v>#VALUE!</v>
      </c>
      <c r="F492" s="35" t="s">
        <v>25</v>
      </c>
      <c r="G492" s="56">
        <f>G487*F487 + F488*G488 + F489*G489 + F490*G490 + F491*G491</f>
        <v>1600</v>
      </c>
      <c r="H492" s="35" t="s">
        <v>25</v>
      </c>
      <c r="I492" s="56" t="str">
        <f>I487*H487 + H488*I488 + H489*I489 + H490*I490 + H491*I491</f>
        <v>#VALUE!</v>
      </c>
      <c r="J492" s="35" t="s">
        <v>25</v>
      </c>
      <c r="K492" s="58">
        <f>K487*J487 + J488*K488 + J489*K489 + J490*K490 + J491*K491</f>
        <v>1875</v>
      </c>
      <c r="L492" s="35" t="s">
        <v>25</v>
      </c>
      <c r="M492" s="36" t="str">
        <f>M487*L487 + L488*M488 + L489*M489 + L490*M490 + L491*M491</f>
        <v>#VALUE!</v>
      </c>
      <c r="N492" s="30"/>
      <c r="O492" s="30"/>
    </row>
    <row r="493" ht="14.25" customHeight="1">
      <c r="A493" s="37"/>
      <c r="B493" s="39" t="s">
        <v>26</v>
      </c>
      <c r="C493" s="116">
        <f>(B487*C487 + B488*C488 + B489*C489 + B490*C490 + B491*C491)/SUM(C487:C491)</f>
        <v>111.25</v>
      </c>
      <c r="D493" s="31" t="s">
        <v>26</v>
      </c>
      <c r="E493" s="74" t="str">
        <f>(D487*E487 + D488*#REF! + E488*E489 + D490*E490 + D491*E491)/SUM(E487:E491)</f>
        <v>#VALUE!</v>
      </c>
      <c r="F493" s="13" t="s">
        <v>26</v>
      </c>
      <c r="G493" s="117">
        <f>(F487*G487 + F488*G488 + F489*G489 + F490*G490 + F491*G491)/SUM(G487:G491)</f>
        <v>88.88888889</v>
      </c>
      <c r="H493" s="13" t="s">
        <v>26</v>
      </c>
      <c r="I493" s="74" t="str">
        <f>(H487*I487 + H488*I488 + H489*I489 + H490*I490 + H491*I491)/SUM(I487:I491)</f>
        <v>#VALUE!</v>
      </c>
      <c r="J493" s="39" t="s">
        <v>26</v>
      </c>
      <c r="K493" s="116">
        <f>(J487*K487 + J488*K488 + J489*K489 + J490*K490 + J491*K491)/SUM(K487:K491)</f>
        <v>93.75</v>
      </c>
      <c r="L493" s="13" t="s">
        <v>26</v>
      </c>
      <c r="M493" s="75" t="str">
        <f>(L487*M487 + L488*M488 + L489*M489 + L490*M490 + L491*M491)/SUM(M487:M491)</f>
        <v>#VALUE!</v>
      </c>
      <c r="N493" s="30"/>
      <c r="O493" s="30"/>
    </row>
    <row r="494" ht="14.25" customHeight="1">
      <c r="A494" s="28" t="s">
        <v>27</v>
      </c>
      <c r="B494" s="11" t="s">
        <v>10</v>
      </c>
      <c r="C494" s="12" t="s">
        <v>11</v>
      </c>
      <c r="D494" s="11" t="s">
        <v>10</v>
      </c>
      <c r="E494" s="12" t="s">
        <v>11</v>
      </c>
      <c r="F494" s="11" t="s">
        <v>10</v>
      </c>
      <c r="G494" s="12" t="s">
        <v>11</v>
      </c>
      <c r="H494" s="11" t="s">
        <v>10</v>
      </c>
      <c r="I494" s="12" t="s">
        <v>11</v>
      </c>
      <c r="J494" s="11" t="s">
        <v>10</v>
      </c>
      <c r="K494" s="12" t="s">
        <v>11</v>
      </c>
      <c r="L494" s="11" t="s">
        <v>10</v>
      </c>
      <c r="M494" s="12" t="s">
        <v>11</v>
      </c>
      <c r="N494" s="30"/>
      <c r="O494" s="30"/>
    </row>
    <row r="495" ht="14.25" customHeight="1">
      <c r="A495" s="41" t="s">
        <v>28</v>
      </c>
      <c r="B495" s="70" t="s">
        <v>135</v>
      </c>
      <c r="C495" s="17"/>
      <c r="D495" s="45" t="s">
        <v>88</v>
      </c>
      <c r="E495" s="76" t="s">
        <v>49</v>
      </c>
      <c r="F495" s="68" t="s">
        <v>201</v>
      </c>
      <c r="G495" s="17"/>
      <c r="H495" s="70" t="s">
        <v>91</v>
      </c>
      <c r="I495" s="44" t="s">
        <v>90</v>
      </c>
      <c r="J495" s="68" t="s">
        <v>134</v>
      </c>
      <c r="K495" s="17"/>
      <c r="L495" s="42" t="s">
        <v>91</v>
      </c>
      <c r="M495" s="44" t="s">
        <v>90</v>
      </c>
      <c r="N495" s="30"/>
      <c r="O495" s="30"/>
    </row>
    <row r="496" ht="14.25" customHeight="1">
      <c r="A496" s="28"/>
      <c r="B496" s="28">
        <v>85.0</v>
      </c>
      <c r="C496" s="54">
        <v>6.0</v>
      </c>
      <c r="D496" s="1">
        <v>60.0</v>
      </c>
      <c r="E496" s="54"/>
      <c r="F496" s="46">
        <v>115.0</v>
      </c>
      <c r="G496" s="22">
        <v>8.0</v>
      </c>
      <c r="H496" s="28">
        <v>30.0</v>
      </c>
      <c r="I496" s="24"/>
      <c r="J496" s="46">
        <v>95.0</v>
      </c>
      <c r="K496" s="22">
        <v>8.0</v>
      </c>
      <c r="L496" s="28" t="s">
        <v>136</v>
      </c>
      <c r="M496" s="26"/>
      <c r="N496" s="30"/>
      <c r="O496" s="30"/>
    </row>
    <row r="497" ht="14.25" customHeight="1">
      <c r="A497" s="28" t="s">
        <v>37</v>
      </c>
      <c r="B497" s="27">
        <v>90.0</v>
      </c>
      <c r="C497" s="54">
        <v>6.0</v>
      </c>
      <c r="D497" s="1">
        <v>30.0</v>
      </c>
      <c r="E497" s="54"/>
      <c r="F497" s="46">
        <v>120.0</v>
      </c>
      <c r="G497" s="22">
        <v>8.0</v>
      </c>
      <c r="H497" s="28">
        <v>30.0</v>
      </c>
      <c r="I497" s="24"/>
      <c r="J497" s="46">
        <v>100.0</v>
      </c>
      <c r="K497" s="22">
        <v>8.0</v>
      </c>
      <c r="L497" s="28" t="s">
        <v>99</v>
      </c>
      <c r="M497" s="26"/>
      <c r="N497" s="30"/>
      <c r="O497" s="30"/>
    </row>
    <row r="498" ht="14.25" customHeight="1">
      <c r="A498" s="28" t="s">
        <v>39</v>
      </c>
      <c r="B498" s="27">
        <v>95.0</v>
      </c>
      <c r="C498" s="54">
        <v>6.0</v>
      </c>
      <c r="D498" s="1">
        <v>80.0</v>
      </c>
      <c r="E498" s="54"/>
      <c r="F498" s="46">
        <v>125.0</v>
      </c>
      <c r="G498" s="48">
        <v>6.0</v>
      </c>
      <c r="H498" s="28">
        <v>60.0</v>
      </c>
      <c r="I498" s="24"/>
      <c r="J498" s="46">
        <v>105.0</v>
      </c>
      <c r="K498" s="48">
        <v>6.0</v>
      </c>
      <c r="L498" s="28" t="s">
        <v>137</v>
      </c>
      <c r="M498" s="26"/>
      <c r="N498" s="30"/>
      <c r="O498" s="30"/>
    </row>
    <row r="499" ht="14.25" customHeight="1">
      <c r="A499" s="28"/>
      <c r="B499" s="46">
        <v>100.0</v>
      </c>
      <c r="C499" s="48">
        <v>6.0</v>
      </c>
      <c r="D499" s="1">
        <v>30.0</v>
      </c>
      <c r="E499" s="54"/>
      <c r="F499" s="46">
        <v>130.0</v>
      </c>
      <c r="G499" s="48">
        <v>6.0</v>
      </c>
      <c r="H499" s="28">
        <v>60.0</v>
      </c>
      <c r="I499" s="24"/>
      <c r="J499" s="46">
        <v>110.0</v>
      </c>
      <c r="K499" s="48">
        <v>6.0</v>
      </c>
      <c r="L499" s="28" t="s">
        <v>138</v>
      </c>
      <c r="M499" s="26"/>
      <c r="N499" s="30"/>
      <c r="O499" s="30"/>
    </row>
    <row r="500" ht="14.25" customHeight="1">
      <c r="A500" s="28" t="s">
        <v>41</v>
      </c>
      <c r="B500" s="13"/>
      <c r="C500" s="24"/>
      <c r="D500" s="1" t="s">
        <v>101</v>
      </c>
      <c r="E500" s="24"/>
      <c r="F500" s="31"/>
      <c r="G500" s="24"/>
      <c r="H500" s="28">
        <v>30.0</v>
      </c>
      <c r="I500" s="24"/>
      <c r="J500" s="31"/>
      <c r="K500" s="24"/>
      <c r="L500" s="28" t="s">
        <v>109</v>
      </c>
      <c r="M500" s="24"/>
      <c r="N500" s="30"/>
      <c r="O500" s="30"/>
    </row>
    <row r="501" ht="14.25" customHeight="1">
      <c r="A501" s="28" t="s">
        <v>43</v>
      </c>
      <c r="B501" s="13"/>
      <c r="C501" s="34"/>
      <c r="D501" s="28" t="s">
        <v>103</v>
      </c>
      <c r="E501" s="34"/>
      <c r="F501" s="13"/>
      <c r="G501" s="34"/>
      <c r="H501" s="32"/>
      <c r="I501" s="24"/>
      <c r="J501" s="13"/>
      <c r="K501" s="24"/>
      <c r="L501" s="32"/>
      <c r="M501" s="24" t="s">
        <v>42</v>
      </c>
      <c r="N501" s="30"/>
      <c r="O501" s="30"/>
    </row>
    <row r="502" ht="14.25" customHeight="1">
      <c r="A502" s="28"/>
      <c r="B502" s="35" t="s">
        <v>25</v>
      </c>
      <c r="C502" s="55">
        <f>C496*B496 + B497*C497 + B498*C498 + B499*C499 + B501*C501</f>
        <v>2220</v>
      </c>
      <c r="D502" s="35" t="s">
        <v>25</v>
      </c>
      <c r="E502" s="55" t="str">
        <f>E496*D496 + D497*E497 + D498*E498 + D499*E499 + D501*E501</f>
        <v>#VALUE!</v>
      </c>
      <c r="F502" s="35" t="s">
        <v>25</v>
      </c>
      <c r="G502" s="55">
        <f>G496*F496 + F497*G497 + F498*G498 + F499*G499 + F501*G501</f>
        <v>3410</v>
      </c>
      <c r="H502" s="35" t="s">
        <v>25</v>
      </c>
      <c r="I502" s="56">
        <f>I496*H496 + H497*I497 + H498*I498 + H499*I499 + H501*I501</f>
        <v>0</v>
      </c>
      <c r="J502" s="35" t="s">
        <v>25</v>
      </c>
      <c r="K502" s="36">
        <f>K496*J496 + J497*K497 + J498*K498 + J499*K499 + J501*K501</f>
        <v>2850</v>
      </c>
      <c r="L502" s="35" t="s">
        <v>25</v>
      </c>
      <c r="M502" s="36" t="str">
        <f>M496*L496 + L497*M497 + L498*M498 + L499*M499 + L501*M501</f>
        <v>#VALUE!</v>
      </c>
      <c r="N502" s="30"/>
      <c r="O502" s="30"/>
    </row>
    <row r="503" ht="14.25" customHeight="1">
      <c r="A503" s="28" t="s">
        <v>116</v>
      </c>
      <c r="B503" s="39" t="s">
        <v>26</v>
      </c>
      <c r="C503" s="77">
        <f>(B496*C496 + B497*C497 + B498*C498 + B499*C499 + B501*C501)/SUM(C496:C501)</f>
        <v>92.5</v>
      </c>
      <c r="D503" s="39" t="s">
        <v>26</v>
      </c>
      <c r="E503" s="77" t="str">
        <f>(D496*E496 + D497*E497 + D498*E498 + D499*E499 + D501*E501)/SUM(E496:E501)</f>
        <v>#VALUE!</v>
      </c>
      <c r="F503" s="39" t="s">
        <v>26</v>
      </c>
      <c r="G503" s="77">
        <f>(F496*G496 + F497*G497 + F498*G498 + F499*G499 + F501*G501)/SUM(G496:G501)</f>
        <v>121.7857143</v>
      </c>
      <c r="H503" s="39" t="s">
        <v>26</v>
      </c>
      <c r="I503" s="77" t="str">
        <f>(H496*I496 + H497*I497 + H498*I498 + H499*I499 + H501*I501)/SUM(I496:I501)</f>
        <v>#DIV/0!</v>
      </c>
      <c r="J503" s="39" t="s">
        <v>26</v>
      </c>
      <c r="K503" s="40">
        <f>(J496*K496 + J497*K497 + J498*K498 + J499*K499 + J501*K501)/SUM(K496:K501)</f>
        <v>101.7857143</v>
      </c>
      <c r="L503" s="39" t="s">
        <v>26</v>
      </c>
      <c r="M503" s="40" t="str">
        <f>(L496*M496 + L497*M497 + L498*M498 + L499*M499 + L501*M501)/SUM(M496:M501)</f>
        <v>#VALUE!</v>
      </c>
      <c r="N503" s="30"/>
      <c r="O503" s="30"/>
    </row>
    <row r="504" ht="14.25" customHeight="1">
      <c r="A504" s="28" t="s">
        <v>117</v>
      </c>
      <c r="B504" s="70" t="s">
        <v>185</v>
      </c>
      <c r="C504" s="17"/>
      <c r="D504" s="45" t="s">
        <v>88</v>
      </c>
      <c r="E504" s="17"/>
      <c r="F504" s="70" t="s">
        <v>71</v>
      </c>
      <c r="G504" s="17"/>
      <c r="H504" s="49"/>
      <c r="I504" s="17"/>
      <c r="J504" s="70" t="s">
        <v>185</v>
      </c>
      <c r="K504" s="17"/>
      <c r="L504" s="42" t="s">
        <v>105</v>
      </c>
      <c r="M504" s="44" t="s">
        <v>49</v>
      </c>
      <c r="N504" s="30"/>
      <c r="O504" s="30"/>
    </row>
    <row r="505" ht="14.25" customHeight="1">
      <c r="A505" s="28" t="s">
        <v>120</v>
      </c>
      <c r="B505" s="28"/>
      <c r="C505" s="54">
        <v>8.0</v>
      </c>
      <c r="D505" s="110">
        <v>100.0</v>
      </c>
      <c r="E505" s="24"/>
      <c r="F505" s="28">
        <v>80.0</v>
      </c>
      <c r="G505" s="54">
        <v>8.0</v>
      </c>
      <c r="H505" s="1">
        <v>30.0</v>
      </c>
      <c r="I505" s="24"/>
      <c r="J505" s="28"/>
      <c r="K505" s="54">
        <v>8.0</v>
      </c>
      <c r="L505" s="28" t="s">
        <v>139</v>
      </c>
      <c r="M505" s="24"/>
      <c r="N505" s="30"/>
      <c r="O505" s="30"/>
    </row>
    <row r="506" ht="14.25" customHeight="1">
      <c r="A506" s="28" t="s">
        <v>186</v>
      </c>
      <c r="B506" s="27"/>
      <c r="C506" s="54">
        <v>8.0</v>
      </c>
      <c r="D506" s="46">
        <v>80.0</v>
      </c>
      <c r="E506" s="26"/>
      <c r="F506" s="27">
        <v>85.0</v>
      </c>
      <c r="G506" s="54">
        <v>8.0</v>
      </c>
      <c r="H506" s="1">
        <v>60.0</v>
      </c>
      <c r="I506" s="24"/>
      <c r="J506" s="27"/>
      <c r="K506" s="54">
        <v>8.0</v>
      </c>
      <c r="L506" s="28" t="s">
        <v>108</v>
      </c>
      <c r="M506" s="26"/>
      <c r="N506" s="30"/>
      <c r="O506" s="30"/>
    </row>
    <row r="507" ht="14.25" customHeight="1">
      <c r="A507" s="28" t="s">
        <v>187</v>
      </c>
      <c r="B507" s="27"/>
      <c r="C507" s="54">
        <v>8.0</v>
      </c>
      <c r="D507" s="46">
        <v>60.0</v>
      </c>
      <c r="E507" s="24"/>
      <c r="F507" s="27">
        <v>87.5</v>
      </c>
      <c r="G507" s="54">
        <v>8.0</v>
      </c>
      <c r="H507" s="1">
        <v>60.0</v>
      </c>
      <c r="I507" s="24"/>
      <c r="J507" s="27"/>
      <c r="K507" s="54">
        <v>8.0</v>
      </c>
      <c r="L507" s="28" t="s">
        <v>107</v>
      </c>
      <c r="M507" s="24"/>
      <c r="N507" s="30"/>
      <c r="O507" s="30"/>
    </row>
    <row r="508" ht="14.25" customHeight="1">
      <c r="A508" s="28" t="s">
        <v>188</v>
      </c>
      <c r="B508" s="28"/>
      <c r="C508" s="79"/>
      <c r="D508" s="46">
        <v>40.0</v>
      </c>
      <c r="E508" s="79"/>
      <c r="F508" s="28"/>
      <c r="G508" s="34"/>
      <c r="H508" s="28">
        <v>30.0</v>
      </c>
      <c r="I508" s="34"/>
      <c r="J508" s="28"/>
      <c r="K508" s="54"/>
      <c r="L508" s="32" t="s">
        <v>109</v>
      </c>
      <c r="M508" s="24"/>
      <c r="N508" s="30"/>
      <c r="O508" s="30"/>
    </row>
    <row r="509" ht="14.25" customHeight="1">
      <c r="A509" s="28" t="s">
        <v>189</v>
      </c>
      <c r="B509" s="13"/>
      <c r="C509" s="34"/>
      <c r="D509" s="21">
        <v>30.0</v>
      </c>
      <c r="E509" s="34"/>
      <c r="F509" s="13"/>
      <c r="G509" s="34"/>
      <c r="H509" s="28"/>
      <c r="I509" s="34"/>
      <c r="J509" s="13"/>
      <c r="K509" s="24"/>
      <c r="L509" s="31"/>
      <c r="M509" s="24"/>
      <c r="N509" s="30"/>
      <c r="O509" s="30"/>
    </row>
    <row r="510" ht="14.25" customHeight="1">
      <c r="A510" s="28" t="s">
        <v>190</v>
      </c>
      <c r="B510" s="35" t="s">
        <v>25</v>
      </c>
      <c r="C510" s="55">
        <f>C505*B505 + B506*C506 + B507*C507 + B508*C508 + B509*C509</f>
        <v>0</v>
      </c>
      <c r="D510" s="35" t="s">
        <v>25</v>
      </c>
      <c r="E510" s="55">
        <f>E505*D505 + D506*E506 + D507*E507 + D508*E508 + D509*E509</f>
        <v>0</v>
      </c>
      <c r="F510" s="35" t="s">
        <v>25</v>
      </c>
      <c r="G510" s="55">
        <f>G505*F505 + F506*G506 + F507*G507 + F508*G508 + F509*G509</f>
        <v>2020</v>
      </c>
      <c r="H510" s="35" t="s">
        <v>25</v>
      </c>
      <c r="I510" s="56">
        <f>I505*H505 + H506*I506 + H507*I507 + H508*I508 + H509*I509</f>
        <v>0</v>
      </c>
      <c r="J510" s="35" t="s">
        <v>25</v>
      </c>
      <c r="K510" s="36">
        <f>K505*J505 + J506*K506 + J507*K507 + J508*K508 + J509*K509</f>
        <v>0</v>
      </c>
      <c r="L510" s="57" t="s">
        <v>25</v>
      </c>
      <c r="M510" s="58" t="str">
        <f>M505*L505 + L506*M506 + L507*M507 + L508*M508 + L509*M509</f>
        <v>#VALUE!</v>
      </c>
      <c r="N510" s="30"/>
      <c r="O510" s="30"/>
    </row>
    <row r="511" ht="14.25" customHeight="1">
      <c r="A511" s="28" t="s">
        <v>191</v>
      </c>
      <c r="B511" s="39" t="s">
        <v>26</v>
      </c>
      <c r="C511" s="40">
        <f>(B505*C505 + B506*C506 + B507*C507 + B508*C508 + B509*C509)/SUM(C505:C509)</f>
        <v>0</v>
      </c>
      <c r="D511" s="59" t="s">
        <v>26</v>
      </c>
      <c r="E511" s="40" t="str">
        <f>(D505*E505 + D506*E506 + D507*E507 + D508*E508 + D509*E509)/SUM(E505:E509)</f>
        <v>#DIV/0!</v>
      </c>
      <c r="F511" s="31" t="s">
        <v>26</v>
      </c>
      <c r="G511" s="75">
        <f>(F505*G505 + F506*G506 + F507*G507 + F508*G508 + F509*G509)/SUM(G505:G509)</f>
        <v>84.16666667</v>
      </c>
      <c r="H511" s="59" t="s">
        <v>26</v>
      </c>
      <c r="I511" s="40" t="str">
        <f>(H505*I505 + H506*I506 + H507*I507 + H508*I508 + H509*I509)/SUM(I505:I509)</f>
        <v>#DIV/0!</v>
      </c>
      <c r="J511" s="39" t="s">
        <v>26</v>
      </c>
      <c r="K511" s="40">
        <f>(J505*K505 + J506*K506 + J507*K507 + J508*K508 + J509*K509)/SUM(K505:K509)</f>
        <v>0</v>
      </c>
      <c r="L511" s="59" t="s">
        <v>26</v>
      </c>
      <c r="M511" s="40" t="str">
        <f>(L505*M505 + L506*M506 + L507*M507 + L508*M508 + L509*M509)/SUM(M505:M509)</f>
        <v>#VALUE!</v>
      </c>
      <c r="N511" s="30"/>
      <c r="O511" s="30"/>
    </row>
    <row r="512" ht="14.25" customHeight="1">
      <c r="A512" s="28" t="s">
        <v>192</v>
      </c>
      <c r="B512" s="28" t="s">
        <v>91</v>
      </c>
      <c r="C512" s="30" t="s">
        <v>49</v>
      </c>
      <c r="D512" s="37"/>
      <c r="E512" s="30" t="s">
        <v>49</v>
      </c>
      <c r="F512" s="120" t="s">
        <v>193</v>
      </c>
      <c r="G512" s="121" t="s">
        <v>49</v>
      </c>
      <c r="H512" s="122" t="s">
        <v>33</v>
      </c>
      <c r="I512" s="30"/>
      <c r="J512" s="28" t="s">
        <v>91</v>
      </c>
      <c r="K512" s="60" t="s">
        <v>49</v>
      </c>
      <c r="L512" s="30"/>
      <c r="M512" s="60" t="s">
        <v>49</v>
      </c>
      <c r="N512" s="30"/>
      <c r="O512" s="30"/>
    </row>
    <row r="513" ht="14.25" customHeight="1">
      <c r="A513" s="28"/>
      <c r="B513" s="27">
        <v>20.0</v>
      </c>
      <c r="C513" s="60"/>
      <c r="D513" s="23"/>
      <c r="E513" s="61"/>
      <c r="F513" s="27" t="s">
        <v>194</v>
      </c>
      <c r="G513" s="61"/>
      <c r="H513" s="30"/>
      <c r="I513" s="60"/>
      <c r="J513" s="27">
        <v>40.0</v>
      </c>
      <c r="K513" s="60"/>
      <c r="L513" s="62"/>
      <c r="M513" s="60"/>
      <c r="N513" s="30"/>
      <c r="O513" s="30"/>
    </row>
    <row r="514" ht="14.25" customHeight="1">
      <c r="A514" s="28" t="s">
        <v>195</v>
      </c>
      <c r="B514" s="27">
        <v>30.0</v>
      </c>
      <c r="C514" s="60"/>
      <c r="D514" s="23"/>
      <c r="E514" s="60"/>
      <c r="F514" s="53"/>
      <c r="G514" s="60"/>
      <c r="H514" s="30"/>
      <c r="I514" s="60"/>
      <c r="J514" s="69">
        <v>30.0</v>
      </c>
      <c r="K514" s="60"/>
      <c r="L514" s="30"/>
      <c r="M514" s="60"/>
      <c r="N514" s="30"/>
      <c r="O514" s="30"/>
    </row>
    <row r="515" ht="14.25" customHeight="1">
      <c r="A515" s="37"/>
      <c r="B515" s="28">
        <v>40.0</v>
      </c>
      <c r="C515" s="60"/>
      <c r="D515" s="23"/>
      <c r="E515" s="60"/>
      <c r="F515" s="23"/>
      <c r="G515" s="60"/>
      <c r="H515" s="30"/>
      <c r="I515" s="60"/>
      <c r="J515" s="1">
        <v>20.0</v>
      </c>
      <c r="K515" s="60"/>
      <c r="L515" s="30"/>
      <c r="M515" s="60"/>
      <c r="N515" s="30"/>
      <c r="O515" s="30"/>
    </row>
    <row r="516" ht="14.25" customHeight="1">
      <c r="A516" s="37"/>
      <c r="B516" s="28">
        <v>50.0</v>
      </c>
      <c r="C516" s="1"/>
      <c r="D516" s="28"/>
      <c r="E516" s="1"/>
      <c r="F516" s="28"/>
      <c r="G516" s="60"/>
      <c r="H516" s="30"/>
      <c r="I516" s="30"/>
      <c r="J516" s="28">
        <v>50.0</v>
      </c>
      <c r="K516" s="60"/>
      <c r="L516" s="30"/>
      <c r="M516" s="60"/>
      <c r="N516" s="30"/>
      <c r="O516" s="30"/>
    </row>
    <row r="517" ht="14.25" customHeight="1">
      <c r="A517" s="37"/>
      <c r="B517" s="28"/>
      <c r="C517" s="1"/>
      <c r="D517" s="28"/>
      <c r="E517" s="1"/>
      <c r="F517" s="28"/>
      <c r="G517" s="60"/>
      <c r="H517" s="30"/>
      <c r="I517" s="30"/>
      <c r="J517" s="28">
        <v>30.0</v>
      </c>
      <c r="K517" s="60"/>
      <c r="L517" s="30"/>
      <c r="M517" s="60"/>
      <c r="N517" s="30"/>
      <c r="O517" s="30"/>
    </row>
    <row r="518" ht="14.25" customHeight="1">
      <c r="A518" s="37"/>
      <c r="B518" s="28"/>
      <c r="C518" s="1"/>
      <c r="D518" s="28"/>
      <c r="E518" s="1"/>
      <c r="F518" s="28"/>
      <c r="G518" s="60"/>
      <c r="H518" s="30"/>
      <c r="I518" s="30"/>
      <c r="J518" s="37"/>
      <c r="K518" s="60"/>
      <c r="L518" s="30"/>
      <c r="M518" s="60"/>
      <c r="N518" s="30"/>
      <c r="O518" s="30"/>
    </row>
    <row r="519" ht="14.25" customHeight="1">
      <c r="A519" s="64"/>
      <c r="B519" s="65"/>
      <c r="C519" s="66"/>
      <c r="D519" s="65"/>
      <c r="E519" s="66"/>
      <c r="F519" s="64"/>
      <c r="G519" s="67"/>
      <c r="H519" s="66"/>
      <c r="I519" s="66"/>
      <c r="J519" s="64"/>
      <c r="K519" s="67"/>
      <c r="L519" s="66"/>
      <c r="M519" s="67"/>
      <c r="N519" s="30"/>
      <c r="O519" s="30"/>
    </row>
    <row r="520" ht="14.25" customHeight="1">
      <c r="A520" s="30"/>
      <c r="B520" s="30"/>
      <c r="C520" s="30"/>
      <c r="D520" s="23"/>
      <c r="E520" s="30"/>
      <c r="F520" s="30"/>
      <c r="G520" s="30"/>
      <c r="H520" s="23"/>
      <c r="I520" s="30"/>
      <c r="J520" s="30"/>
      <c r="K520" s="30"/>
      <c r="L520" s="30"/>
      <c r="M520" s="30"/>
      <c r="N520" s="30"/>
      <c r="O520" s="30"/>
    </row>
    <row r="521" ht="14.25" customHeight="1">
      <c r="A521" s="2" t="s">
        <v>2</v>
      </c>
      <c r="B521" s="3" t="s">
        <v>3</v>
      </c>
      <c r="C521" s="4">
        <f>M484+2</f>
        <v>45453</v>
      </c>
      <c r="D521" s="5" t="s">
        <v>4</v>
      </c>
      <c r="E521" s="6">
        <f>C521+1</f>
        <v>45454</v>
      </c>
      <c r="F521" s="3" t="s">
        <v>5</v>
      </c>
      <c r="G521" s="6">
        <f>E521+1</f>
        <v>45455</v>
      </c>
      <c r="H521" s="3" t="s">
        <v>6</v>
      </c>
      <c r="I521" s="6">
        <f>G521+1</f>
        <v>45456</v>
      </c>
      <c r="J521" s="3" t="s">
        <v>7</v>
      </c>
      <c r="K521" s="6">
        <f>I521+1</f>
        <v>45457</v>
      </c>
      <c r="L521" s="7" t="s">
        <v>8</v>
      </c>
      <c r="M521" s="8">
        <f>K521+1</f>
        <v>45458</v>
      </c>
      <c r="N521" s="30"/>
      <c r="O521" s="30"/>
    </row>
    <row r="522" ht="14.25" customHeight="1">
      <c r="A522" s="10">
        <f>A485+1</f>
        <v>15</v>
      </c>
      <c r="B522" s="11" t="s">
        <v>10</v>
      </c>
      <c r="C522" s="12" t="s">
        <v>11</v>
      </c>
      <c r="D522" s="11" t="s">
        <v>10</v>
      </c>
      <c r="E522" s="12" t="s">
        <v>11</v>
      </c>
      <c r="F522" s="11" t="s">
        <v>10</v>
      </c>
      <c r="G522" s="12" t="s">
        <v>11</v>
      </c>
      <c r="H522" s="11" t="s">
        <v>10</v>
      </c>
      <c r="I522" s="12" t="s">
        <v>11</v>
      </c>
      <c r="J522" s="11" t="s">
        <v>10</v>
      </c>
      <c r="K522" s="12" t="s">
        <v>11</v>
      </c>
      <c r="L522" s="11" t="s">
        <v>10</v>
      </c>
      <c r="M522" s="12" t="s">
        <v>11</v>
      </c>
      <c r="N522" s="30"/>
      <c r="O522" s="30"/>
    </row>
    <row r="523" ht="14.25" customHeight="1">
      <c r="A523" s="13" t="s">
        <v>12</v>
      </c>
      <c r="B523" s="20" t="s">
        <v>146</v>
      </c>
      <c r="C523" s="76"/>
      <c r="D523" s="18" t="s">
        <v>14</v>
      </c>
      <c r="E523" s="17"/>
      <c r="F523" s="20" t="s">
        <v>145</v>
      </c>
      <c r="G523" s="17"/>
      <c r="H523" s="42" t="s">
        <v>15</v>
      </c>
      <c r="I523" s="17"/>
      <c r="J523" s="20" t="s">
        <v>202</v>
      </c>
      <c r="K523" s="17"/>
      <c r="L523" s="72" t="s">
        <v>14</v>
      </c>
      <c r="M523" s="17"/>
      <c r="N523" s="30"/>
      <c r="O523" s="30"/>
    </row>
    <row r="524" ht="14.25" customHeight="1">
      <c r="A524" s="13"/>
      <c r="B524" s="46">
        <v>95.0</v>
      </c>
      <c r="C524" s="48">
        <v>6.0</v>
      </c>
      <c r="D524" s="1" t="s">
        <v>129</v>
      </c>
      <c r="E524" s="24" t="s">
        <v>77</v>
      </c>
      <c r="F524" s="46">
        <v>70.0</v>
      </c>
      <c r="G524" s="48">
        <v>6.0</v>
      </c>
      <c r="H524" s="27" t="s">
        <v>130</v>
      </c>
      <c r="I524" s="26"/>
      <c r="J524" s="46">
        <v>85.0</v>
      </c>
      <c r="K524" s="48">
        <v>6.0</v>
      </c>
      <c r="L524" s="52" t="s">
        <v>79</v>
      </c>
      <c r="M524" s="24"/>
      <c r="N524" s="30"/>
      <c r="O524" s="30"/>
    </row>
    <row r="525" ht="14.25" customHeight="1">
      <c r="A525" s="28" t="s">
        <v>20</v>
      </c>
      <c r="B525" s="46">
        <v>100.0</v>
      </c>
      <c r="C525" s="48">
        <v>6.0</v>
      </c>
      <c r="D525" s="23" t="s">
        <v>80</v>
      </c>
      <c r="E525" s="26" t="s">
        <v>81</v>
      </c>
      <c r="F525" s="46">
        <v>75.0</v>
      </c>
      <c r="G525" s="48">
        <v>6.0</v>
      </c>
      <c r="H525" s="28" t="s">
        <v>198</v>
      </c>
      <c r="I525" s="26"/>
      <c r="J525" s="46">
        <v>90.0</v>
      </c>
      <c r="K525" s="48">
        <v>6.0</v>
      </c>
      <c r="L525" s="32" t="s">
        <v>82</v>
      </c>
      <c r="M525" s="24"/>
      <c r="N525" s="30"/>
      <c r="O525" s="30"/>
    </row>
    <row r="526" ht="14.25" customHeight="1">
      <c r="A526" s="29" t="s">
        <v>22</v>
      </c>
      <c r="B526" s="46">
        <v>105.0</v>
      </c>
      <c r="C526" s="48">
        <v>4.0</v>
      </c>
      <c r="D526" s="1" t="s">
        <v>132</v>
      </c>
      <c r="E526" s="26" t="s">
        <v>84</v>
      </c>
      <c r="F526" s="46">
        <v>80.0</v>
      </c>
      <c r="G526" s="48">
        <v>4.0</v>
      </c>
      <c r="H526" s="1" t="s">
        <v>199</v>
      </c>
      <c r="I526" s="26"/>
      <c r="J526" s="46">
        <v>95.0</v>
      </c>
      <c r="K526" s="48">
        <v>4.0</v>
      </c>
      <c r="L526" s="23"/>
      <c r="M526" s="24"/>
      <c r="N526" s="30"/>
      <c r="O526" s="30"/>
    </row>
    <row r="527" ht="14.25" customHeight="1">
      <c r="A527" s="28" t="s">
        <v>23</v>
      </c>
      <c r="B527" s="46">
        <v>110.0</v>
      </c>
      <c r="C527" s="48">
        <v>4.0</v>
      </c>
      <c r="D527" s="1" t="s">
        <v>149</v>
      </c>
      <c r="E527" s="26"/>
      <c r="F527" s="46">
        <v>85.0</v>
      </c>
      <c r="G527" s="48">
        <v>2.0</v>
      </c>
      <c r="H527" s="31"/>
      <c r="I527" s="24"/>
      <c r="J527" s="46"/>
      <c r="K527" s="22"/>
      <c r="L527" s="23"/>
      <c r="M527" s="26"/>
      <c r="N527" s="30"/>
      <c r="O527" s="30"/>
    </row>
    <row r="528" ht="14.25" customHeight="1">
      <c r="A528" s="13"/>
      <c r="B528" s="13"/>
      <c r="C528" s="24"/>
      <c r="D528" s="33" t="s">
        <v>152</v>
      </c>
      <c r="E528" s="26"/>
      <c r="F528" s="13"/>
      <c r="G528" s="34"/>
      <c r="H528" s="13"/>
      <c r="I528" s="34"/>
      <c r="J528" s="13"/>
      <c r="K528" s="24"/>
      <c r="L528" s="13"/>
      <c r="M528" s="24"/>
      <c r="N528" s="30"/>
      <c r="O528" s="30"/>
    </row>
    <row r="529" ht="14.25" customHeight="1">
      <c r="A529" s="28" t="s">
        <v>24</v>
      </c>
      <c r="B529" s="35" t="s">
        <v>25</v>
      </c>
      <c r="C529" s="58">
        <f>C524*B524 + B525*C525 + B526*C526 + B527*C527 + B528*C528</f>
        <v>2030</v>
      </c>
      <c r="D529" s="57" t="s">
        <v>25</v>
      </c>
      <c r="E529" s="55" t="str">
        <f>E524*D524 + D525*#REF! + E525*E526 + D527*E527 + D528*E528</f>
        <v>#VALUE!</v>
      </c>
      <c r="F529" s="35" t="s">
        <v>25</v>
      </c>
      <c r="G529" s="56">
        <f>G524*F524 + F525*G525 + F526*G526 + F527*G527 + F528*G528</f>
        <v>1360</v>
      </c>
      <c r="H529" s="35" t="s">
        <v>25</v>
      </c>
      <c r="I529" s="56" t="str">
        <f>I524*H524 + H525*I525 + H526*I526 + H527*I527 + H528*I528</f>
        <v>#VALUE!</v>
      </c>
      <c r="J529" s="35" t="s">
        <v>25</v>
      </c>
      <c r="K529" s="58">
        <f>K524*J524 + J525*K525 + J526*K526 + J527*K527 + J528*K528</f>
        <v>1430</v>
      </c>
      <c r="L529" s="35" t="s">
        <v>25</v>
      </c>
      <c r="M529" s="36" t="str">
        <f>M524*L524 + L525*M525 + L526*M526 + L527*M527 + L528*M528</f>
        <v>#VALUE!</v>
      </c>
      <c r="N529" s="30"/>
      <c r="O529" s="30"/>
    </row>
    <row r="530" ht="14.25" customHeight="1">
      <c r="A530" s="37"/>
      <c r="B530" s="39" t="s">
        <v>26</v>
      </c>
      <c r="C530" s="116">
        <f>(B524*C524 + B525*C525 + B526*C526 + B527*C527 + B528*C528)/SUM(C524:C528)</f>
        <v>101.5</v>
      </c>
      <c r="D530" s="31" t="s">
        <v>26</v>
      </c>
      <c r="E530" s="74" t="str">
        <f>(D524*E524 + D525*#REF! + E525*E526 + D527*E527 + D528*E528)/SUM(E524:E528)</f>
        <v>#VALUE!</v>
      </c>
      <c r="F530" s="13" t="s">
        <v>26</v>
      </c>
      <c r="G530" s="117">
        <f>(F524*G524 + F525*G525 + F526*G526 + F527*G527 + F528*G528)/SUM(G524:G528)</f>
        <v>75.55555556</v>
      </c>
      <c r="H530" s="13" t="s">
        <v>26</v>
      </c>
      <c r="I530" s="74" t="str">
        <f>(H524*I524 + H525*I525 + H526*I526 + H527*I527 + H528*I528)/SUM(I524:I528)</f>
        <v>#VALUE!</v>
      </c>
      <c r="J530" s="39" t="s">
        <v>26</v>
      </c>
      <c r="K530" s="116">
        <f>(J524*K524 + J525*K525 + J526*K526 + J527*K527 + J528*K528)/SUM(K524:K528)</f>
        <v>89.375</v>
      </c>
      <c r="L530" s="13" t="s">
        <v>26</v>
      </c>
      <c r="M530" s="75" t="str">
        <f>(L524*M524 + L525*M525 + L526*M526 + L527*M527 + L528*M528)/SUM(M524:M528)</f>
        <v>#VALUE!</v>
      </c>
      <c r="N530" s="30"/>
      <c r="O530" s="30"/>
    </row>
    <row r="531" ht="14.25" customHeight="1">
      <c r="A531" s="28" t="s">
        <v>27</v>
      </c>
      <c r="B531" s="11" t="s">
        <v>10</v>
      </c>
      <c r="C531" s="12" t="s">
        <v>11</v>
      </c>
      <c r="D531" s="11" t="s">
        <v>10</v>
      </c>
      <c r="E531" s="12" t="s">
        <v>11</v>
      </c>
      <c r="F531" s="11" t="s">
        <v>10</v>
      </c>
      <c r="G531" s="12" t="s">
        <v>11</v>
      </c>
      <c r="H531" s="11" t="s">
        <v>10</v>
      </c>
      <c r="I531" s="12" t="s">
        <v>11</v>
      </c>
      <c r="J531" s="11" t="s">
        <v>10</v>
      </c>
      <c r="K531" s="12" t="s">
        <v>11</v>
      </c>
      <c r="L531" s="11" t="s">
        <v>10</v>
      </c>
      <c r="M531" s="12" t="s">
        <v>11</v>
      </c>
      <c r="N531" s="30"/>
      <c r="O531" s="30"/>
    </row>
    <row r="532" ht="14.25" customHeight="1">
      <c r="A532" s="41" t="s">
        <v>28</v>
      </c>
      <c r="B532" s="70" t="s">
        <v>203</v>
      </c>
      <c r="C532" s="17"/>
      <c r="D532" s="45" t="s">
        <v>91</v>
      </c>
      <c r="E532" s="76" t="s">
        <v>49</v>
      </c>
      <c r="F532" s="68" t="s">
        <v>201</v>
      </c>
      <c r="G532" s="17"/>
      <c r="H532" s="70" t="s">
        <v>91</v>
      </c>
      <c r="I532" s="44" t="s">
        <v>90</v>
      </c>
      <c r="J532" s="68" t="s">
        <v>134</v>
      </c>
      <c r="K532" s="17"/>
      <c r="L532" s="42" t="s">
        <v>91</v>
      </c>
      <c r="M532" s="44" t="s">
        <v>90</v>
      </c>
      <c r="N532" s="30"/>
      <c r="O532" s="30"/>
    </row>
    <row r="533" ht="14.25" customHeight="1">
      <c r="A533" s="28"/>
      <c r="B533" s="28">
        <v>85.0</v>
      </c>
      <c r="C533" s="54">
        <v>6.0</v>
      </c>
      <c r="D533" s="1">
        <v>30.0</v>
      </c>
      <c r="E533" s="54"/>
      <c r="F533" s="46">
        <v>120.0</v>
      </c>
      <c r="G533" s="48">
        <v>6.0</v>
      </c>
      <c r="H533" s="28">
        <v>30.0</v>
      </c>
      <c r="I533" s="24"/>
      <c r="J533" s="46">
        <v>100.0</v>
      </c>
      <c r="K533" s="48">
        <v>6.0</v>
      </c>
      <c r="L533" s="28">
        <v>60.0</v>
      </c>
      <c r="M533" s="26"/>
      <c r="N533" s="30"/>
      <c r="O533" s="30"/>
    </row>
    <row r="534" ht="14.25" customHeight="1">
      <c r="A534" s="28" t="s">
        <v>37</v>
      </c>
      <c r="B534" s="27">
        <v>90.0</v>
      </c>
      <c r="C534" s="54">
        <v>6.0</v>
      </c>
      <c r="D534" s="1">
        <v>80.0</v>
      </c>
      <c r="E534" s="54"/>
      <c r="F534" s="46">
        <v>130.0</v>
      </c>
      <c r="G534" s="48">
        <v>6.0</v>
      </c>
      <c r="H534" s="28">
        <v>30.0</v>
      </c>
      <c r="I534" s="24"/>
      <c r="J534" s="46">
        <v>110.0</v>
      </c>
      <c r="K534" s="48">
        <v>6.0</v>
      </c>
      <c r="L534" s="28">
        <v>30.0</v>
      </c>
      <c r="M534" s="26"/>
      <c r="N534" s="30"/>
      <c r="O534" s="30"/>
    </row>
    <row r="535" ht="14.25" customHeight="1">
      <c r="A535" s="28" t="s">
        <v>39</v>
      </c>
      <c r="B535" s="27">
        <v>95.0</v>
      </c>
      <c r="C535" s="54">
        <v>6.0</v>
      </c>
      <c r="D535" s="1">
        <v>60.0</v>
      </c>
      <c r="E535" s="54"/>
      <c r="F535" s="46">
        <v>140.0</v>
      </c>
      <c r="G535" s="48">
        <v>5.0</v>
      </c>
      <c r="H535" s="28">
        <v>60.0</v>
      </c>
      <c r="I535" s="24"/>
      <c r="J535" s="46">
        <v>115.0</v>
      </c>
      <c r="K535" s="48">
        <v>5.0</v>
      </c>
      <c r="L535" s="28">
        <v>40.0</v>
      </c>
      <c r="M535" s="26"/>
      <c r="N535" s="30"/>
      <c r="O535" s="30"/>
    </row>
    <row r="536" ht="14.25" customHeight="1">
      <c r="A536" s="28"/>
      <c r="B536" s="46">
        <v>90.0</v>
      </c>
      <c r="C536" s="48">
        <v>6.0</v>
      </c>
      <c r="D536" s="1">
        <v>30.0</v>
      </c>
      <c r="E536" s="54"/>
      <c r="F536" s="46">
        <v>150.0</v>
      </c>
      <c r="G536" s="48">
        <v>5.0</v>
      </c>
      <c r="H536" s="28">
        <v>60.0</v>
      </c>
      <c r="I536" s="24"/>
      <c r="J536" s="46">
        <v>120.0</v>
      </c>
      <c r="K536" s="48">
        <v>5.0</v>
      </c>
      <c r="L536" s="28">
        <v>30.0</v>
      </c>
      <c r="M536" s="26"/>
      <c r="N536" s="30"/>
      <c r="O536" s="30"/>
    </row>
    <row r="537" ht="14.25" customHeight="1">
      <c r="A537" s="28" t="s">
        <v>41</v>
      </c>
      <c r="B537" s="13"/>
      <c r="C537" s="24"/>
      <c r="D537" s="1" t="s">
        <v>101</v>
      </c>
      <c r="E537" s="24"/>
      <c r="F537" s="31"/>
      <c r="G537" s="24"/>
      <c r="H537" s="28">
        <v>30.0</v>
      </c>
      <c r="I537" s="24"/>
      <c r="J537" s="31"/>
      <c r="K537" s="24"/>
      <c r="L537" s="28"/>
      <c r="M537" s="24"/>
      <c r="N537" s="30"/>
      <c r="O537" s="30"/>
    </row>
    <row r="538" ht="14.25" customHeight="1">
      <c r="A538" s="28" t="s">
        <v>43</v>
      </c>
      <c r="B538" s="13"/>
      <c r="C538" s="34"/>
      <c r="D538" s="28" t="s">
        <v>103</v>
      </c>
      <c r="E538" s="34"/>
      <c r="F538" s="13"/>
      <c r="G538" s="34"/>
      <c r="H538" s="32"/>
      <c r="I538" s="24"/>
      <c r="J538" s="13"/>
      <c r="K538" s="24"/>
      <c r="L538" s="32"/>
      <c r="M538" s="54" t="s">
        <v>204</v>
      </c>
      <c r="N538" s="30"/>
      <c r="O538" s="30"/>
    </row>
    <row r="539" ht="14.25" customHeight="1">
      <c r="A539" s="28"/>
      <c r="B539" s="35" t="s">
        <v>25</v>
      </c>
      <c r="C539" s="55">
        <f>C533*B533 + B534*C534 + B535*C535 + B536*C536 + B538*C538</f>
        <v>2160</v>
      </c>
      <c r="D539" s="35" t="s">
        <v>25</v>
      </c>
      <c r="E539" s="55" t="str">
        <f>E533*D533 + D534*E534 + D535*E535 + D536*E536 + D538*E538</f>
        <v>#VALUE!</v>
      </c>
      <c r="F539" s="35" t="s">
        <v>25</v>
      </c>
      <c r="G539" s="55">
        <f>G533*F533 + F534*G534 + F535*G535 + F536*G536 + F538*G538</f>
        <v>2950</v>
      </c>
      <c r="H539" s="35" t="s">
        <v>25</v>
      </c>
      <c r="I539" s="56">
        <f>I533*H533 + H534*I534 + H535*I535 + H536*I536 + H538*I538</f>
        <v>0</v>
      </c>
      <c r="J539" s="35" t="s">
        <v>25</v>
      </c>
      <c r="K539" s="36">
        <f>K533*J533 + J534*K534 + J535*K535 + J536*K536 + J538*K538</f>
        <v>2435</v>
      </c>
      <c r="L539" s="35" t="s">
        <v>25</v>
      </c>
      <c r="M539" s="36" t="str">
        <f>M533*L533 + L534*M534 + L535*M535 + L536*M536 + L538*M538</f>
        <v>#VALUE!</v>
      </c>
      <c r="N539" s="30"/>
      <c r="O539" s="30"/>
    </row>
    <row r="540" ht="14.25" customHeight="1">
      <c r="A540" s="28" t="s">
        <v>116</v>
      </c>
      <c r="B540" s="39" t="s">
        <v>26</v>
      </c>
      <c r="C540" s="77">
        <f>(B533*C533 + B534*C534 + B535*C535 + B536*C536 + B538*C538)/SUM(C533:C538)</f>
        <v>90</v>
      </c>
      <c r="D540" s="39" t="s">
        <v>26</v>
      </c>
      <c r="E540" s="77" t="str">
        <f>(D533*E533 + D534*E534 + D535*E535 + D536*E536 + D538*E538)/SUM(E533:E538)</f>
        <v>#VALUE!</v>
      </c>
      <c r="F540" s="39" t="s">
        <v>26</v>
      </c>
      <c r="G540" s="77">
        <f>(F533*G533 + F534*G534 + F535*G535 + F536*G536 + F538*G538)/SUM(G533:G538)</f>
        <v>134.0909091</v>
      </c>
      <c r="H540" s="39" t="s">
        <v>26</v>
      </c>
      <c r="I540" s="77" t="str">
        <f>(H533*I533 + H534*I534 + H535*I535 + H536*I536 + H538*I538)/SUM(I533:I538)</f>
        <v>#DIV/0!</v>
      </c>
      <c r="J540" s="39" t="s">
        <v>26</v>
      </c>
      <c r="K540" s="40">
        <f>(J533*K533 + J534*K534 + J535*K535 + J536*K536 + J538*K538)/SUM(K533:K538)</f>
        <v>110.6818182</v>
      </c>
      <c r="L540" s="39" t="s">
        <v>26</v>
      </c>
      <c r="M540" s="40" t="str">
        <f>(L533*M533 + L534*M534 + L535*M535 + L536*M536 + L538*M538)/SUM(M533:M538)</f>
        <v>#VALUE!</v>
      </c>
      <c r="N540" s="30"/>
      <c r="O540" s="30"/>
    </row>
    <row r="541" ht="14.25" customHeight="1">
      <c r="A541" s="28" t="s">
        <v>117</v>
      </c>
      <c r="B541" s="70" t="s">
        <v>71</v>
      </c>
      <c r="C541" s="17"/>
      <c r="D541" s="45" t="s">
        <v>91</v>
      </c>
      <c r="E541" s="17"/>
      <c r="F541" s="70" t="s">
        <v>185</v>
      </c>
      <c r="G541" s="17"/>
      <c r="H541" s="49"/>
      <c r="I541" s="17"/>
      <c r="J541" s="70" t="s">
        <v>71</v>
      </c>
      <c r="K541" s="17"/>
      <c r="L541" s="42" t="s">
        <v>105</v>
      </c>
      <c r="M541" s="44" t="s">
        <v>49</v>
      </c>
      <c r="N541" s="30"/>
      <c r="O541" s="30"/>
    </row>
    <row r="542" ht="14.25" customHeight="1">
      <c r="A542" s="28" t="s">
        <v>120</v>
      </c>
      <c r="B542" s="28">
        <v>85.0</v>
      </c>
      <c r="C542" s="54">
        <v>8.0</v>
      </c>
      <c r="D542" s="110">
        <v>100.0</v>
      </c>
      <c r="E542" s="24"/>
      <c r="F542" s="28"/>
      <c r="G542" s="54">
        <v>8.0</v>
      </c>
      <c r="H542" s="1">
        <v>30.0</v>
      </c>
      <c r="I542" s="24"/>
      <c r="J542" s="28">
        <v>90.0</v>
      </c>
      <c r="K542" s="54">
        <v>8.0</v>
      </c>
      <c r="L542" s="28">
        <v>30.0</v>
      </c>
      <c r="M542" s="24"/>
      <c r="N542" s="30"/>
      <c r="O542" s="30"/>
    </row>
    <row r="543" ht="14.25" customHeight="1">
      <c r="A543" s="28"/>
      <c r="B543" s="27">
        <v>90.0</v>
      </c>
      <c r="C543" s="54">
        <v>8.0</v>
      </c>
      <c r="D543" s="46">
        <v>40.0</v>
      </c>
      <c r="E543" s="26"/>
      <c r="F543" s="27"/>
      <c r="G543" s="54">
        <v>8.0</v>
      </c>
      <c r="H543" s="1">
        <v>60.0</v>
      </c>
      <c r="I543" s="24"/>
      <c r="J543" s="27">
        <v>92.5</v>
      </c>
      <c r="K543" s="54">
        <v>8.0</v>
      </c>
      <c r="L543" s="28">
        <v>40.0</v>
      </c>
      <c r="M543" s="26"/>
      <c r="N543" s="30"/>
      <c r="O543" s="30"/>
    </row>
    <row r="544" ht="14.25" customHeight="1">
      <c r="A544" s="28"/>
      <c r="B544" s="27">
        <v>92.5</v>
      </c>
      <c r="C544" s="54">
        <v>8.0</v>
      </c>
      <c r="D544" s="46">
        <v>80.0</v>
      </c>
      <c r="E544" s="24"/>
      <c r="F544" s="27"/>
      <c r="G544" s="54">
        <v>8.0</v>
      </c>
      <c r="H544" s="1">
        <v>60.0</v>
      </c>
      <c r="I544" s="24"/>
      <c r="J544" s="27">
        <v>95.0</v>
      </c>
      <c r="K544" s="54">
        <v>8.0</v>
      </c>
      <c r="L544" s="28">
        <v>60.0</v>
      </c>
      <c r="M544" s="24"/>
      <c r="N544" s="30"/>
      <c r="O544" s="30"/>
    </row>
    <row r="545" ht="14.25" customHeight="1">
      <c r="A545" s="28"/>
      <c r="B545" s="28"/>
      <c r="C545" s="79"/>
      <c r="D545" s="46">
        <v>60.0</v>
      </c>
      <c r="E545" s="79"/>
      <c r="F545" s="28"/>
      <c r="G545" s="34"/>
      <c r="H545" s="28">
        <v>30.0</v>
      </c>
      <c r="I545" s="34"/>
      <c r="J545" s="28"/>
      <c r="K545" s="54"/>
      <c r="L545" s="28">
        <v>30.0</v>
      </c>
      <c r="M545" s="24"/>
      <c r="N545" s="30"/>
      <c r="O545" s="30"/>
    </row>
    <row r="546" ht="14.25" customHeight="1">
      <c r="A546" s="28"/>
      <c r="B546" s="13"/>
      <c r="C546" s="34"/>
      <c r="D546" s="21">
        <v>30.0</v>
      </c>
      <c r="E546" s="34"/>
      <c r="F546" s="13"/>
      <c r="G546" s="34"/>
      <c r="H546" s="28"/>
      <c r="I546" s="34"/>
      <c r="J546" s="13"/>
      <c r="K546" s="24"/>
      <c r="L546" s="31"/>
      <c r="M546" s="24"/>
      <c r="N546" s="30"/>
      <c r="O546" s="30"/>
    </row>
    <row r="547" ht="14.25" customHeight="1">
      <c r="A547" s="28"/>
      <c r="B547" s="35" t="s">
        <v>25</v>
      </c>
      <c r="C547" s="55">
        <f>C542*B542 + B543*C543 + B544*C544 + B545*C545 + B546*C546</f>
        <v>2140</v>
      </c>
      <c r="D547" s="35" t="s">
        <v>25</v>
      </c>
      <c r="E547" s="55">
        <f>E542*D542 + D543*E543 + D544*E544 + D545*E545 + D546*E546</f>
        <v>0</v>
      </c>
      <c r="F547" s="35" t="s">
        <v>25</v>
      </c>
      <c r="G547" s="55">
        <f>G542*F542 + F543*G543 + F544*G544 + F545*G545 + F546*G546</f>
        <v>0</v>
      </c>
      <c r="H547" s="35" t="s">
        <v>25</v>
      </c>
      <c r="I547" s="56">
        <f>I542*H542 + H543*I543 + H544*I544 + H545*I545 + H546*I546</f>
        <v>0</v>
      </c>
      <c r="J547" s="35" t="s">
        <v>25</v>
      </c>
      <c r="K547" s="36">
        <f>K542*J542 + J543*K543 + J544*K544 + J545*K545 + J546*K546</f>
        <v>2220</v>
      </c>
      <c r="L547" s="57" t="s">
        <v>25</v>
      </c>
      <c r="M547" s="58">
        <f>M542*L542 + L543*M543 + L544*M544 + L545*M545 + L546*M546</f>
        <v>0</v>
      </c>
      <c r="N547" s="30"/>
      <c r="O547" s="30"/>
    </row>
    <row r="548" ht="14.25" customHeight="1">
      <c r="A548" s="28"/>
      <c r="B548" s="39" t="s">
        <v>26</v>
      </c>
      <c r="C548" s="40">
        <f>(B542*C542 + B543*C543 + B544*C544 + B545*C545 + B546*C546)/SUM(C542:C546)</f>
        <v>89.16666667</v>
      </c>
      <c r="D548" s="59" t="s">
        <v>26</v>
      </c>
      <c r="E548" s="40" t="str">
        <f>(D542*E542 + D543*E543 + D544*E544 + D545*E545 + D546*E546)/SUM(E542:E546)</f>
        <v>#DIV/0!</v>
      </c>
      <c r="F548" s="31" t="s">
        <v>26</v>
      </c>
      <c r="G548" s="75">
        <f>(F542*G542 + F543*G543 + F544*G544 + F545*G545 + F546*G546)/SUM(G542:G546)</f>
        <v>0</v>
      </c>
      <c r="H548" s="59" t="s">
        <v>26</v>
      </c>
      <c r="I548" s="40" t="str">
        <f>(H542*I542 + H543*I543 + H544*I544 + H545*I545 + H546*I546)/SUM(I542:I546)</f>
        <v>#DIV/0!</v>
      </c>
      <c r="J548" s="39" t="s">
        <v>26</v>
      </c>
      <c r="K548" s="40">
        <f>(J542*K542 + J543*K543 + J544*K544 + J545*K545 + J546*K546)/SUM(K542:K546)</f>
        <v>92.5</v>
      </c>
      <c r="L548" s="59" t="s">
        <v>26</v>
      </c>
      <c r="M548" s="40" t="str">
        <f>(L542*M542 + L543*M543 + L544*M544 + L545*M545 + L546*M546)/SUM(M542:M546)</f>
        <v>#DIV/0!</v>
      </c>
      <c r="N548" s="30"/>
      <c r="O548" s="30"/>
    </row>
    <row r="549" ht="14.25" customHeight="1">
      <c r="A549" s="28"/>
      <c r="B549" s="28" t="s">
        <v>91</v>
      </c>
      <c r="C549" s="30" t="s">
        <v>49</v>
      </c>
      <c r="D549" s="37"/>
      <c r="E549" s="30" t="s">
        <v>49</v>
      </c>
      <c r="F549" s="120" t="s">
        <v>193</v>
      </c>
      <c r="G549" s="121" t="s">
        <v>49</v>
      </c>
      <c r="H549" s="122" t="s">
        <v>33</v>
      </c>
      <c r="I549" s="30"/>
      <c r="J549" s="28" t="s">
        <v>91</v>
      </c>
      <c r="K549" s="60" t="s">
        <v>49</v>
      </c>
      <c r="L549" s="30"/>
      <c r="M549" s="60" t="s">
        <v>49</v>
      </c>
      <c r="N549" s="30"/>
      <c r="O549" s="30"/>
    </row>
    <row r="550" ht="14.25" customHeight="1">
      <c r="A550" s="28"/>
      <c r="B550" s="27" t="s">
        <v>50</v>
      </c>
      <c r="C550" s="60"/>
      <c r="D550" s="23"/>
      <c r="E550" s="61"/>
      <c r="F550" s="27" t="s">
        <v>194</v>
      </c>
      <c r="G550" s="61"/>
      <c r="H550" s="30"/>
      <c r="I550" s="60"/>
      <c r="J550" s="27">
        <v>40.0</v>
      </c>
      <c r="K550" s="60"/>
      <c r="L550" s="62"/>
      <c r="M550" s="60"/>
      <c r="N550" s="30"/>
      <c r="O550" s="30"/>
    </row>
    <row r="551" ht="14.25" customHeight="1">
      <c r="A551" s="28" t="s">
        <v>195</v>
      </c>
      <c r="B551" s="27" t="s">
        <v>205</v>
      </c>
      <c r="C551" s="60"/>
      <c r="D551" s="23"/>
      <c r="E551" s="60"/>
      <c r="F551" s="53"/>
      <c r="G551" s="60"/>
      <c r="H551" s="30"/>
      <c r="I551" s="60"/>
      <c r="J551" s="69">
        <v>30.0</v>
      </c>
      <c r="K551" s="60"/>
      <c r="L551" s="30"/>
      <c r="M551" s="60"/>
      <c r="N551" s="30"/>
      <c r="O551" s="30"/>
    </row>
    <row r="552" ht="14.25" customHeight="1">
      <c r="A552" s="37"/>
      <c r="B552" s="28" t="s">
        <v>206</v>
      </c>
      <c r="C552" s="60"/>
      <c r="D552" s="23"/>
      <c r="E552" s="60"/>
      <c r="F552" s="23"/>
      <c r="G552" s="60"/>
      <c r="H552" s="30"/>
      <c r="I552" s="60"/>
      <c r="J552" s="1">
        <v>20.0</v>
      </c>
      <c r="K552" s="60"/>
      <c r="L552" s="30"/>
      <c r="M552" s="60"/>
      <c r="N552" s="30"/>
      <c r="O552" s="30"/>
    </row>
    <row r="553" ht="14.25" customHeight="1">
      <c r="A553" s="37"/>
      <c r="B553" s="28" t="s">
        <v>207</v>
      </c>
      <c r="C553" s="1"/>
      <c r="D553" s="28"/>
      <c r="E553" s="1"/>
      <c r="F553" s="28"/>
      <c r="G553" s="60"/>
      <c r="H553" s="30"/>
      <c r="I553" s="30"/>
      <c r="J553" s="28">
        <v>50.0</v>
      </c>
      <c r="K553" s="60"/>
      <c r="L553" s="30"/>
      <c r="M553" s="60"/>
      <c r="N553" s="30"/>
      <c r="O553" s="30"/>
    </row>
    <row r="554" ht="14.25" customHeight="1">
      <c r="A554" s="37"/>
      <c r="B554" s="28" t="s">
        <v>208</v>
      </c>
      <c r="C554" s="1"/>
      <c r="D554" s="28"/>
      <c r="E554" s="1"/>
      <c r="F554" s="28"/>
      <c r="G554" s="60"/>
      <c r="H554" s="30"/>
      <c r="I554" s="30"/>
      <c r="J554" s="28">
        <v>30.0</v>
      </c>
      <c r="K554" s="60"/>
      <c r="L554" s="30"/>
      <c r="M554" s="60"/>
      <c r="N554" s="30"/>
      <c r="O554" s="30"/>
    </row>
    <row r="555" ht="14.25" customHeight="1">
      <c r="A555" s="37"/>
      <c r="B555" s="28"/>
      <c r="C555" s="1"/>
      <c r="D555" s="28"/>
      <c r="E555" s="1"/>
      <c r="F555" s="28"/>
      <c r="G555" s="60"/>
      <c r="H555" s="30"/>
      <c r="I555" s="30"/>
      <c r="J555" s="37"/>
      <c r="K555" s="60"/>
      <c r="L555" s="30"/>
      <c r="M555" s="60"/>
      <c r="N555" s="30"/>
      <c r="O555" s="30"/>
    </row>
    <row r="556" ht="14.25" customHeight="1">
      <c r="A556" s="64"/>
      <c r="B556" s="65"/>
      <c r="C556" s="66"/>
      <c r="D556" s="65"/>
      <c r="E556" s="66"/>
      <c r="F556" s="64"/>
      <c r="G556" s="67"/>
      <c r="H556" s="66"/>
      <c r="I556" s="66"/>
      <c r="J556" s="64"/>
      <c r="K556" s="67"/>
      <c r="L556" s="66"/>
      <c r="M556" s="67"/>
      <c r="N556" s="30"/>
      <c r="O556" s="30"/>
    </row>
    <row r="557" ht="14.25" customHeight="1">
      <c r="A557" s="30"/>
      <c r="B557" s="30"/>
      <c r="C557" s="30"/>
      <c r="D557" s="23"/>
      <c r="E557" s="30"/>
      <c r="F557" s="30"/>
      <c r="G557" s="30"/>
      <c r="H557" s="23"/>
      <c r="I557" s="30"/>
      <c r="J557" s="30"/>
      <c r="K557" s="30"/>
      <c r="L557" s="30"/>
      <c r="M557" s="30"/>
      <c r="N557" s="30"/>
      <c r="O557" s="30"/>
    </row>
    <row r="558" ht="14.25" customHeight="1">
      <c r="A558" s="2" t="s">
        <v>2</v>
      </c>
      <c r="B558" s="3" t="s">
        <v>3</v>
      </c>
      <c r="C558" s="4">
        <f>M521+2</f>
        <v>45460</v>
      </c>
      <c r="D558" s="5" t="s">
        <v>4</v>
      </c>
      <c r="E558" s="6">
        <f>C558+1</f>
        <v>45461</v>
      </c>
      <c r="F558" s="3" t="s">
        <v>5</v>
      </c>
      <c r="G558" s="6">
        <f>E558+1</f>
        <v>45462</v>
      </c>
      <c r="H558" s="3" t="s">
        <v>6</v>
      </c>
      <c r="I558" s="6">
        <f>G558+1</f>
        <v>45463</v>
      </c>
      <c r="J558" s="3" t="s">
        <v>7</v>
      </c>
      <c r="K558" s="6">
        <f>I558+1</f>
        <v>45464</v>
      </c>
      <c r="L558" s="7" t="s">
        <v>8</v>
      </c>
      <c r="M558" s="8">
        <f>K558+1</f>
        <v>45465</v>
      </c>
      <c r="N558" s="30"/>
      <c r="O558" s="30"/>
    </row>
    <row r="559" ht="14.25" customHeight="1">
      <c r="A559" s="10">
        <f>A522+1</f>
        <v>16</v>
      </c>
      <c r="B559" s="11" t="s">
        <v>10</v>
      </c>
      <c r="C559" s="12" t="s">
        <v>11</v>
      </c>
      <c r="D559" s="11" t="s">
        <v>10</v>
      </c>
      <c r="E559" s="12" t="s">
        <v>11</v>
      </c>
      <c r="F559" s="11" t="s">
        <v>10</v>
      </c>
      <c r="G559" s="12" t="s">
        <v>11</v>
      </c>
      <c r="H559" s="11" t="s">
        <v>10</v>
      </c>
      <c r="I559" s="12" t="s">
        <v>11</v>
      </c>
      <c r="J559" s="11" t="s">
        <v>10</v>
      </c>
      <c r="K559" s="12" t="s">
        <v>11</v>
      </c>
      <c r="L559" s="11" t="s">
        <v>10</v>
      </c>
      <c r="M559" s="12" t="s">
        <v>11</v>
      </c>
      <c r="N559" s="30"/>
      <c r="O559" s="30"/>
    </row>
    <row r="560" ht="14.25" customHeight="1">
      <c r="A560" s="13" t="s">
        <v>12</v>
      </c>
      <c r="B560" s="20" t="s">
        <v>146</v>
      </c>
      <c r="C560" s="76"/>
      <c r="D560" s="18" t="s">
        <v>14</v>
      </c>
      <c r="E560" s="17"/>
      <c r="F560" s="20" t="s">
        <v>145</v>
      </c>
      <c r="G560" s="17"/>
      <c r="H560" s="42" t="s">
        <v>15</v>
      </c>
      <c r="I560" s="17"/>
      <c r="J560" s="20" t="s">
        <v>202</v>
      </c>
      <c r="K560" s="17"/>
      <c r="L560" s="72" t="s">
        <v>14</v>
      </c>
      <c r="M560" s="17"/>
      <c r="N560" s="30"/>
      <c r="O560" s="30"/>
    </row>
    <row r="561" ht="14.25" customHeight="1">
      <c r="A561" s="13"/>
      <c r="B561" s="46">
        <v>105.0</v>
      </c>
      <c r="C561" s="48">
        <v>6.0</v>
      </c>
      <c r="D561" s="1" t="s">
        <v>129</v>
      </c>
      <c r="E561" s="24" t="s">
        <v>77</v>
      </c>
      <c r="F561" s="46">
        <v>75.0</v>
      </c>
      <c r="G561" s="48">
        <v>6.0</v>
      </c>
      <c r="H561" s="27" t="s">
        <v>130</v>
      </c>
      <c r="I561" s="26"/>
      <c r="J561" s="46">
        <v>90.0</v>
      </c>
      <c r="K561" s="48">
        <v>6.0</v>
      </c>
      <c r="L561" s="52" t="s">
        <v>79</v>
      </c>
      <c r="M561" s="24"/>
      <c r="N561" s="30"/>
      <c r="O561" s="30"/>
    </row>
    <row r="562" ht="14.25" customHeight="1">
      <c r="A562" s="28" t="s">
        <v>20</v>
      </c>
      <c r="B562" s="46">
        <v>110.0</v>
      </c>
      <c r="C562" s="48">
        <v>4.0</v>
      </c>
      <c r="D562" s="23" t="s">
        <v>80</v>
      </c>
      <c r="E562" s="26" t="s">
        <v>81</v>
      </c>
      <c r="F562" s="46">
        <v>80.0</v>
      </c>
      <c r="G562" s="48">
        <v>4.0</v>
      </c>
      <c r="H562" s="28" t="s">
        <v>198</v>
      </c>
      <c r="I562" s="26"/>
      <c r="J562" s="46">
        <v>95.0</v>
      </c>
      <c r="K562" s="48">
        <v>4.0</v>
      </c>
      <c r="L562" s="32" t="s">
        <v>82</v>
      </c>
      <c r="M562" s="24"/>
      <c r="N562" s="30"/>
      <c r="O562" s="30"/>
    </row>
    <row r="563" ht="14.25" customHeight="1">
      <c r="A563" s="29" t="s">
        <v>22</v>
      </c>
      <c r="B563" s="46">
        <v>115.0</v>
      </c>
      <c r="C563" s="48">
        <v>4.0</v>
      </c>
      <c r="D563" s="1" t="s">
        <v>132</v>
      </c>
      <c r="E563" s="26" t="s">
        <v>84</v>
      </c>
      <c r="F563" s="46">
        <v>85.0</v>
      </c>
      <c r="G563" s="48">
        <v>4.0</v>
      </c>
      <c r="H563" s="1" t="s">
        <v>199</v>
      </c>
      <c r="I563" s="26"/>
      <c r="J563" s="46">
        <v>100.0</v>
      </c>
      <c r="K563" s="48">
        <v>4.0</v>
      </c>
      <c r="L563" s="23"/>
      <c r="M563" s="24"/>
      <c r="N563" s="30"/>
      <c r="O563" s="30"/>
    </row>
    <row r="564" ht="14.25" customHeight="1">
      <c r="A564" s="28" t="s">
        <v>23</v>
      </c>
      <c r="B564" s="46"/>
      <c r="C564" s="48"/>
      <c r="D564" s="1" t="s">
        <v>149</v>
      </c>
      <c r="E564" s="26"/>
      <c r="F564" s="46"/>
      <c r="G564" s="48"/>
      <c r="H564" s="31"/>
      <c r="I564" s="24"/>
      <c r="J564" s="46"/>
      <c r="K564" s="22"/>
      <c r="L564" s="23"/>
      <c r="M564" s="26"/>
      <c r="N564" s="30"/>
      <c r="O564" s="30"/>
    </row>
    <row r="565" ht="14.25" customHeight="1">
      <c r="A565" s="13"/>
      <c r="B565" s="13"/>
      <c r="C565" s="24"/>
      <c r="D565" s="33" t="s">
        <v>152</v>
      </c>
      <c r="E565" s="26"/>
      <c r="F565" s="13"/>
      <c r="G565" s="34"/>
      <c r="H565" s="13"/>
      <c r="I565" s="34"/>
      <c r="J565" s="13"/>
      <c r="K565" s="24"/>
      <c r="L565" s="13"/>
      <c r="M565" s="24"/>
      <c r="N565" s="30"/>
      <c r="O565" s="30"/>
    </row>
    <row r="566" ht="14.25" customHeight="1">
      <c r="A566" s="28" t="s">
        <v>24</v>
      </c>
      <c r="B566" s="35" t="s">
        <v>25</v>
      </c>
      <c r="C566" s="58">
        <f>C561*B561 + B562*C562 + B563*C563 + B564*C564 + B565*C565</f>
        <v>1530</v>
      </c>
      <c r="D566" s="57" t="s">
        <v>25</v>
      </c>
      <c r="E566" s="55" t="str">
        <f>E561*D561 + D562*#REF! + E562*E563 + D564*E564 + D565*E565</f>
        <v>#VALUE!</v>
      </c>
      <c r="F566" s="35" t="s">
        <v>25</v>
      </c>
      <c r="G566" s="56">
        <f>G561*F561 + F562*G562 + F563*G563 + F564*G564 + F565*G565</f>
        <v>1110</v>
      </c>
      <c r="H566" s="35" t="s">
        <v>25</v>
      </c>
      <c r="I566" s="56" t="str">
        <f>I561*H561 + H562*I562 + H563*I563 + H564*I564 + H565*I565</f>
        <v>#VALUE!</v>
      </c>
      <c r="J566" s="35" t="s">
        <v>25</v>
      </c>
      <c r="K566" s="58">
        <f>K561*J561 + J562*K562 + J563*K563 + J564*K564 + J565*K565</f>
        <v>1320</v>
      </c>
      <c r="L566" s="35" t="s">
        <v>25</v>
      </c>
      <c r="M566" s="36" t="str">
        <f>M561*L561 + L562*M562 + L563*M563 + L564*M564 + L565*M565</f>
        <v>#VALUE!</v>
      </c>
      <c r="N566" s="30"/>
      <c r="O566" s="30"/>
    </row>
    <row r="567" ht="14.25" customHeight="1">
      <c r="A567" s="37"/>
      <c r="B567" s="39" t="s">
        <v>26</v>
      </c>
      <c r="C567" s="116">
        <f>(B561*C561 + B562*C562 + B563*C563 + B564*C564 + B565*C565)/SUM(C561:C565)</f>
        <v>109.2857143</v>
      </c>
      <c r="D567" s="31" t="s">
        <v>26</v>
      </c>
      <c r="E567" s="74" t="str">
        <f>(D561*E561 + D562*#REF! + E562*E563 + D564*E564 + D565*E565)/SUM(E561:E565)</f>
        <v>#VALUE!</v>
      </c>
      <c r="F567" s="13" t="s">
        <v>26</v>
      </c>
      <c r="G567" s="117">
        <f>(F561*G561 + F562*G562 + F563*G563 + F564*G564 + F565*G565)/SUM(G561:G565)</f>
        <v>79.28571429</v>
      </c>
      <c r="H567" s="13" t="s">
        <v>26</v>
      </c>
      <c r="I567" s="74" t="str">
        <f>(H561*I561 + H562*I562 + H563*I563 + H564*I564 + H565*I565)/SUM(I561:I565)</f>
        <v>#VALUE!</v>
      </c>
      <c r="J567" s="39" t="s">
        <v>26</v>
      </c>
      <c r="K567" s="116">
        <f>(J561*K561 + J562*K562 + J563*K563 + J564*K564 + J565*K565)/SUM(K561:K565)</f>
        <v>94.28571429</v>
      </c>
      <c r="L567" s="13" t="s">
        <v>26</v>
      </c>
      <c r="M567" s="75" t="str">
        <f>(L561*M561 + L562*M562 + L563*M563 + L564*M564 + L565*M565)/SUM(M561:M565)</f>
        <v>#VALUE!</v>
      </c>
      <c r="N567" s="30"/>
      <c r="O567" s="30"/>
    </row>
    <row r="568" ht="14.25" customHeight="1">
      <c r="A568" s="28" t="s">
        <v>27</v>
      </c>
      <c r="B568" s="11" t="s">
        <v>10</v>
      </c>
      <c r="C568" s="12" t="s">
        <v>11</v>
      </c>
      <c r="D568" s="11" t="s">
        <v>10</v>
      </c>
      <c r="E568" s="12" t="s">
        <v>11</v>
      </c>
      <c r="F568" s="11" t="s">
        <v>10</v>
      </c>
      <c r="G568" s="12" t="s">
        <v>11</v>
      </c>
      <c r="H568" s="11" t="s">
        <v>10</v>
      </c>
      <c r="I568" s="12" t="s">
        <v>11</v>
      </c>
      <c r="J568" s="11" t="s">
        <v>10</v>
      </c>
      <c r="K568" s="12" t="s">
        <v>11</v>
      </c>
      <c r="L568" s="11" t="s">
        <v>10</v>
      </c>
      <c r="M568" s="12" t="s">
        <v>11</v>
      </c>
      <c r="N568" s="30"/>
      <c r="O568" s="30"/>
    </row>
    <row r="569" ht="14.25" customHeight="1">
      <c r="A569" s="41" t="s">
        <v>28</v>
      </c>
      <c r="B569" s="70" t="s">
        <v>203</v>
      </c>
      <c r="C569" s="17"/>
      <c r="D569" s="45" t="s">
        <v>91</v>
      </c>
      <c r="E569" s="76" t="s">
        <v>49</v>
      </c>
      <c r="F569" s="68" t="s">
        <v>201</v>
      </c>
      <c r="G569" s="17"/>
      <c r="H569" s="70" t="s">
        <v>91</v>
      </c>
      <c r="I569" s="44" t="s">
        <v>90</v>
      </c>
      <c r="J569" s="68" t="s">
        <v>134</v>
      </c>
      <c r="K569" s="17"/>
      <c r="L569" s="42" t="s">
        <v>91</v>
      </c>
      <c r="M569" s="44" t="s">
        <v>90</v>
      </c>
      <c r="N569" s="30"/>
      <c r="O569" s="30"/>
    </row>
    <row r="570" ht="14.25" customHeight="1">
      <c r="A570" s="28"/>
      <c r="B570" s="28">
        <v>90.0</v>
      </c>
      <c r="C570" s="54">
        <v>6.0</v>
      </c>
      <c r="D570" s="1">
        <v>30.0</v>
      </c>
      <c r="E570" s="54"/>
      <c r="F570" s="46">
        <v>130.0</v>
      </c>
      <c r="G570" s="48">
        <v>6.0</v>
      </c>
      <c r="H570" s="28">
        <v>30.0</v>
      </c>
      <c r="I570" s="24"/>
      <c r="J570" s="46">
        <v>110.0</v>
      </c>
      <c r="K570" s="48">
        <v>6.0</v>
      </c>
      <c r="L570" s="28">
        <v>60.0</v>
      </c>
      <c r="M570" s="26"/>
      <c r="N570" s="30"/>
      <c r="O570" s="30"/>
    </row>
    <row r="571" ht="14.25" customHeight="1">
      <c r="A571" s="28" t="s">
        <v>37</v>
      </c>
      <c r="B571" s="27">
        <v>95.0</v>
      </c>
      <c r="C571" s="54">
        <v>6.0</v>
      </c>
      <c r="D571" s="1">
        <v>80.0</v>
      </c>
      <c r="E571" s="54"/>
      <c r="F571" s="46">
        <v>140.0</v>
      </c>
      <c r="G571" s="48">
        <v>5.0</v>
      </c>
      <c r="H571" s="28">
        <v>60.0</v>
      </c>
      <c r="I571" s="24"/>
      <c r="J571" s="46">
        <v>120.0</v>
      </c>
      <c r="K571" s="48">
        <v>5.0</v>
      </c>
      <c r="L571" s="28">
        <v>30.0</v>
      </c>
      <c r="M571" s="26"/>
      <c r="N571" s="30"/>
      <c r="O571" s="30"/>
    </row>
    <row r="572" ht="14.25" customHeight="1">
      <c r="A572" s="28" t="s">
        <v>39</v>
      </c>
      <c r="B572" s="27">
        <v>100.0</v>
      </c>
      <c r="C572" s="54">
        <v>6.0</v>
      </c>
      <c r="D572" s="1">
        <v>60.0</v>
      </c>
      <c r="E572" s="54"/>
      <c r="F572" s="46">
        <v>150.0</v>
      </c>
      <c r="G572" s="48">
        <v>5.0</v>
      </c>
      <c r="H572" s="28">
        <v>60.0</v>
      </c>
      <c r="I572" s="24"/>
      <c r="J572" s="46">
        <v>125.0</v>
      </c>
      <c r="K572" s="48">
        <v>5.0</v>
      </c>
      <c r="L572" s="28">
        <v>40.0</v>
      </c>
      <c r="M572" s="26"/>
      <c r="N572" s="30"/>
      <c r="O572" s="30"/>
    </row>
    <row r="573" ht="14.25" customHeight="1">
      <c r="A573" s="28"/>
      <c r="B573" s="46"/>
      <c r="C573" s="48"/>
      <c r="D573" s="1">
        <v>30.0</v>
      </c>
      <c r="E573" s="54"/>
      <c r="F573" s="46">
        <v>160.0</v>
      </c>
      <c r="G573" s="48">
        <v>5.0</v>
      </c>
      <c r="H573" s="28">
        <v>30.0</v>
      </c>
      <c r="I573" s="24"/>
      <c r="J573" s="46"/>
      <c r="K573" s="48"/>
      <c r="L573" s="28">
        <v>30.0</v>
      </c>
      <c r="M573" s="26"/>
      <c r="N573" s="30"/>
      <c r="O573" s="30"/>
    </row>
    <row r="574" ht="14.25" customHeight="1">
      <c r="A574" s="28" t="s">
        <v>41</v>
      </c>
      <c r="B574" s="13"/>
      <c r="C574" s="24"/>
      <c r="D574" s="1" t="s">
        <v>101</v>
      </c>
      <c r="E574" s="24"/>
      <c r="F574" s="31"/>
      <c r="G574" s="24"/>
      <c r="H574" s="28"/>
      <c r="I574" s="24"/>
      <c r="J574" s="31"/>
      <c r="K574" s="24"/>
      <c r="L574" s="28"/>
      <c r="M574" s="24"/>
      <c r="N574" s="30"/>
      <c r="O574" s="30"/>
    </row>
    <row r="575" ht="14.25" customHeight="1">
      <c r="A575" s="28" t="s">
        <v>43</v>
      </c>
      <c r="B575" s="13"/>
      <c r="C575" s="34"/>
      <c r="D575" s="28" t="s">
        <v>103</v>
      </c>
      <c r="E575" s="34"/>
      <c r="F575" s="13"/>
      <c r="G575" s="34"/>
      <c r="H575" s="32"/>
      <c r="I575" s="24"/>
      <c r="J575" s="13"/>
      <c r="K575" s="24"/>
      <c r="L575" s="32"/>
      <c r="M575" s="54" t="s">
        <v>204</v>
      </c>
      <c r="N575" s="30"/>
      <c r="O575" s="30"/>
    </row>
    <row r="576" ht="14.25" customHeight="1">
      <c r="A576" s="28"/>
      <c r="B576" s="35" t="s">
        <v>25</v>
      </c>
      <c r="C576" s="55">
        <f>C570*B570 + B571*C571 + B572*C572 + B573*C573 + B575*C575</f>
        <v>1710</v>
      </c>
      <c r="D576" s="35" t="s">
        <v>25</v>
      </c>
      <c r="E576" s="55" t="str">
        <f>E570*D570 + D571*E571 + D572*E572 + D573*E573 + D575*E575</f>
        <v>#VALUE!</v>
      </c>
      <c r="F576" s="35" t="s">
        <v>25</v>
      </c>
      <c r="G576" s="55">
        <f>G570*F570 + F571*G571 + F572*G572 + F573*G573 + F575*G575</f>
        <v>3030</v>
      </c>
      <c r="H576" s="35" t="s">
        <v>25</v>
      </c>
      <c r="I576" s="56">
        <f>I570*H570 + H571*I571 + H572*I572 + H573*I573 + H575*I575</f>
        <v>0</v>
      </c>
      <c r="J576" s="35" t="s">
        <v>25</v>
      </c>
      <c r="K576" s="36">
        <f>K570*J570 + J571*K571 + J572*K572 + J573*K573 + J575*K575</f>
        <v>1885</v>
      </c>
      <c r="L576" s="35" t="s">
        <v>25</v>
      </c>
      <c r="M576" s="36" t="str">
        <f>M570*L570 + L571*M571 + L572*M572 + L573*M573 + L575*M575</f>
        <v>#VALUE!</v>
      </c>
      <c r="N576" s="30"/>
      <c r="O576" s="30"/>
    </row>
    <row r="577" ht="14.25" customHeight="1">
      <c r="A577" s="28" t="s">
        <v>116</v>
      </c>
      <c r="B577" s="39" t="s">
        <v>26</v>
      </c>
      <c r="C577" s="77">
        <f>(B570*C570 + B571*C571 + B572*C572 + B573*C573 + B575*C575)/SUM(C570:C575)</f>
        <v>95</v>
      </c>
      <c r="D577" s="39" t="s">
        <v>26</v>
      </c>
      <c r="E577" s="77" t="str">
        <f>(D570*E570 + D571*E571 + D572*E572 + D573*E573 + D575*E575)/SUM(E570:E575)</f>
        <v>#VALUE!</v>
      </c>
      <c r="F577" s="39" t="s">
        <v>26</v>
      </c>
      <c r="G577" s="77">
        <f>(F570*G570 + F571*G571 + F572*G572 + F573*G573 + F575*G575)/SUM(G570:G575)</f>
        <v>144.2857143</v>
      </c>
      <c r="H577" s="39" t="s">
        <v>26</v>
      </c>
      <c r="I577" s="77" t="str">
        <f>(H570*I570 + H571*I571 + H572*I572 + H573*I573 + H575*I575)/SUM(I570:I575)</f>
        <v>#DIV/0!</v>
      </c>
      <c r="J577" s="39" t="s">
        <v>26</v>
      </c>
      <c r="K577" s="40">
        <f>(J570*K570 + J571*K571 + J572*K572 + J573*K573 + J575*K575)/SUM(K570:K575)</f>
        <v>117.8125</v>
      </c>
      <c r="L577" s="39" t="s">
        <v>26</v>
      </c>
      <c r="M577" s="40" t="str">
        <f>(L570*M570 + L571*M571 + L572*M572 + L573*M573 + L575*M575)/SUM(M570:M575)</f>
        <v>#VALUE!</v>
      </c>
      <c r="N577" s="30"/>
      <c r="O577" s="30"/>
    </row>
    <row r="578" ht="14.25" customHeight="1">
      <c r="A578" s="28" t="s">
        <v>117</v>
      </c>
      <c r="B578" s="70" t="s">
        <v>71</v>
      </c>
      <c r="C578" s="17"/>
      <c r="D578" s="45" t="s">
        <v>91</v>
      </c>
      <c r="E578" s="17"/>
      <c r="F578" s="70" t="s">
        <v>185</v>
      </c>
      <c r="G578" s="17"/>
      <c r="H578" s="49"/>
      <c r="I578" s="17"/>
      <c r="J578" s="70" t="s">
        <v>71</v>
      </c>
      <c r="K578" s="17"/>
      <c r="L578" s="42" t="s">
        <v>105</v>
      </c>
      <c r="M578" s="44" t="s">
        <v>49</v>
      </c>
      <c r="N578" s="30"/>
      <c r="O578" s="30"/>
    </row>
    <row r="579" ht="14.25" customHeight="1">
      <c r="A579" s="28" t="s">
        <v>120</v>
      </c>
      <c r="B579" s="28">
        <v>85.0</v>
      </c>
      <c r="C579" s="54">
        <v>8.0</v>
      </c>
      <c r="D579" s="110">
        <v>100.0</v>
      </c>
      <c r="E579" s="24"/>
      <c r="F579" s="28"/>
      <c r="G579" s="54">
        <v>8.0</v>
      </c>
      <c r="H579" s="1">
        <v>30.0</v>
      </c>
      <c r="I579" s="24"/>
      <c r="J579" s="28">
        <v>90.0</v>
      </c>
      <c r="K579" s="54">
        <v>8.0</v>
      </c>
      <c r="L579" s="28">
        <v>30.0</v>
      </c>
      <c r="M579" s="24"/>
      <c r="N579" s="30"/>
      <c r="O579" s="30"/>
    </row>
    <row r="580" ht="14.25" customHeight="1">
      <c r="A580" s="28"/>
      <c r="B580" s="27">
        <v>90.0</v>
      </c>
      <c r="C580" s="54">
        <v>8.0</v>
      </c>
      <c r="D580" s="46">
        <v>40.0</v>
      </c>
      <c r="E580" s="26"/>
      <c r="F580" s="27"/>
      <c r="G580" s="54">
        <v>8.0</v>
      </c>
      <c r="H580" s="1">
        <v>60.0</v>
      </c>
      <c r="I580" s="24"/>
      <c r="J580" s="27">
        <v>92.5</v>
      </c>
      <c r="K580" s="54">
        <v>8.0</v>
      </c>
      <c r="L580" s="28">
        <v>40.0</v>
      </c>
      <c r="M580" s="26"/>
      <c r="N580" s="30"/>
      <c r="O580" s="30"/>
    </row>
    <row r="581" ht="14.25" customHeight="1">
      <c r="A581" s="28"/>
      <c r="B581" s="27">
        <v>92.5</v>
      </c>
      <c r="C581" s="54">
        <v>8.0</v>
      </c>
      <c r="D581" s="46">
        <v>80.0</v>
      </c>
      <c r="E581" s="24"/>
      <c r="F581" s="27"/>
      <c r="G581" s="54">
        <v>8.0</v>
      </c>
      <c r="H581" s="1">
        <v>60.0</v>
      </c>
      <c r="I581" s="24"/>
      <c r="J581" s="27">
        <v>95.0</v>
      </c>
      <c r="K581" s="54">
        <v>8.0</v>
      </c>
      <c r="L581" s="28">
        <v>60.0</v>
      </c>
      <c r="M581" s="24"/>
      <c r="N581" s="30"/>
      <c r="O581" s="30"/>
    </row>
    <row r="582" ht="14.25" customHeight="1">
      <c r="A582" s="28"/>
      <c r="B582" s="28"/>
      <c r="C582" s="79"/>
      <c r="D582" s="46">
        <v>60.0</v>
      </c>
      <c r="E582" s="79"/>
      <c r="F582" s="28"/>
      <c r="G582" s="34"/>
      <c r="H582" s="28">
        <v>30.0</v>
      </c>
      <c r="I582" s="34"/>
      <c r="J582" s="28"/>
      <c r="K582" s="54"/>
      <c r="L582" s="28">
        <v>30.0</v>
      </c>
      <c r="M582" s="24"/>
      <c r="N582" s="30"/>
      <c r="O582" s="30"/>
    </row>
    <row r="583" ht="14.25" customHeight="1">
      <c r="A583" s="28"/>
      <c r="B583" s="13"/>
      <c r="C583" s="34"/>
      <c r="D583" s="21"/>
      <c r="E583" s="34"/>
      <c r="F583" s="13"/>
      <c r="G583" s="34"/>
      <c r="H583" s="28"/>
      <c r="I583" s="34"/>
      <c r="J583" s="13"/>
      <c r="K583" s="24"/>
      <c r="L583" s="31"/>
      <c r="M583" s="24"/>
      <c r="N583" s="30"/>
      <c r="O583" s="30"/>
    </row>
    <row r="584" ht="14.25" customHeight="1">
      <c r="A584" s="28"/>
      <c r="B584" s="35" t="s">
        <v>25</v>
      </c>
      <c r="C584" s="55">
        <f>C579*B579 + B580*C580 + B581*C581 + B582*C582 + B583*C583</f>
        <v>2140</v>
      </c>
      <c r="D584" s="35" t="s">
        <v>25</v>
      </c>
      <c r="E584" s="55">
        <f>E579*D579 + D580*E580 + D581*E581 + D582*E582 + D583*E583</f>
        <v>0</v>
      </c>
      <c r="F584" s="35" t="s">
        <v>25</v>
      </c>
      <c r="G584" s="55">
        <f>G579*F579 + F580*G580 + F581*G581 + F582*G582 + F583*G583</f>
        <v>0</v>
      </c>
      <c r="H584" s="35" t="s">
        <v>25</v>
      </c>
      <c r="I584" s="56">
        <f>I579*H579 + H580*I580 + H581*I581 + H582*I582 + H583*I583</f>
        <v>0</v>
      </c>
      <c r="J584" s="35" t="s">
        <v>25</v>
      </c>
      <c r="K584" s="36">
        <f>K579*J579 + J580*K580 + J581*K581 + J582*K582 + J583*K583</f>
        <v>2220</v>
      </c>
      <c r="L584" s="57" t="s">
        <v>25</v>
      </c>
      <c r="M584" s="58">
        <f>M579*L579 + L580*M580 + L581*M581 + L582*M582 + L583*M583</f>
        <v>0</v>
      </c>
      <c r="N584" s="30"/>
      <c r="O584" s="30"/>
    </row>
    <row r="585" ht="14.25" customHeight="1">
      <c r="A585" s="28"/>
      <c r="B585" s="39" t="s">
        <v>26</v>
      </c>
      <c r="C585" s="40">
        <f>(B579*C579 + B580*C580 + B581*C581 + B582*C582 + B583*C583)/SUM(C579:C583)</f>
        <v>89.16666667</v>
      </c>
      <c r="D585" s="59" t="s">
        <v>26</v>
      </c>
      <c r="E585" s="40" t="str">
        <f>(D579*E579 + D580*E580 + D581*E581 + D582*E582 + D583*E583)/SUM(E579:E583)</f>
        <v>#DIV/0!</v>
      </c>
      <c r="F585" s="31" t="s">
        <v>26</v>
      </c>
      <c r="G585" s="75">
        <f>(F579*G579 + F580*G580 + F581*G581 + F582*G582 + F583*G583)/SUM(G579:G583)</f>
        <v>0</v>
      </c>
      <c r="H585" s="59" t="s">
        <v>26</v>
      </c>
      <c r="I585" s="40" t="str">
        <f>(H579*I579 + H580*I580 + H581*I581 + H582*I582 + H583*I583)/SUM(I579:I583)</f>
        <v>#DIV/0!</v>
      </c>
      <c r="J585" s="39" t="s">
        <v>26</v>
      </c>
      <c r="K585" s="40">
        <f>(J579*K579 + J580*K580 + J581*K581 + J582*K582 + J583*K583)/SUM(K579:K583)</f>
        <v>92.5</v>
      </c>
      <c r="L585" s="59" t="s">
        <v>26</v>
      </c>
      <c r="M585" s="40" t="str">
        <f>(L579*M579 + L580*M580 + L581*M581 + L582*M582 + L583*M583)/SUM(M579:M583)</f>
        <v>#DIV/0!</v>
      </c>
      <c r="N585" s="30"/>
      <c r="O585" s="30"/>
    </row>
    <row r="586" ht="14.25" customHeight="1">
      <c r="A586" s="28"/>
      <c r="B586" s="28" t="s">
        <v>91</v>
      </c>
      <c r="C586" s="30" t="s">
        <v>49</v>
      </c>
      <c r="D586" s="37"/>
      <c r="E586" s="30" t="s">
        <v>49</v>
      </c>
      <c r="F586" s="120" t="s">
        <v>91</v>
      </c>
      <c r="G586" s="121" t="s">
        <v>49</v>
      </c>
      <c r="H586" s="122" t="s">
        <v>33</v>
      </c>
      <c r="I586" s="30"/>
      <c r="J586" s="28" t="s">
        <v>91</v>
      </c>
      <c r="K586" s="60" t="s">
        <v>49</v>
      </c>
      <c r="L586" s="30"/>
      <c r="M586" s="60" t="s">
        <v>49</v>
      </c>
      <c r="N586" s="30"/>
      <c r="O586" s="30"/>
    </row>
    <row r="587" ht="14.25" customHeight="1">
      <c r="A587" s="28"/>
      <c r="B587" s="27" t="s">
        <v>50</v>
      </c>
      <c r="C587" s="60"/>
      <c r="D587" s="23"/>
      <c r="E587" s="61"/>
      <c r="F587" s="27">
        <v>60.0</v>
      </c>
      <c r="G587" s="61"/>
      <c r="H587" s="30"/>
      <c r="I587" s="60"/>
      <c r="J587" s="27">
        <v>40.0</v>
      </c>
      <c r="K587" s="60"/>
      <c r="L587" s="62"/>
      <c r="M587" s="60"/>
      <c r="N587" s="30"/>
      <c r="O587" s="30"/>
    </row>
    <row r="588" ht="14.25" customHeight="1">
      <c r="A588" s="28" t="s">
        <v>195</v>
      </c>
      <c r="B588" s="27" t="s">
        <v>205</v>
      </c>
      <c r="C588" s="60"/>
      <c r="D588" s="23"/>
      <c r="E588" s="60"/>
      <c r="F588" s="69">
        <v>40.0</v>
      </c>
      <c r="G588" s="60"/>
      <c r="H588" s="30"/>
      <c r="I588" s="60"/>
      <c r="J588" s="69">
        <v>30.0</v>
      </c>
      <c r="K588" s="60"/>
      <c r="L588" s="30"/>
      <c r="M588" s="60"/>
      <c r="N588" s="30"/>
      <c r="O588" s="30"/>
    </row>
    <row r="589" ht="14.25" customHeight="1">
      <c r="A589" s="37"/>
      <c r="B589" s="28" t="s">
        <v>206</v>
      </c>
      <c r="C589" s="60"/>
      <c r="D589" s="23"/>
      <c r="E589" s="60"/>
      <c r="F589" s="1">
        <v>30.0</v>
      </c>
      <c r="G589" s="60"/>
      <c r="H589" s="30"/>
      <c r="I589" s="60"/>
      <c r="J589" s="1">
        <v>20.0</v>
      </c>
      <c r="K589" s="60"/>
      <c r="L589" s="30"/>
      <c r="M589" s="60"/>
      <c r="N589" s="30"/>
      <c r="O589" s="30"/>
    </row>
    <row r="590" ht="14.25" customHeight="1">
      <c r="A590" s="37"/>
      <c r="B590" s="28" t="s">
        <v>207</v>
      </c>
      <c r="C590" s="1"/>
      <c r="D590" s="28"/>
      <c r="E590" s="1"/>
      <c r="F590" s="28">
        <v>30.0</v>
      </c>
      <c r="G590" s="60"/>
      <c r="H590" s="30"/>
      <c r="I590" s="30"/>
      <c r="J590" s="28">
        <v>50.0</v>
      </c>
      <c r="K590" s="60"/>
      <c r="L590" s="30"/>
      <c r="M590" s="60"/>
      <c r="N590" s="30"/>
      <c r="O590" s="30"/>
    </row>
    <row r="591" ht="14.25" customHeight="1">
      <c r="A591" s="37"/>
      <c r="B591" s="28" t="s">
        <v>208</v>
      </c>
      <c r="C591" s="1"/>
      <c r="D591" s="28"/>
      <c r="E591" s="1"/>
      <c r="F591" s="28"/>
      <c r="G591" s="60"/>
      <c r="H591" s="30"/>
      <c r="I591" s="30"/>
      <c r="J591" s="28">
        <v>30.0</v>
      </c>
      <c r="K591" s="60"/>
      <c r="L591" s="30"/>
      <c r="M591" s="60"/>
      <c r="N591" s="30"/>
      <c r="O591" s="30"/>
    </row>
    <row r="592" ht="14.25" customHeight="1">
      <c r="A592" s="37"/>
      <c r="B592" s="28"/>
      <c r="C592" s="1"/>
      <c r="D592" s="28"/>
      <c r="E592" s="1"/>
      <c r="F592" s="28"/>
      <c r="G592" s="60"/>
      <c r="H592" s="30"/>
      <c r="I592" s="30"/>
      <c r="J592" s="37"/>
      <c r="K592" s="60"/>
      <c r="L592" s="30"/>
      <c r="M592" s="60"/>
      <c r="N592" s="30"/>
      <c r="O592" s="30"/>
    </row>
    <row r="593" ht="14.25" customHeight="1">
      <c r="A593" s="64"/>
      <c r="B593" s="65"/>
      <c r="C593" s="66"/>
      <c r="D593" s="65"/>
      <c r="E593" s="66"/>
      <c r="F593" s="64"/>
      <c r="G593" s="67"/>
      <c r="H593" s="66"/>
      <c r="I593" s="66"/>
      <c r="J593" s="64"/>
      <c r="K593" s="67"/>
      <c r="L593" s="66"/>
      <c r="M593" s="67"/>
      <c r="N593" s="30"/>
      <c r="O593" s="30"/>
    </row>
    <row r="594" ht="14.25" customHeight="1">
      <c r="A594" s="30"/>
      <c r="B594" s="30"/>
      <c r="C594" s="30"/>
      <c r="D594" s="23"/>
      <c r="E594" s="30"/>
      <c r="F594" s="30"/>
      <c r="G594" s="30"/>
      <c r="H594" s="23"/>
      <c r="I594" s="30"/>
      <c r="J594" s="30"/>
      <c r="K594" s="30"/>
      <c r="L594" s="30"/>
      <c r="M594" s="30"/>
      <c r="N594" s="30"/>
      <c r="O594" s="30"/>
    </row>
    <row r="595" ht="14.25" customHeight="1">
      <c r="A595" s="2" t="s">
        <v>2</v>
      </c>
      <c r="B595" s="3" t="s">
        <v>3</v>
      </c>
      <c r="C595" s="4">
        <f>M558+2</f>
        <v>45467</v>
      </c>
      <c r="D595" s="5" t="s">
        <v>4</v>
      </c>
      <c r="E595" s="6">
        <f>C595+1</f>
        <v>45468</v>
      </c>
      <c r="F595" s="3" t="s">
        <v>5</v>
      </c>
      <c r="G595" s="6">
        <f>E595+1</f>
        <v>45469</v>
      </c>
      <c r="H595" s="3" t="s">
        <v>6</v>
      </c>
      <c r="I595" s="6">
        <f>G595+1</f>
        <v>45470</v>
      </c>
      <c r="J595" s="3" t="s">
        <v>7</v>
      </c>
      <c r="K595" s="6">
        <f>I595+1</f>
        <v>45471</v>
      </c>
      <c r="L595" s="7" t="s">
        <v>8</v>
      </c>
      <c r="M595" s="8">
        <f>K595+1</f>
        <v>45472</v>
      </c>
      <c r="N595" s="30"/>
      <c r="O595" s="30"/>
    </row>
    <row r="596" ht="14.25" customHeight="1">
      <c r="A596" s="10">
        <f>A559+1</f>
        <v>17</v>
      </c>
      <c r="B596" s="11" t="s">
        <v>10</v>
      </c>
      <c r="C596" s="12" t="s">
        <v>11</v>
      </c>
      <c r="D596" s="11" t="s">
        <v>10</v>
      </c>
      <c r="E596" s="12" t="s">
        <v>11</v>
      </c>
      <c r="F596" s="11" t="s">
        <v>10</v>
      </c>
      <c r="G596" s="12" t="s">
        <v>11</v>
      </c>
      <c r="H596" s="11" t="s">
        <v>10</v>
      </c>
      <c r="I596" s="12" t="s">
        <v>11</v>
      </c>
      <c r="J596" s="11" t="s">
        <v>10</v>
      </c>
      <c r="K596" s="12" t="s">
        <v>11</v>
      </c>
      <c r="L596" s="11" t="s">
        <v>10</v>
      </c>
      <c r="M596" s="12" t="s">
        <v>11</v>
      </c>
      <c r="N596" s="30"/>
      <c r="O596" s="30"/>
    </row>
    <row r="597" ht="14.25" customHeight="1">
      <c r="A597" s="13" t="s">
        <v>12</v>
      </c>
      <c r="B597" s="20" t="s">
        <v>145</v>
      </c>
      <c r="C597" s="17"/>
      <c r="D597" s="18" t="s">
        <v>14</v>
      </c>
      <c r="E597" s="17"/>
      <c r="F597" s="20" t="s">
        <v>146</v>
      </c>
      <c r="G597" s="76"/>
      <c r="H597" s="42" t="s">
        <v>15</v>
      </c>
      <c r="I597" s="17"/>
      <c r="J597" s="20" t="s">
        <v>202</v>
      </c>
      <c r="K597" s="17"/>
      <c r="L597" s="72" t="s">
        <v>14</v>
      </c>
      <c r="M597" s="17"/>
      <c r="N597" s="30"/>
      <c r="O597" s="30"/>
    </row>
    <row r="598" ht="14.25" customHeight="1">
      <c r="A598" s="13"/>
      <c r="B598" s="46">
        <v>80.0</v>
      </c>
      <c r="C598" s="48">
        <v>4.0</v>
      </c>
      <c r="D598" s="1" t="s">
        <v>147</v>
      </c>
      <c r="E598" s="54" t="s">
        <v>81</v>
      </c>
      <c r="F598" s="46">
        <v>110.0</v>
      </c>
      <c r="G598" s="48">
        <v>4.0</v>
      </c>
      <c r="H598" s="27" t="s">
        <v>130</v>
      </c>
      <c r="I598" s="26"/>
      <c r="J598" s="46">
        <v>95.0</v>
      </c>
      <c r="K598" s="48">
        <v>4.0</v>
      </c>
      <c r="L598" s="27" t="s">
        <v>209</v>
      </c>
      <c r="M598" s="24"/>
      <c r="N598" s="30"/>
      <c r="O598" s="30"/>
    </row>
    <row r="599" ht="14.25" customHeight="1">
      <c r="A599" s="28" t="s">
        <v>20</v>
      </c>
      <c r="B599" s="46">
        <v>85.0</v>
      </c>
      <c r="C599" s="48">
        <v>4.0</v>
      </c>
      <c r="D599" s="1" t="s">
        <v>148</v>
      </c>
      <c r="E599" s="26"/>
      <c r="F599" s="46">
        <v>115.0</v>
      </c>
      <c r="G599" s="48">
        <v>4.0</v>
      </c>
      <c r="H599" s="28" t="s">
        <v>210</v>
      </c>
      <c r="I599" s="54" t="s">
        <v>81</v>
      </c>
      <c r="J599" s="46">
        <v>100.0</v>
      </c>
      <c r="K599" s="48">
        <v>4.0</v>
      </c>
      <c r="L599" s="32" t="s">
        <v>82</v>
      </c>
      <c r="M599" s="24"/>
      <c r="N599" s="30"/>
      <c r="O599" s="30"/>
    </row>
    <row r="600" ht="14.25" customHeight="1">
      <c r="A600" s="29" t="s">
        <v>22</v>
      </c>
      <c r="B600" s="46">
        <v>87.5</v>
      </c>
      <c r="C600" s="48">
        <v>4.0</v>
      </c>
      <c r="D600" s="1"/>
      <c r="E600" s="26"/>
      <c r="F600" s="46">
        <v>120.0</v>
      </c>
      <c r="G600" s="48">
        <v>4.0</v>
      </c>
      <c r="H600" s="28" t="s">
        <v>211</v>
      </c>
      <c r="I600" s="26"/>
      <c r="J600" s="46">
        <v>105.0</v>
      </c>
      <c r="K600" s="48">
        <v>4.0</v>
      </c>
      <c r="L600" s="23"/>
      <c r="M600" s="24"/>
      <c r="N600" s="30"/>
      <c r="O600" s="30"/>
    </row>
    <row r="601" ht="14.25" customHeight="1">
      <c r="A601" s="28" t="s">
        <v>23</v>
      </c>
      <c r="B601" s="46"/>
      <c r="C601" s="48"/>
      <c r="D601" s="1" t="s">
        <v>149</v>
      </c>
      <c r="E601" s="26"/>
      <c r="F601" s="46"/>
      <c r="G601" s="48"/>
      <c r="H601" s="1" t="s">
        <v>199</v>
      </c>
      <c r="I601" s="24"/>
      <c r="J601" s="46"/>
      <c r="K601" s="22"/>
      <c r="L601" s="23"/>
      <c r="M601" s="26"/>
      <c r="N601" s="30"/>
      <c r="O601" s="30"/>
    </row>
    <row r="602" ht="14.25" customHeight="1">
      <c r="A602" s="13"/>
      <c r="B602" s="13"/>
      <c r="C602" s="24"/>
      <c r="D602" s="33" t="s">
        <v>152</v>
      </c>
      <c r="E602" s="26"/>
      <c r="F602" s="13"/>
      <c r="G602" s="34"/>
      <c r="H602" s="13"/>
      <c r="I602" s="34"/>
      <c r="J602" s="13"/>
      <c r="K602" s="24"/>
      <c r="L602" s="13"/>
      <c r="M602" s="24"/>
      <c r="N602" s="30"/>
      <c r="O602" s="30"/>
    </row>
    <row r="603" ht="14.25" customHeight="1">
      <c r="A603" s="28" t="s">
        <v>24</v>
      </c>
      <c r="B603" s="35" t="s">
        <v>25</v>
      </c>
      <c r="C603" s="58">
        <f>C598*B598 + B599*C599 + B600*C600 + B601*C601 + B602*C602</f>
        <v>1010</v>
      </c>
      <c r="D603" s="57" t="s">
        <v>25</v>
      </c>
      <c r="E603" s="55" t="str">
        <f>E598*D598 + D599*#REF! + E599*E600 + D601*E601 + D602*E602</f>
        <v>#VALUE!</v>
      </c>
      <c r="F603" s="35" t="s">
        <v>25</v>
      </c>
      <c r="G603" s="56">
        <f>G598*F598 + F599*G599 + F600*G600 + F601*G601 + F602*G602</f>
        <v>1380</v>
      </c>
      <c r="H603" s="35" t="s">
        <v>25</v>
      </c>
      <c r="I603" s="56" t="str">
        <f>I598*H598 + H599*I599 + H600*I600 + H601*I601 + H602*I602</f>
        <v>#VALUE!</v>
      </c>
      <c r="J603" s="35" t="s">
        <v>25</v>
      </c>
      <c r="K603" s="58">
        <f>K598*J598 + J599*K599 + J600*K600 + J601*K601 + J602*K602</f>
        <v>1200</v>
      </c>
      <c r="L603" s="35" t="s">
        <v>25</v>
      </c>
      <c r="M603" s="36" t="str">
        <f>M598*L598 + L599*M599 + L600*M600 + L601*M601 + L602*M602</f>
        <v>#VALUE!</v>
      </c>
      <c r="N603" s="30"/>
      <c r="O603" s="30"/>
    </row>
    <row r="604" ht="14.25" customHeight="1">
      <c r="A604" s="37"/>
      <c r="B604" s="39" t="s">
        <v>26</v>
      </c>
      <c r="C604" s="116">
        <f>(B598*C598 + B599*C599 + B600*C600 + B601*C601 + B602*C602)/SUM(C598:C602)</f>
        <v>84.16666667</v>
      </c>
      <c r="D604" s="31" t="s">
        <v>26</v>
      </c>
      <c r="E604" s="74" t="str">
        <f>(D598*E598 + D599*#REF! + E599*E600 + D601*E601 + D602*E602)/SUM(E598:E602)</f>
        <v>#VALUE!</v>
      </c>
      <c r="F604" s="13" t="s">
        <v>26</v>
      </c>
      <c r="G604" s="117">
        <f>(F598*G598 + F599*G599 + F600*G600 + F601*G601 + F602*G602)/SUM(G598:G602)</f>
        <v>115</v>
      </c>
      <c r="H604" s="13" t="s">
        <v>26</v>
      </c>
      <c r="I604" s="74" t="str">
        <f>(H598*I598 + H599*I599 + H600*I600 + H601*I601 + H602*I602)/SUM(I598:I602)</f>
        <v>#VALUE!</v>
      </c>
      <c r="J604" s="39" t="s">
        <v>26</v>
      </c>
      <c r="K604" s="116">
        <f>(J598*K598 + J599*K599 + J600*K600 + J601*K601 + J602*K602)/SUM(K598:K602)</f>
        <v>100</v>
      </c>
      <c r="L604" s="13" t="s">
        <v>26</v>
      </c>
      <c r="M604" s="75" t="str">
        <f>(L598*M598 + L599*M599 + L600*M600 + L601*M601 + L602*M602)/SUM(M598:M602)</f>
        <v>#VALUE!</v>
      </c>
      <c r="N604" s="30"/>
      <c r="O604" s="30"/>
    </row>
    <row r="605" ht="14.25" customHeight="1">
      <c r="A605" s="28" t="s">
        <v>27</v>
      </c>
      <c r="B605" s="11" t="s">
        <v>10</v>
      </c>
      <c r="C605" s="12" t="s">
        <v>11</v>
      </c>
      <c r="D605" s="11" t="s">
        <v>10</v>
      </c>
      <c r="E605" s="12" t="s">
        <v>11</v>
      </c>
      <c r="F605" s="11" t="s">
        <v>10</v>
      </c>
      <c r="G605" s="12" t="s">
        <v>11</v>
      </c>
      <c r="H605" s="11" t="s">
        <v>10</v>
      </c>
      <c r="I605" s="12" t="s">
        <v>11</v>
      </c>
      <c r="J605" s="11" t="s">
        <v>10</v>
      </c>
      <c r="K605" s="12" t="s">
        <v>11</v>
      </c>
      <c r="L605" s="11" t="s">
        <v>10</v>
      </c>
      <c r="M605" s="12" t="s">
        <v>11</v>
      </c>
      <c r="N605" s="30"/>
      <c r="O605" s="30"/>
    </row>
    <row r="606" ht="14.25" customHeight="1">
      <c r="A606" s="41" t="s">
        <v>28</v>
      </c>
      <c r="B606" s="20" t="s">
        <v>201</v>
      </c>
      <c r="C606" s="17"/>
      <c r="D606" s="45" t="s">
        <v>91</v>
      </c>
      <c r="E606" s="76" t="s">
        <v>49</v>
      </c>
      <c r="F606" s="68" t="s">
        <v>134</v>
      </c>
      <c r="G606" s="17"/>
      <c r="H606" s="70" t="s">
        <v>91</v>
      </c>
      <c r="I606" s="44" t="s">
        <v>90</v>
      </c>
      <c r="J606" s="68" t="s">
        <v>212</v>
      </c>
      <c r="K606" s="17"/>
      <c r="L606" s="42" t="s">
        <v>91</v>
      </c>
      <c r="M606" s="44" t="s">
        <v>90</v>
      </c>
      <c r="N606" s="30"/>
      <c r="O606" s="30"/>
    </row>
    <row r="607" ht="14.25" customHeight="1">
      <c r="A607" s="28"/>
      <c r="B607" s="46">
        <v>140.0</v>
      </c>
      <c r="C607" s="48">
        <v>5.0</v>
      </c>
      <c r="D607" s="1"/>
      <c r="E607" s="54"/>
      <c r="F607" s="46">
        <v>120.0</v>
      </c>
      <c r="G607" s="48">
        <v>5.0</v>
      </c>
      <c r="H607" s="28">
        <v>60.0</v>
      </c>
      <c r="I607" s="24"/>
      <c r="J607" s="46">
        <v>95.0</v>
      </c>
      <c r="K607" s="48">
        <v>5.0</v>
      </c>
      <c r="L607" s="28">
        <v>60.0</v>
      </c>
      <c r="M607" s="26"/>
      <c r="N607" s="30"/>
      <c r="O607" s="30"/>
    </row>
    <row r="608" ht="14.25" customHeight="1">
      <c r="A608" s="28" t="s">
        <v>37</v>
      </c>
      <c r="B608" s="46">
        <v>150.0</v>
      </c>
      <c r="C608" s="48">
        <v>5.0</v>
      </c>
      <c r="D608" s="1"/>
      <c r="E608" s="54"/>
      <c r="F608" s="46">
        <v>125.0</v>
      </c>
      <c r="G608" s="48">
        <v>5.0</v>
      </c>
      <c r="H608" s="28">
        <v>30.0</v>
      </c>
      <c r="I608" s="24"/>
      <c r="J608" s="46">
        <v>100.0</v>
      </c>
      <c r="K608" s="48">
        <v>5.0</v>
      </c>
      <c r="L608" s="28">
        <v>30.0</v>
      </c>
      <c r="M608" s="26"/>
      <c r="N608" s="30"/>
      <c r="O608" s="30"/>
    </row>
    <row r="609" ht="14.25" customHeight="1">
      <c r="A609" s="28" t="s">
        <v>39</v>
      </c>
      <c r="B609" s="46">
        <v>160.0</v>
      </c>
      <c r="C609" s="48">
        <v>5.0</v>
      </c>
      <c r="D609" s="1"/>
      <c r="E609" s="54"/>
      <c r="F609" s="46">
        <v>130.0</v>
      </c>
      <c r="G609" s="48">
        <v>5.0</v>
      </c>
      <c r="H609" s="28">
        <v>60.0</v>
      </c>
      <c r="I609" s="24"/>
      <c r="J609" s="46">
        <v>105.0</v>
      </c>
      <c r="K609" s="48">
        <v>5.0</v>
      </c>
      <c r="L609" s="28">
        <v>40.0</v>
      </c>
      <c r="M609" s="26"/>
      <c r="N609" s="30"/>
      <c r="O609" s="30"/>
    </row>
    <row r="610" ht="14.25" customHeight="1">
      <c r="A610" s="28"/>
      <c r="B610" s="46">
        <v>165.0</v>
      </c>
      <c r="C610" s="48">
        <v>5.0</v>
      </c>
      <c r="D610" s="1"/>
      <c r="E610" s="54"/>
      <c r="F610" s="46"/>
      <c r="G610" s="48"/>
      <c r="H610" s="28">
        <v>30.0</v>
      </c>
      <c r="I610" s="24"/>
      <c r="J610" s="46"/>
      <c r="K610" s="48"/>
      <c r="L610" s="28">
        <v>30.0</v>
      </c>
      <c r="M610" s="26"/>
      <c r="N610" s="30"/>
      <c r="O610" s="30"/>
    </row>
    <row r="611" ht="14.25" customHeight="1">
      <c r="A611" s="28" t="s">
        <v>41</v>
      </c>
      <c r="B611" s="13"/>
      <c r="C611" s="24"/>
      <c r="D611" s="1"/>
      <c r="E611" s="24"/>
      <c r="F611" s="31"/>
      <c r="G611" s="24"/>
      <c r="H611" s="28"/>
      <c r="I611" s="24"/>
      <c r="J611" s="31"/>
      <c r="K611" s="24"/>
      <c r="L611" s="28"/>
      <c r="M611" s="24"/>
      <c r="N611" s="30"/>
      <c r="O611" s="30"/>
    </row>
    <row r="612" ht="14.25" customHeight="1">
      <c r="A612" s="28" t="s">
        <v>43</v>
      </c>
      <c r="B612" s="13"/>
      <c r="C612" s="34"/>
      <c r="D612" s="28"/>
      <c r="E612" s="34"/>
      <c r="F612" s="13"/>
      <c r="G612" s="34"/>
      <c r="H612" s="32"/>
      <c r="I612" s="24"/>
      <c r="J612" s="13"/>
      <c r="K612" s="24"/>
      <c r="L612" s="32"/>
      <c r="M612" s="54" t="s">
        <v>204</v>
      </c>
      <c r="N612" s="30"/>
      <c r="O612" s="30"/>
    </row>
    <row r="613" ht="14.25" customHeight="1">
      <c r="A613" s="28"/>
      <c r="B613" s="35" t="s">
        <v>25</v>
      </c>
      <c r="C613" s="55">
        <f>C607*B607 + B608*C608 + B609*C609 + B610*C610 + B612*C612</f>
        <v>3075</v>
      </c>
      <c r="D613" s="35" t="s">
        <v>25</v>
      </c>
      <c r="E613" s="55">
        <f>E607*D607 + D608*E608 + D609*E609 + D610*E610 + D612*E612</f>
        <v>0</v>
      </c>
      <c r="F613" s="35" t="s">
        <v>25</v>
      </c>
      <c r="G613" s="55">
        <f>G607*F607 + F608*G608 + F609*G609 + F610*G610 + F612*G612</f>
        <v>1875</v>
      </c>
      <c r="H613" s="35" t="s">
        <v>25</v>
      </c>
      <c r="I613" s="56">
        <f>I607*H607 + H608*I608 + H609*I609 + H610*I610 + H612*I612</f>
        <v>0</v>
      </c>
      <c r="J613" s="35" t="s">
        <v>25</v>
      </c>
      <c r="K613" s="36">
        <f>K607*J607 + J608*K608 + J609*K609 + J610*K610 + J612*K612</f>
        <v>1500</v>
      </c>
      <c r="L613" s="35" t="s">
        <v>25</v>
      </c>
      <c r="M613" s="36" t="str">
        <f>M607*L607 + L608*M608 + L609*M609 + L610*M610 + L612*M612</f>
        <v>#VALUE!</v>
      </c>
      <c r="N613" s="30"/>
      <c r="O613" s="30"/>
    </row>
    <row r="614" ht="14.25" customHeight="1">
      <c r="A614" s="28" t="s">
        <v>116</v>
      </c>
      <c r="B614" s="39" t="s">
        <v>26</v>
      </c>
      <c r="C614" s="77">
        <f>(B607*C607 + B608*C608 + B609*C609 + B610*C610 + B612*C612)/SUM(C607:C612)</f>
        <v>153.75</v>
      </c>
      <c r="D614" s="39" t="s">
        <v>26</v>
      </c>
      <c r="E614" s="77" t="str">
        <f>(D607*E607 + D608*E608 + D609*E609 + D610*E610 + D612*E612)/SUM(E607:E612)</f>
        <v>#DIV/0!</v>
      </c>
      <c r="F614" s="39" t="s">
        <v>26</v>
      </c>
      <c r="G614" s="77">
        <f>(F607*G607 + F608*G608 + F609*G609 + F610*G610 + F612*G612)/SUM(G607:G612)</f>
        <v>125</v>
      </c>
      <c r="H614" s="39" t="s">
        <v>26</v>
      </c>
      <c r="I614" s="77" t="str">
        <f>(H607*I607 + H608*I608 + H609*I609 + H610*I610 + H612*I612)/SUM(I607:I612)</f>
        <v>#DIV/0!</v>
      </c>
      <c r="J614" s="39" t="s">
        <v>26</v>
      </c>
      <c r="K614" s="40">
        <f>(J607*K607 + J608*K608 + J609*K609 + J610*K610 + J612*K612)/SUM(K607:K612)</f>
        <v>100</v>
      </c>
      <c r="L614" s="39" t="s">
        <v>26</v>
      </c>
      <c r="M614" s="40" t="str">
        <f>(L607*M607 + L608*M608 + L609*M609 + L610*M610 + L612*M612)/SUM(M607:M612)</f>
        <v>#VALUE!</v>
      </c>
      <c r="N614" s="30"/>
      <c r="O614" s="30"/>
    </row>
    <row r="615" ht="14.25" customHeight="1">
      <c r="A615" s="28" t="s">
        <v>117</v>
      </c>
      <c r="B615" s="70" t="s">
        <v>213</v>
      </c>
      <c r="C615" s="17"/>
      <c r="D615" s="45"/>
      <c r="E615" s="17"/>
      <c r="F615" s="70" t="s">
        <v>185</v>
      </c>
      <c r="G615" s="17"/>
      <c r="H615" s="49"/>
      <c r="I615" s="17"/>
      <c r="J615" s="70" t="s">
        <v>71</v>
      </c>
      <c r="K615" s="17"/>
      <c r="L615" s="42" t="s">
        <v>105</v>
      </c>
      <c r="M615" s="44" t="s">
        <v>49</v>
      </c>
      <c r="N615" s="30"/>
      <c r="O615" s="30"/>
    </row>
    <row r="616" ht="14.25" customHeight="1">
      <c r="A616" s="28" t="s">
        <v>120</v>
      </c>
      <c r="B616" s="28" t="s">
        <v>214</v>
      </c>
      <c r="C616" s="54">
        <v>8.0</v>
      </c>
      <c r="D616" s="110"/>
      <c r="E616" s="24"/>
      <c r="F616" s="28"/>
      <c r="G616" s="54">
        <v>8.0</v>
      </c>
      <c r="H616" s="1">
        <v>60.0</v>
      </c>
      <c r="I616" s="24"/>
      <c r="J616" s="28">
        <v>90.0</v>
      </c>
      <c r="K616" s="54">
        <v>8.0</v>
      </c>
      <c r="L616" s="28">
        <v>30.0</v>
      </c>
      <c r="M616" s="24"/>
      <c r="N616" s="30"/>
      <c r="O616" s="30"/>
    </row>
    <row r="617" ht="14.25" customHeight="1">
      <c r="A617" s="28"/>
      <c r="B617" s="27" t="s">
        <v>214</v>
      </c>
      <c r="C617" s="54">
        <v>8.0</v>
      </c>
      <c r="D617" s="46"/>
      <c r="E617" s="26"/>
      <c r="F617" s="27"/>
      <c r="G617" s="54">
        <v>8.0</v>
      </c>
      <c r="H617" s="1">
        <v>30.0</v>
      </c>
      <c r="I617" s="24"/>
      <c r="J617" s="27">
        <v>92.5</v>
      </c>
      <c r="K617" s="54">
        <v>8.0</v>
      </c>
      <c r="L617" s="28">
        <v>40.0</v>
      </c>
      <c r="M617" s="26"/>
      <c r="N617" s="30"/>
      <c r="O617" s="30"/>
    </row>
    <row r="618" ht="14.25" customHeight="1">
      <c r="A618" s="28"/>
      <c r="B618" s="27" t="s">
        <v>215</v>
      </c>
      <c r="C618" s="54">
        <v>8.0</v>
      </c>
      <c r="D618" s="46"/>
      <c r="E618" s="24"/>
      <c r="F618" s="27"/>
      <c r="G618" s="54">
        <v>8.0</v>
      </c>
      <c r="H618" s="1">
        <v>60.0</v>
      </c>
      <c r="I618" s="24"/>
      <c r="J618" s="27">
        <v>95.0</v>
      </c>
      <c r="K618" s="54">
        <v>8.0</v>
      </c>
      <c r="L618" s="28">
        <v>60.0</v>
      </c>
      <c r="M618" s="24"/>
      <c r="N618" s="30"/>
      <c r="O618" s="30"/>
    </row>
    <row r="619" ht="14.25" customHeight="1">
      <c r="A619" s="28"/>
      <c r="B619" s="28"/>
      <c r="C619" s="79"/>
      <c r="D619" s="46"/>
      <c r="E619" s="79"/>
      <c r="F619" s="28"/>
      <c r="G619" s="34"/>
      <c r="H619" s="28">
        <v>30.0</v>
      </c>
      <c r="I619" s="34"/>
      <c r="J619" s="28"/>
      <c r="K619" s="54"/>
      <c r="L619" s="28">
        <v>30.0</v>
      </c>
      <c r="M619" s="24"/>
      <c r="N619" s="30"/>
      <c r="O619" s="30"/>
    </row>
    <row r="620" ht="14.25" customHeight="1">
      <c r="A620" s="28"/>
      <c r="B620" s="13"/>
      <c r="C620" s="34"/>
      <c r="D620" s="21"/>
      <c r="E620" s="34"/>
      <c r="F620" s="13"/>
      <c r="G620" s="34"/>
      <c r="H620" s="28"/>
      <c r="I620" s="34"/>
      <c r="J620" s="13"/>
      <c r="K620" s="24"/>
      <c r="L620" s="31"/>
      <c r="M620" s="24"/>
      <c r="N620" s="30"/>
      <c r="O620" s="30"/>
    </row>
    <row r="621" ht="14.25" customHeight="1">
      <c r="A621" s="28"/>
      <c r="B621" s="35" t="s">
        <v>25</v>
      </c>
      <c r="C621" s="55" t="str">
        <f>C616*B616 + B617*C617 + B618*C618 + B619*C619 + B620*C620</f>
        <v>#VALUE!</v>
      </c>
      <c r="D621" s="35" t="s">
        <v>25</v>
      </c>
      <c r="E621" s="55">
        <f>E616*D616 + D617*E617 + D618*E618 + D619*E619 + D620*E620</f>
        <v>0</v>
      </c>
      <c r="F621" s="35" t="s">
        <v>25</v>
      </c>
      <c r="G621" s="55">
        <f>G616*F616 + F617*G617 + F618*G618 + F619*G619 + F620*G620</f>
        <v>0</v>
      </c>
      <c r="H621" s="35" t="s">
        <v>25</v>
      </c>
      <c r="I621" s="56">
        <f>I616*H616 + H617*I617 + H618*I618 + H619*I619 + H620*I620</f>
        <v>0</v>
      </c>
      <c r="J621" s="35" t="s">
        <v>25</v>
      </c>
      <c r="K621" s="36">
        <f>K616*J616 + J617*K617 + J618*K618 + J619*K619 + J620*K620</f>
        <v>2220</v>
      </c>
      <c r="L621" s="57" t="s">
        <v>25</v>
      </c>
      <c r="M621" s="58">
        <f>M616*L616 + L617*M617 + L618*M618 + L619*M619 + L620*M620</f>
        <v>0</v>
      </c>
      <c r="N621" s="30"/>
      <c r="O621" s="30"/>
    </row>
    <row r="622" ht="14.25" customHeight="1">
      <c r="A622" s="28"/>
      <c r="B622" s="39" t="s">
        <v>26</v>
      </c>
      <c r="C622" s="40" t="str">
        <f>(B616*C616 + B617*C617 + B618*C618 + B619*C619 + B620*C620)/SUM(C616:C620)</f>
        <v>#VALUE!</v>
      </c>
      <c r="D622" s="59" t="s">
        <v>26</v>
      </c>
      <c r="E622" s="40" t="str">
        <f>(D616*E616 + D617*E617 + D618*E618 + D619*E619 + D620*E620)/SUM(E616:E620)</f>
        <v>#DIV/0!</v>
      </c>
      <c r="F622" s="31" t="s">
        <v>26</v>
      </c>
      <c r="G622" s="75">
        <f>(F616*G616 + F617*G617 + F618*G618 + F619*G619 + F620*G620)/SUM(G616:G620)</f>
        <v>0</v>
      </c>
      <c r="H622" s="59" t="s">
        <v>26</v>
      </c>
      <c r="I622" s="40" t="str">
        <f>(H616*I616 + H617*I617 + H618*I618 + H619*I619 + H620*I620)/SUM(I616:I620)</f>
        <v>#DIV/0!</v>
      </c>
      <c r="J622" s="39" t="s">
        <v>26</v>
      </c>
      <c r="K622" s="40">
        <f>(J616*K616 + J617*K617 + J618*K618 + J619*K619 + J620*K620)/SUM(K616:K620)</f>
        <v>92.5</v>
      </c>
      <c r="L622" s="59" t="s">
        <v>26</v>
      </c>
      <c r="M622" s="40" t="str">
        <f>(L616*M616 + L617*M617 + L618*M618 + L619*M619 + L620*M620)/SUM(M616:M620)</f>
        <v>#DIV/0!</v>
      </c>
      <c r="N622" s="30"/>
      <c r="O622" s="30"/>
    </row>
    <row r="623" ht="14.25" customHeight="1">
      <c r="A623" s="28"/>
      <c r="B623" s="28" t="s">
        <v>91</v>
      </c>
      <c r="C623" s="30" t="s">
        <v>49</v>
      </c>
      <c r="D623" s="28" t="s">
        <v>50</v>
      </c>
      <c r="E623" s="30" t="s">
        <v>49</v>
      </c>
      <c r="F623" s="120" t="s">
        <v>91</v>
      </c>
      <c r="G623" s="121" t="s">
        <v>49</v>
      </c>
      <c r="H623" s="122" t="s">
        <v>33</v>
      </c>
      <c r="I623" s="30"/>
      <c r="J623" s="28" t="s">
        <v>91</v>
      </c>
      <c r="K623" s="60" t="s">
        <v>49</v>
      </c>
      <c r="L623" s="30"/>
      <c r="M623" s="60" t="s">
        <v>49</v>
      </c>
      <c r="N623" s="30"/>
      <c r="O623" s="30"/>
    </row>
    <row r="624" ht="14.25" customHeight="1">
      <c r="A624" s="28"/>
      <c r="B624" s="27">
        <v>30.0</v>
      </c>
      <c r="C624" s="60"/>
      <c r="D624" s="27" t="s">
        <v>153</v>
      </c>
      <c r="E624" s="60"/>
      <c r="F624" s="27">
        <v>60.0</v>
      </c>
      <c r="G624" s="61"/>
      <c r="H624" s="30"/>
      <c r="I624" s="60"/>
      <c r="J624" s="27">
        <v>20.0</v>
      </c>
      <c r="K624" s="60"/>
      <c r="L624" s="62"/>
      <c r="M624" s="60"/>
      <c r="N624" s="30"/>
      <c r="O624" s="30"/>
    </row>
    <row r="625" ht="14.25" customHeight="1">
      <c r="A625" s="28" t="s">
        <v>195</v>
      </c>
      <c r="B625" s="27">
        <v>60.0</v>
      </c>
      <c r="C625" s="60"/>
      <c r="D625" s="27" t="s">
        <v>154</v>
      </c>
      <c r="E625" s="60"/>
      <c r="F625" s="69">
        <v>40.0</v>
      </c>
      <c r="G625" s="60"/>
      <c r="H625" s="30"/>
      <c r="I625" s="60"/>
      <c r="J625" s="69">
        <v>40.0</v>
      </c>
      <c r="K625" s="60"/>
      <c r="L625" s="30"/>
      <c r="M625" s="60"/>
      <c r="N625" s="30"/>
      <c r="O625" s="30"/>
    </row>
    <row r="626" ht="14.25" customHeight="1">
      <c r="A626" s="37"/>
      <c r="B626" s="28">
        <v>80.0</v>
      </c>
      <c r="C626" s="60"/>
      <c r="D626" s="28" t="s">
        <v>155</v>
      </c>
      <c r="E626" s="60"/>
      <c r="F626" s="1">
        <v>30.0</v>
      </c>
      <c r="G626" s="60"/>
      <c r="H626" s="30"/>
      <c r="I626" s="60"/>
      <c r="J626" s="1">
        <v>30.0</v>
      </c>
      <c r="K626" s="60"/>
      <c r="L626" s="30"/>
      <c r="M626" s="60"/>
      <c r="N626" s="30"/>
      <c r="O626" s="30"/>
    </row>
    <row r="627" ht="14.25" customHeight="1">
      <c r="A627" s="37"/>
      <c r="B627" s="28">
        <v>60.0</v>
      </c>
      <c r="C627" s="1"/>
      <c r="D627" s="28" t="s">
        <v>156</v>
      </c>
      <c r="E627" s="1"/>
      <c r="F627" s="28">
        <v>20.0</v>
      </c>
      <c r="G627" s="60"/>
      <c r="H627" s="30"/>
      <c r="I627" s="30"/>
      <c r="J627" s="28">
        <v>50.0</v>
      </c>
      <c r="K627" s="60"/>
      <c r="L627" s="30"/>
      <c r="M627" s="60"/>
      <c r="N627" s="30"/>
      <c r="O627" s="30"/>
    </row>
    <row r="628" ht="14.25" customHeight="1">
      <c r="A628" s="37"/>
      <c r="B628" s="28"/>
      <c r="C628" s="1"/>
      <c r="D628" s="28" t="s">
        <v>157</v>
      </c>
      <c r="E628" s="1"/>
      <c r="F628" s="28"/>
      <c r="G628" s="60"/>
      <c r="H628" s="30"/>
      <c r="I628" s="30"/>
      <c r="J628" s="28">
        <v>30.0</v>
      </c>
      <c r="K628" s="60"/>
      <c r="L628" s="30"/>
      <c r="M628" s="60"/>
      <c r="N628" s="30"/>
      <c r="O628" s="30"/>
    </row>
    <row r="629" ht="14.25" customHeight="1">
      <c r="A629" s="37"/>
      <c r="B629" s="28"/>
      <c r="C629" s="1"/>
      <c r="D629" s="28"/>
      <c r="E629" s="1"/>
      <c r="F629" s="28"/>
      <c r="G629" s="60"/>
      <c r="H629" s="30"/>
      <c r="I629" s="30"/>
      <c r="J629" s="37"/>
      <c r="K629" s="60"/>
      <c r="L629" s="30"/>
      <c r="M629" s="60"/>
      <c r="N629" s="30"/>
      <c r="O629" s="30"/>
    </row>
    <row r="630" ht="14.25" customHeight="1">
      <c r="A630" s="64"/>
      <c r="B630" s="65"/>
      <c r="C630" s="66"/>
      <c r="D630" s="65"/>
      <c r="E630" s="66"/>
      <c r="F630" s="64"/>
      <c r="G630" s="67"/>
      <c r="H630" s="66"/>
      <c r="I630" s="66"/>
      <c r="J630" s="64"/>
      <c r="K630" s="67"/>
      <c r="L630" s="66"/>
      <c r="M630" s="67"/>
      <c r="N630" s="30"/>
      <c r="O630" s="30"/>
    </row>
    <row r="631" ht="14.25" customHeight="1">
      <c r="A631" s="30"/>
      <c r="B631" s="30"/>
      <c r="C631" s="30"/>
      <c r="D631" s="23"/>
      <c r="E631" s="30"/>
      <c r="F631" s="30"/>
      <c r="G631" s="30"/>
      <c r="H631" s="23"/>
      <c r="I631" s="30"/>
      <c r="J631" s="30"/>
      <c r="K631" s="30"/>
      <c r="L631" s="30"/>
      <c r="M631" s="30"/>
      <c r="N631" s="30"/>
      <c r="O631" s="30"/>
    </row>
    <row r="632" ht="14.25" customHeight="1">
      <c r="A632" s="2" t="s">
        <v>2</v>
      </c>
      <c r="B632" s="3" t="s">
        <v>3</v>
      </c>
      <c r="C632" s="4">
        <f>M595+2</f>
        <v>45474</v>
      </c>
      <c r="D632" s="5" t="s">
        <v>4</v>
      </c>
      <c r="E632" s="6">
        <f>C632+1</f>
        <v>45475</v>
      </c>
      <c r="F632" s="3" t="s">
        <v>5</v>
      </c>
      <c r="G632" s="6">
        <f>E632+1</f>
        <v>45476</v>
      </c>
      <c r="H632" s="3" t="s">
        <v>6</v>
      </c>
      <c r="I632" s="6">
        <f>G632+1</f>
        <v>45477</v>
      </c>
      <c r="J632" s="3" t="s">
        <v>7</v>
      </c>
      <c r="K632" s="6">
        <f>I632+1</f>
        <v>45478</v>
      </c>
      <c r="L632" s="7" t="s">
        <v>8</v>
      </c>
      <c r="M632" s="8">
        <f>K632+1</f>
        <v>45479</v>
      </c>
      <c r="N632" s="30"/>
      <c r="O632" s="30"/>
    </row>
    <row r="633" ht="14.25" customHeight="1">
      <c r="A633" s="10">
        <f>A596+1</f>
        <v>18</v>
      </c>
      <c r="B633" s="11" t="s">
        <v>10</v>
      </c>
      <c r="C633" s="12" t="s">
        <v>11</v>
      </c>
      <c r="D633" s="11" t="s">
        <v>10</v>
      </c>
      <c r="E633" s="12" t="s">
        <v>11</v>
      </c>
      <c r="F633" s="11" t="s">
        <v>10</v>
      </c>
      <c r="G633" s="12" t="s">
        <v>11</v>
      </c>
      <c r="H633" s="11" t="s">
        <v>10</v>
      </c>
      <c r="I633" s="12" t="s">
        <v>11</v>
      </c>
      <c r="J633" s="11" t="s">
        <v>10</v>
      </c>
      <c r="K633" s="12" t="s">
        <v>11</v>
      </c>
      <c r="L633" s="11" t="s">
        <v>10</v>
      </c>
      <c r="M633" s="12" t="s">
        <v>11</v>
      </c>
      <c r="N633" s="30"/>
      <c r="O633" s="30"/>
    </row>
    <row r="634" ht="14.25" customHeight="1">
      <c r="A634" s="13" t="s">
        <v>12</v>
      </c>
      <c r="B634" s="20" t="s">
        <v>216</v>
      </c>
      <c r="C634" s="17"/>
      <c r="D634" s="20" t="s">
        <v>216</v>
      </c>
      <c r="E634" s="17"/>
      <c r="F634" s="20" t="s">
        <v>216</v>
      </c>
      <c r="G634" s="76"/>
      <c r="H634" s="20" t="s">
        <v>216</v>
      </c>
      <c r="I634" s="20" t="s">
        <v>216</v>
      </c>
      <c r="J634" s="20" t="s">
        <v>202</v>
      </c>
      <c r="K634" s="17"/>
      <c r="L634" s="72" t="s">
        <v>14</v>
      </c>
      <c r="M634" s="17"/>
      <c r="N634" s="30"/>
      <c r="O634" s="30"/>
    </row>
    <row r="635" ht="14.25" customHeight="1">
      <c r="A635" s="13"/>
      <c r="B635" s="46"/>
      <c r="C635" s="48"/>
      <c r="D635" s="1"/>
      <c r="E635" s="54"/>
      <c r="F635" s="46"/>
      <c r="G635" s="48"/>
      <c r="H635" s="27"/>
      <c r="I635" s="26"/>
      <c r="J635" s="46">
        <v>100.0</v>
      </c>
      <c r="K635" s="48">
        <v>4.0</v>
      </c>
      <c r="L635" s="27" t="s">
        <v>209</v>
      </c>
      <c r="M635" s="24"/>
      <c r="N635" s="30"/>
      <c r="O635" s="30"/>
    </row>
    <row r="636" ht="14.25" customHeight="1">
      <c r="A636" s="28" t="s">
        <v>20</v>
      </c>
      <c r="B636" s="46"/>
      <c r="C636" s="48"/>
      <c r="D636" s="1"/>
      <c r="E636" s="26"/>
      <c r="F636" s="46"/>
      <c r="G636" s="48"/>
      <c r="H636" s="28"/>
      <c r="I636" s="54"/>
      <c r="J636" s="46">
        <v>105.0</v>
      </c>
      <c r="K636" s="48">
        <v>4.0</v>
      </c>
      <c r="L636" s="32" t="s">
        <v>82</v>
      </c>
      <c r="M636" s="24"/>
      <c r="N636" s="30"/>
      <c r="O636" s="30"/>
    </row>
    <row r="637" ht="14.25" customHeight="1">
      <c r="A637" s="29" t="s">
        <v>22</v>
      </c>
      <c r="B637" s="46"/>
      <c r="C637" s="48"/>
      <c r="D637" s="1"/>
      <c r="E637" s="26"/>
      <c r="F637" s="46"/>
      <c r="G637" s="48"/>
      <c r="H637" s="28"/>
      <c r="I637" s="26"/>
      <c r="J637" s="46">
        <v>110.0</v>
      </c>
      <c r="K637" s="48">
        <v>4.0</v>
      </c>
      <c r="L637" s="23"/>
      <c r="M637" s="24"/>
      <c r="N637" s="30"/>
      <c r="O637" s="30"/>
    </row>
    <row r="638" ht="14.25" customHeight="1">
      <c r="A638" s="28" t="s">
        <v>23</v>
      </c>
      <c r="B638" s="46"/>
      <c r="C638" s="48"/>
      <c r="D638" s="1"/>
      <c r="E638" s="26"/>
      <c r="F638" s="46"/>
      <c r="G638" s="48"/>
      <c r="H638" s="1"/>
      <c r="I638" s="24"/>
      <c r="J638" s="46"/>
      <c r="K638" s="22"/>
      <c r="L638" s="23"/>
      <c r="M638" s="26"/>
      <c r="N638" s="30"/>
      <c r="O638" s="30"/>
    </row>
    <row r="639" ht="14.25" customHeight="1">
      <c r="A639" s="13"/>
      <c r="B639" s="13"/>
      <c r="C639" s="24"/>
      <c r="D639" s="33"/>
      <c r="E639" s="26"/>
      <c r="F639" s="13"/>
      <c r="G639" s="34"/>
      <c r="H639" s="13"/>
      <c r="I639" s="34"/>
      <c r="J639" s="13"/>
      <c r="K639" s="24"/>
      <c r="L639" s="13"/>
      <c r="M639" s="24"/>
      <c r="N639" s="30"/>
      <c r="O639" s="30"/>
    </row>
    <row r="640" ht="14.25" customHeight="1">
      <c r="A640" s="28" t="s">
        <v>24</v>
      </c>
      <c r="B640" s="35" t="s">
        <v>25</v>
      </c>
      <c r="C640" s="58">
        <f>C635*B635 + B636*C636 + B637*C637 + B638*C638 + B639*C639</f>
        <v>0</v>
      </c>
      <c r="D640" s="57" t="s">
        <v>25</v>
      </c>
      <c r="E640" s="55" t="str">
        <f>E635*D635 + D636*#REF! + E636*E637 + D638*E638 + D639*E639</f>
        <v>#REF!</v>
      </c>
      <c r="F640" s="35" t="s">
        <v>25</v>
      </c>
      <c r="G640" s="56">
        <f>G635*F635 + F636*G636 + F637*G637 + F638*G638 + F639*G639</f>
        <v>0</v>
      </c>
      <c r="H640" s="35" t="s">
        <v>25</v>
      </c>
      <c r="I640" s="56">
        <f>I635*H635 + H636*I636 + H637*I637 + H638*I638 + H639*I639</f>
        <v>0</v>
      </c>
      <c r="J640" s="35" t="s">
        <v>25</v>
      </c>
      <c r="K640" s="58">
        <f>K635*J635 + J636*K636 + J637*K637 + J638*K638 + J639*K639</f>
        <v>1260</v>
      </c>
      <c r="L640" s="35" t="s">
        <v>25</v>
      </c>
      <c r="M640" s="36" t="str">
        <f>M635*L635 + L636*M636 + L637*M637 + L638*M638 + L639*M639</f>
        <v>#VALUE!</v>
      </c>
      <c r="N640" s="30"/>
      <c r="O640" s="30"/>
    </row>
    <row r="641" ht="14.25" customHeight="1">
      <c r="A641" s="37"/>
      <c r="B641" s="39" t="s">
        <v>26</v>
      </c>
      <c r="C641" s="116" t="str">
        <f>(B635*C635 + B636*C636 + B637*C637 + B638*C638 + B639*C639)/SUM(C635:C639)</f>
        <v>#DIV/0!</v>
      </c>
      <c r="D641" s="31" t="s">
        <v>26</v>
      </c>
      <c r="E641" s="74" t="str">
        <f>(D635*E635 + D636*#REF! + E636*E637 + D638*E638 + D639*E639)/SUM(E635:E639)</f>
        <v>#REF!</v>
      </c>
      <c r="F641" s="13" t="s">
        <v>26</v>
      </c>
      <c r="G641" s="117" t="str">
        <f>(F635*G635 + F636*G636 + F637*G637 + F638*G638 + F639*G639)/SUM(G635:G639)</f>
        <v>#DIV/0!</v>
      </c>
      <c r="H641" s="13" t="s">
        <v>26</v>
      </c>
      <c r="I641" s="74" t="str">
        <f>(H635*I635 + H636*I636 + H637*I637 + H638*I638 + H639*I639)/SUM(I635:I639)</f>
        <v>#DIV/0!</v>
      </c>
      <c r="J641" s="39" t="s">
        <v>26</v>
      </c>
      <c r="K641" s="116">
        <f>(J635*K635 + J636*K636 + J637*K637 + J638*K638 + J639*K639)/SUM(K635:K639)</f>
        <v>105</v>
      </c>
      <c r="L641" s="13" t="s">
        <v>26</v>
      </c>
      <c r="M641" s="75" t="str">
        <f>(L635*M635 + L636*M636 + L637*M637 + L638*M638 + L639*M639)/SUM(M635:M639)</f>
        <v>#VALUE!</v>
      </c>
      <c r="N641" s="1" t="s">
        <v>217</v>
      </c>
      <c r="O641" s="30"/>
    </row>
    <row r="642" ht="14.25" customHeight="1">
      <c r="A642" s="28" t="s">
        <v>27</v>
      </c>
      <c r="B642" s="11" t="s">
        <v>10</v>
      </c>
      <c r="C642" s="12" t="s">
        <v>11</v>
      </c>
      <c r="D642" s="11" t="s">
        <v>10</v>
      </c>
      <c r="E642" s="12" t="s">
        <v>11</v>
      </c>
      <c r="F642" s="11" t="s">
        <v>10</v>
      </c>
      <c r="G642" s="12" t="s">
        <v>11</v>
      </c>
      <c r="H642" s="11" t="s">
        <v>10</v>
      </c>
      <c r="I642" s="12" t="s">
        <v>11</v>
      </c>
      <c r="J642" s="11" t="s">
        <v>10</v>
      </c>
      <c r="K642" s="12" t="s">
        <v>11</v>
      </c>
      <c r="L642" s="11" t="s">
        <v>10</v>
      </c>
      <c r="M642" s="12" t="s">
        <v>11</v>
      </c>
      <c r="N642" s="1" t="s">
        <v>218</v>
      </c>
      <c r="O642" s="30"/>
    </row>
    <row r="643" ht="14.25" customHeight="1">
      <c r="A643" s="41" t="s">
        <v>28</v>
      </c>
      <c r="B643" s="20"/>
      <c r="C643" s="17"/>
      <c r="D643" s="45"/>
      <c r="E643" s="76"/>
      <c r="F643" s="68"/>
      <c r="G643" s="17"/>
      <c r="H643" s="42"/>
      <c r="I643" s="44"/>
      <c r="J643" s="68" t="s">
        <v>212</v>
      </c>
      <c r="K643" s="17"/>
      <c r="L643" s="42" t="s">
        <v>91</v>
      </c>
      <c r="M643" s="44" t="s">
        <v>90</v>
      </c>
      <c r="N643" s="30"/>
      <c r="O643" s="30"/>
    </row>
    <row r="644" ht="14.25" customHeight="1">
      <c r="A644" s="28"/>
      <c r="B644" s="46"/>
      <c r="C644" s="48"/>
      <c r="D644" s="1"/>
      <c r="E644" s="54"/>
      <c r="F644" s="46"/>
      <c r="G644" s="48"/>
      <c r="H644" s="21"/>
      <c r="I644" s="24"/>
      <c r="J644" s="46">
        <v>100.0</v>
      </c>
      <c r="K644" s="48">
        <v>5.0</v>
      </c>
      <c r="L644" s="21">
        <v>40.0</v>
      </c>
      <c r="M644" s="26" t="s">
        <v>219</v>
      </c>
      <c r="N644" s="30"/>
      <c r="O644" s="30"/>
    </row>
    <row r="645" ht="14.25" customHeight="1">
      <c r="A645" s="28" t="s">
        <v>37</v>
      </c>
      <c r="B645" s="46"/>
      <c r="C645" s="48"/>
      <c r="D645" s="1"/>
      <c r="E645" s="54"/>
      <c r="F645" s="46"/>
      <c r="G645" s="48"/>
      <c r="H645" s="21"/>
      <c r="I645" s="24"/>
      <c r="J645" s="46">
        <v>105.0</v>
      </c>
      <c r="K645" s="48">
        <v>5.0</v>
      </c>
      <c r="L645" s="21">
        <v>30.0</v>
      </c>
      <c r="M645" s="26"/>
      <c r="N645" s="30"/>
      <c r="O645" s="30"/>
    </row>
    <row r="646" ht="14.25" customHeight="1">
      <c r="A646" s="28" t="s">
        <v>39</v>
      </c>
      <c r="B646" s="46"/>
      <c r="C646" s="48"/>
      <c r="D646" s="1"/>
      <c r="E646" s="54"/>
      <c r="F646" s="46"/>
      <c r="G646" s="48"/>
      <c r="H646" s="46"/>
      <c r="I646" s="24"/>
      <c r="J646" s="46">
        <v>110.0</v>
      </c>
      <c r="K646" s="48">
        <v>5.0</v>
      </c>
      <c r="L646" s="21">
        <v>60.0</v>
      </c>
      <c r="M646" s="26"/>
      <c r="N646" s="30"/>
      <c r="O646" s="30"/>
    </row>
    <row r="647" ht="14.25" customHeight="1">
      <c r="A647" s="28"/>
      <c r="B647" s="46"/>
      <c r="C647" s="48"/>
      <c r="D647" s="1"/>
      <c r="E647" s="54"/>
      <c r="F647" s="46"/>
      <c r="G647" s="48"/>
      <c r="H647" s="21"/>
      <c r="I647" s="24"/>
      <c r="J647" s="46"/>
      <c r="K647" s="48"/>
      <c r="L647" s="21">
        <v>30.0</v>
      </c>
      <c r="M647" s="26" t="s">
        <v>220</v>
      </c>
      <c r="N647" s="30"/>
      <c r="O647" s="30"/>
    </row>
    <row r="648" ht="14.25" customHeight="1">
      <c r="A648" s="28" t="s">
        <v>41</v>
      </c>
      <c r="B648" s="13"/>
      <c r="C648" s="24"/>
      <c r="D648" s="1"/>
      <c r="E648" s="24"/>
      <c r="F648" s="31"/>
      <c r="G648" s="24"/>
      <c r="H648" s="32"/>
      <c r="I648" s="24"/>
      <c r="J648" s="31"/>
      <c r="K648" s="24"/>
      <c r="L648" s="32"/>
      <c r="M648" s="24"/>
      <c r="N648" s="30"/>
      <c r="O648" s="30"/>
    </row>
    <row r="649" ht="14.25" customHeight="1">
      <c r="A649" s="28" t="s">
        <v>43</v>
      </c>
      <c r="B649" s="13"/>
      <c r="C649" s="34"/>
      <c r="D649" s="28"/>
      <c r="E649" s="34"/>
      <c r="F649" s="13"/>
      <c r="G649" s="34"/>
      <c r="H649" s="32" t="s">
        <v>140</v>
      </c>
      <c r="I649" s="24"/>
      <c r="J649" s="13"/>
      <c r="K649" s="24"/>
      <c r="L649" s="32" t="s">
        <v>140</v>
      </c>
      <c r="M649" s="26"/>
      <c r="N649" s="30"/>
      <c r="O649" s="30"/>
    </row>
    <row r="650" ht="14.25" customHeight="1">
      <c r="A650" s="28"/>
      <c r="B650" s="35" t="s">
        <v>25</v>
      </c>
      <c r="C650" s="55">
        <f>C644*B644 + B645*C645 + B646*C646 + B647*C647 + B649*C649</f>
        <v>0</v>
      </c>
      <c r="D650" s="35" t="s">
        <v>25</v>
      </c>
      <c r="E650" s="55">
        <f>E644*D644 + D645*E645 + D646*E646 + D647*E647 + D649*E649</f>
        <v>0</v>
      </c>
      <c r="F650" s="35" t="s">
        <v>25</v>
      </c>
      <c r="G650" s="55">
        <f>G644*F644 + F645*G645 + F646*G646 + F647*G647 + F649*G649</f>
        <v>0</v>
      </c>
      <c r="H650" s="35" t="s">
        <v>25</v>
      </c>
      <c r="I650" s="36" t="str">
        <f>I644*H644 + H645*I645 + H646*I646 + H647*I647 + H649*I649</f>
        <v>#VALUE!</v>
      </c>
      <c r="J650" s="35" t="s">
        <v>25</v>
      </c>
      <c r="K650" s="36">
        <f>K644*J644 + J645*K645 + J646*K646 + J647*K647 + J649*K649</f>
        <v>1575</v>
      </c>
      <c r="L650" s="35" t="s">
        <v>25</v>
      </c>
      <c r="M650" s="36" t="str">
        <f>M644*L644 + L645*M645 + L646*M646 + L647*M647 + L649*M649</f>
        <v>#VALUE!</v>
      </c>
      <c r="N650" s="30"/>
      <c r="O650" s="30"/>
    </row>
    <row r="651" ht="14.25" customHeight="1">
      <c r="A651" s="28" t="s">
        <v>116</v>
      </c>
      <c r="B651" s="39" t="s">
        <v>26</v>
      </c>
      <c r="C651" s="77" t="str">
        <f>(B644*C644 + B645*C645 + B646*C646 + B647*C647 + B649*C649)/SUM(C644:C649)</f>
        <v>#DIV/0!</v>
      </c>
      <c r="D651" s="39" t="s">
        <v>26</v>
      </c>
      <c r="E651" s="77" t="str">
        <f>(D644*E644 + D645*E645 + D646*E646 + D647*E647 + D649*E649)/SUM(E644:E649)</f>
        <v>#DIV/0!</v>
      </c>
      <c r="F651" s="39" t="s">
        <v>26</v>
      </c>
      <c r="G651" s="77" t="str">
        <f>(F644*G644 + F645*G645 + F646*G646 + F647*G647 + F649*G649)/SUM(G644:G649)</f>
        <v>#DIV/0!</v>
      </c>
      <c r="H651" s="39" t="s">
        <v>26</v>
      </c>
      <c r="I651" s="40" t="str">
        <f>(H644*I644 + H645*I645 + H646*I646 + H647*I647 + H649*I649)/SUM(I644:I649)</f>
        <v>#VALUE!</v>
      </c>
      <c r="J651" s="39" t="s">
        <v>26</v>
      </c>
      <c r="K651" s="40">
        <f>(J644*K644 + J645*K645 + J646*K646 + J647*K647 + J649*K649)/SUM(K644:K649)</f>
        <v>105</v>
      </c>
      <c r="L651" s="39" t="s">
        <v>26</v>
      </c>
      <c r="M651" s="40" t="str">
        <f>(L644*M644 + L645*M645 + L646*M646 + L647*M647 + L649*M649)/SUM(M644:M649)</f>
        <v>#VALUE!</v>
      </c>
      <c r="N651" s="30"/>
      <c r="O651" s="30"/>
    </row>
    <row r="652" ht="14.25" customHeight="1">
      <c r="A652" s="28" t="s">
        <v>117</v>
      </c>
      <c r="B652" s="70"/>
      <c r="C652" s="17"/>
      <c r="D652" s="45"/>
      <c r="E652" s="17"/>
      <c r="F652" s="70"/>
      <c r="G652" s="17"/>
      <c r="H652" s="113"/>
      <c r="I652" s="125"/>
      <c r="J652" s="70" t="s">
        <v>185</v>
      </c>
      <c r="K652" s="17"/>
      <c r="L652" s="113" t="s">
        <v>105</v>
      </c>
      <c r="M652" s="50" t="s">
        <v>49</v>
      </c>
      <c r="N652" s="30"/>
      <c r="O652" s="30"/>
    </row>
    <row r="653" ht="14.25" customHeight="1">
      <c r="A653" s="28" t="s">
        <v>120</v>
      </c>
      <c r="B653" s="28"/>
      <c r="C653" s="54"/>
      <c r="D653" s="110"/>
      <c r="E653" s="24"/>
      <c r="F653" s="28"/>
      <c r="G653" s="54"/>
      <c r="H653" s="21"/>
      <c r="I653" s="24"/>
      <c r="J653" s="28"/>
      <c r="K653" s="54">
        <v>8.0</v>
      </c>
      <c r="L653" s="21">
        <v>60.0</v>
      </c>
      <c r="M653" s="24"/>
      <c r="N653" s="30"/>
      <c r="O653" s="30"/>
    </row>
    <row r="654" ht="14.25" customHeight="1">
      <c r="A654" s="28"/>
      <c r="B654" s="27"/>
      <c r="C654" s="54"/>
      <c r="D654" s="46"/>
      <c r="E654" s="26"/>
      <c r="F654" s="27"/>
      <c r="G654" s="54"/>
      <c r="H654" s="21"/>
      <c r="I654" s="24"/>
      <c r="J654" s="27"/>
      <c r="K654" s="54">
        <v>8.0</v>
      </c>
      <c r="L654" s="21">
        <v>40.0</v>
      </c>
      <c r="M654" s="26" t="s">
        <v>221</v>
      </c>
      <c r="N654" s="30"/>
      <c r="O654" s="30"/>
    </row>
    <row r="655" ht="14.25" customHeight="1">
      <c r="A655" s="28"/>
      <c r="B655" s="27"/>
      <c r="C655" s="54"/>
      <c r="D655" s="46"/>
      <c r="E655" s="24"/>
      <c r="F655" s="27"/>
      <c r="G655" s="54"/>
      <c r="H655" s="21"/>
      <c r="I655" s="24"/>
      <c r="J655" s="27"/>
      <c r="K655" s="54">
        <v>8.0</v>
      </c>
      <c r="L655" s="21">
        <v>30.0</v>
      </c>
      <c r="M655" s="24"/>
      <c r="N655" s="30"/>
      <c r="O655" s="30"/>
    </row>
    <row r="656" ht="14.25" customHeight="1">
      <c r="A656" s="28"/>
      <c r="B656" s="28"/>
      <c r="C656" s="79"/>
      <c r="D656" s="46"/>
      <c r="E656" s="79"/>
      <c r="F656" s="28"/>
      <c r="G656" s="34"/>
      <c r="H656" s="21"/>
      <c r="I656" s="24"/>
      <c r="J656" s="28"/>
      <c r="K656" s="54"/>
      <c r="L656" s="21">
        <v>30.0</v>
      </c>
      <c r="M656" s="24"/>
      <c r="N656" s="30"/>
      <c r="O656" s="30"/>
    </row>
    <row r="657" ht="14.25" customHeight="1">
      <c r="A657" s="28"/>
      <c r="B657" s="13"/>
      <c r="C657" s="34"/>
      <c r="D657" s="21"/>
      <c r="E657" s="34"/>
      <c r="F657" s="13"/>
      <c r="G657" s="34"/>
      <c r="H657" s="28"/>
      <c r="I657" s="34"/>
      <c r="J657" s="13"/>
      <c r="K657" s="24"/>
      <c r="L657" s="31"/>
      <c r="M657" s="24"/>
      <c r="N657" s="30"/>
      <c r="O657" s="30"/>
    </row>
    <row r="658" ht="14.25" customHeight="1">
      <c r="A658" s="28"/>
      <c r="B658" s="35" t="s">
        <v>25</v>
      </c>
      <c r="C658" s="55">
        <f>C653*B653 + B654*C654 + B655*C655 + B656*C656 + B657*C657</f>
        <v>0</v>
      </c>
      <c r="D658" s="35" t="s">
        <v>25</v>
      </c>
      <c r="E658" s="55">
        <f>E653*D653 + D654*E654 + D655*E655 + D656*E656 + D657*E657</f>
        <v>0</v>
      </c>
      <c r="F658" s="35" t="s">
        <v>25</v>
      </c>
      <c r="G658" s="55">
        <f>G653*F653 + F654*G654 + F655*G655 + F656*G656 + F657*G657</f>
        <v>0</v>
      </c>
      <c r="H658" s="35" t="s">
        <v>25</v>
      </c>
      <c r="I658" s="56">
        <f>I653*H653 + H654*I654 + H655*I655 + H656*I656 + H657*I657</f>
        <v>0</v>
      </c>
      <c r="J658" s="35" t="s">
        <v>25</v>
      </c>
      <c r="K658" s="36">
        <f>K653*J653 + J654*K654 + J655*K655 + J656*K656 + J657*K657</f>
        <v>0</v>
      </c>
      <c r="L658" s="57" t="s">
        <v>25</v>
      </c>
      <c r="M658" s="58" t="str">
        <f>M653*L653 + L654*M654 + L655*M655 + L656*M656 + L657*M657</f>
        <v>#VALUE!</v>
      </c>
      <c r="N658" s="30"/>
      <c r="O658" s="30"/>
    </row>
    <row r="659" ht="14.25" customHeight="1">
      <c r="A659" s="28"/>
      <c r="B659" s="39" t="s">
        <v>26</v>
      </c>
      <c r="C659" s="40" t="str">
        <f>(B653*C653 + B654*C654 + B655*C655 + B656*C656 + B657*C657)/SUM(C653:C657)</f>
        <v>#DIV/0!</v>
      </c>
      <c r="D659" s="59" t="s">
        <v>26</v>
      </c>
      <c r="E659" s="40" t="str">
        <f>(D653*E653 + D654*E654 + D655*E655 + D656*E656 + D657*E657)/SUM(E653:E657)</f>
        <v>#DIV/0!</v>
      </c>
      <c r="F659" s="31" t="s">
        <v>26</v>
      </c>
      <c r="G659" s="75" t="str">
        <f>(F653*G653 + F654*G654 + F655*G655 + F656*G656 + F657*G657)/SUM(G653:G657)</f>
        <v>#DIV/0!</v>
      </c>
      <c r="H659" s="59" t="s">
        <v>26</v>
      </c>
      <c r="I659" s="40" t="str">
        <f>(H653*I653 + H654*I654 + H655*I655 + H656*I656 + H657*I657)/SUM(I653:I657)</f>
        <v>#DIV/0!</v>
      </c>
      <c r="J659" s="39" t="s">
        <v>26</v>
      </c>
      <c r="K659" s="40">
        <f>(J653*K653 + J654*K654 + J655*K655 + J656*K656 + J657*K657)/SUM(K653:K657)</f>
        <v>0</v>
      </c>
      <c r="L659" s="59" t="s">
        <v>26</v>
      </c>
      <c r="M659" s="40" t="str">
        <f>(L653*M653 + L654*M654 + L655*M655 + L656*M656 + L657*M657)/SUM(M653:M657)</f>
        <v>#VALUE!</v>
      </c>
      <c r="N659" s="30"/>
      <c r="O659" s="30"/>
    </row>
    <row r="660" ht="14.25" customHeight="1">
      <c r="A660" s="28"/>
      <c r="B660" s="28" t="s">
        <v>91</v>
      </c>
      <c r="C660" s="30" t="s">
        <v>49</v>
      </c>
      <c r="D660" s="28" t="s">
        <v>50</v>
      </c>
      <c r="E660" s="30" t="s">
        <v>49</v>
      </c>
      <c r="F660" s="120" t="s">
        <v>91</v>
      </c>
      <c r="G660" s="121" t="s">
        <v>49</v>
      </c>
      <c r="H660" s="122" t="s">
        <v>33</v>
      </c>
      <c r="I660" s="30"/>
      <c r="J660" s="28" t="s">
        <v>91</v>
      </c>
      <c r="K660" s="60" t="s">
        <v>49</v>
      </c>
      <c r="L660" s="30"/>
      <c r="M660" s="60" t="s">
        <v>49</v>
      </c>
      <c r="N660" s="30"/>
      <c r="O660" s="30"/>
    </row>
    <row r="661" ht="14.25" customHeight="1">
      <c r="A661" s="28"/>
      <c r="B661" s="27"/>
      <c r="C661" s="60"/>
      <c r="D661" s="27"/>
      <c r="E661" s="60"/>
      <c r="F661" s="27"/>
      <c r="G661" s="61"/>
      <c r="H661" s="30"/>
      <c r="I661" s="60"/>
      <c r="J661" s="27">
        <v>20.0</v>
      </c>
      <c r="K661" s="60"/>
      <c r="L661" s="62"/>
      <c r="M661" s="60"/>
      <c r="N661" s="30"/>
      <c r="O661" s="30"/>
    </row>
    <row r="662" ht="14.25" customHeight="1">
      <c r="A662" s="28" t="s">
        <v>195</v>
      </c>
      <c r="B662" s="27"/>
      <c r="C662" s="60"/>
      <c r="D662" s="27"/>
      <c r="E662" s="60"/>
      <c r="F662" s="69"/>
      <c r="G662" s="60"/>
      <c r="H662" s="30"/>
      <c r="I662" s="60"/>
      <c r="J662" s="69">
        <v>40.0</v>
      </c>
      <c r="K662" s="60"/>
      <c r="L662" s="30"/>
      <c r="M662" s="60"/>
      <c r="N662" s="30"/>
      <c r="O662" s="30"/>
    </row>
    <row r="663" ht="14.25" customHeight="1">
      <c r="A663" s="37"/>
      <c r="B663" s="28"/>
      <c r="C663" s="60"/>
      <c r="D663" s="28"/>
      <c r="E663" s="60"/>
      <c r="F663" s="1"/>
      <c r="G663" s="60"/>
      <c r="H663" s="30"/>
      <c r="I663" s="60"/>
      <c r="J663" s="1">
        <v>30.0</v>
      </c>
      <c r="K663" s="60"/>
      <c r="L663" s="30"/>
      <c r="M663" s="60"/>
      <c r="N663" s="30"/>
      <c r="O663" s="30"/>
    </row>
    <row r="664" ht="14.25" customHeight="1">
      <c r="A664" s="37"/>
      <c r="B664" s="28"/>
      <c r="C664" s="1"/>
      <c r="D664" s="28"/>
      <c r="E664" s="1"/>
      <c r="F664" s="28"/>
      <c r="G664" s="60"/>
      <c r="H664" s="30"/>
      <c r="I664" s="30"/>
      <c r="J664" s="28">
        <v>50.0</v>
      </c>
      <c r="K664" s="60"/>
      <c r="L664" s="30"/>
      <c r="M664" s="60"/>
      <c r="N664" s="30"/>
      <c r="O664" s="30"/>
    </row>
    <row r="665" ht="14.25" customHeight="1">
      <c r="A665" s="37"/>
      <c r="B665" s="28"/>
      <c r="C665" s="1"/>
      <c r="D665" s="28"/>
      <c r="E665" s="1"/>
      <c r="F665" s="28"/>
      <c r="G665" s="60"/>
      <c r="H665" s="30"/>
      <c r="I665" s="30"/>
      <c r="J665" s="28">
        <v>30.0</v>
      </c>
      <c r="K665" s="60"/>
      <c r="L665" s="30"/>
      <c r="M665" s="60"/>
      <c r="N665" s="30"/>
      <c r="O665" s="30"/>
    </row>
    <row r="666" ht="14.25" customHeight="1">
      <c r="A666" s="37"/>
      <c r="B666" s="28"/>
      <c r="C666" s="1"/>
      <c r="D666" s="28"/>
      <c r="E666" s="1"/>
      <c r="F666" s="28"/>
      <c r="G666" s="60"/>
      <c r="H666" s="30"/>
      <c r="I666" s="30"/>
      <c r="J666" s="37"/>
      <c r="K666" s="60"/>
      <c r="L666" s="30"/>
      <c r="M666" s="60"/>
      <c r="N666" s="30"/>
      <c r="O666" s="30"/>
    </row>
    <row r="667" ht="14.25" customHeight="1">
      <c r="A667" s="64"/>
      <c r="B667" s="65"/>
      <c r="C667" s="66"/>
      <c r="D667" s="65"/>
      <c r="E667" s="66"/>
      <c r="F667" s="64"/>
      <c r="G667" s="67"/>
      <c r="H667" s="66"/>
      <c r="I667" s="66"/>
      <c r="J667" s="64"/>
      <c r="K667" s="67"/>
      <c r="L667" s="66"/>
      <c r="M667" s="67"/>
      <c r="N667" s="30"/>
      <c r="O667" s="30"/>
    </row>
    <row r="668" ht="14.25" customHeight="1">
      <c r="A668" s="30"/>
      <c r="B668" s="30"/>
      <c r="C668" s="30"/>
      <c r="D668" s="23"/>
      <c r="E668" s="30"/>
      <c r="F668" s="30"/>
      <c r="G668" s="30"/>
      <c r="H668" s="23"/>
      <c r="I668" s="30"/>
      <c r="J668" s="30"/>
      <c r="K668" s="30"/>
      <c r="L668" s="30"/>
      <c r="M668" s="30"/>
      <c r="N668" s="30"/>
      <c r="O668" s="30"/>
    </row>
    <row r="669" ht="14.25" customHeight="1">
      <c r="A669" s="2" t="s">
        <v>2</v>
      </c>
      <c r="B669" s="3" t="s">
        <v>3</v>
      </c>
      <c r="C669" s="4">
        <f>M632+2</f>
        <v>45481</v>
      </c>
      <c r="D669" s="5" t="s">
        <v>4</v>
      </c>
      <c r="E669" s="6">
        <f>C669+1</f>
        <v>45482</v>
      </c>
      <c r="F669" s="3" t="s">
        <v>5</v>
      </c>
      <c r="G669" s="6">
        <f>E669+1</f>
        <v>45483</v>
      </c>
      <c r="H669" s="3" t="s">
        <v>6</v>
      </c>
      <c r="I669" s="6">
        <f>G669+1</f>
        <v>45484</v>
      </c>
      <c r="J669" s="3" t="s">
        <v>7</v>
      </c>
      <c r="K669" s="6">
        <f>I669+1</f>
        <v>45485</v>
      </c>
      <c r="L669" s="7" t="s">
        <v>8</v>
      </c>
      <c r="M669" s="8">
        <f>K669+1</f>
        <v>45486</v>
      </c>
      <c r="N669" s="30"/>
      <c r="O669" s="30"/>
    </row>
    <row r="670" ht="14.25" customHeight="1">
      <c r="A670" s="10">
        <f>A633+1</f>
        <v>19</v>
      </c>
      <c r="B670" s="11" t="s">
        <v>10</v>
      </c>
      <c r="C670" s="12" t="s">
        <v>11</v>
      </c>
      <c r="D670" s="11" t="s">
        <v>10</v>
      </c>
      <c r="E670" s="12" t="s">
        <v>11</v>
      </c>
      <c r="F670" s="11" t="s">
        <v>10</v>
      </c>
      <c r="G670" s="12" t="s">
        <v>11</v>
      </c>
      <c r="H670" s="11" t="s">
        <v>10</v>
      </c>
      <c r="I670" s="12" t="s">
        <v>11</v>
      </c>
      <c r="J670" s="11" t="s">
        <v>10</v>
      </c>
      <c r="K670" s="12" t="s">
        <v>11</v>
      </c>
      <c r="L670" s="11" t="s">
        <v>10</v>
      </c>
      <c r="M670" s="12" t="s">
        <v>11</v>
      </c>
      <c r="N670" s="30"/>
      <c r="O670" s="30"/>
    </row>
    <row r="671" ht="14.25" customHeight="1">
      <c r="A671" s="13" t="s">
        <v>12</v>
      </c>
      <c r="B671" s="20" t="s">
        <v>145</v>
      </c>
      <c r="C671" s="17"/>
      <c r="D671" s="18" t="s">
        <v>14</v>
      </c>
      <c r="E671" s="17"/>
      <c r="F671" s="20" t="s">
        <v>146</v>
      </c>
      <c r="G671" s="76"/>
      <c r="H671" s="42" t="s">
        <v>15</v>
      </c>
      <c r="I671" s="17"/>
      <c r="J671" s="20" t="s">
        <v>202</v>
      </c>
      <c r="K671" s="17"/>
      <c r="L671" s="72" t="s">
        <v>14</v>
      </c>
      <c r="M671" s="17"/>
      <c r="N671" s="30"/>
      <c r="O671" s="30"/>
    </row>
    <row r="672" ht="14.25" customHeight="1">
      <c r="A672" s="13"/>
      <c r="B672" s="46">
        <v>85.0</v>
      </c>
      <c r="C672" s="48">
        <v>4.0</v>
      </c>
      <c r="D672" s="1" t="s">
        <v>147</v>
      </c>
      <c r="E672" s="54" t="s">
        <v>81</v>
      </c>
      <c r="F672" s="46">
        <v>115.0</v>
      </c>
      <c r="G672" s="48">
        <v>4.0</v>
      </c>
      <c r="H672" s="27" t="s">
        <v>130</v>
      </c>
      <c r="I672" s="26"/>
      <c r="J672" s="46">
        <v>100.0</v>
      </c>
      <c r="K672" s="48">
        <v>4.0</v>
      </c>
      <c r="L672" s="27" t="s">
        <v>209</v>
      </c>
      <c r="M672" s="24"/>
      <c r="N672" s="30"/>
      <c r="O672" s="30"/>
    </row>
    <row r="673" ht="14.25" customHeight="1">
      <c r="A673" s="28" t="s">
        <v>20</v>
      </c>
      <c r="B673" s="46">
        <v>87.5</v>
      </c>
      <c r="C673" s="48">
        <v>4.0</v>
      </c>
      <c r="D673" s="1" t="s">
        <v>148</v>
      </c>
      <c r="E673" s="26"/>
      <c r="F673" s="46">
        <v>120.0</v>
      </c>
      <c r="G673" s="48">
        <v>4.0</v>
      </c>
      <c r="H673" s="28" t="s">
        <v>210</v>
      </c>
      <c r="I673" s="54" t="s">
        <v>81</v>
      </c>
      <c r="J673" s="46">
        <v>105.0</v>
      </c>
      <c r="K673" s="48">
        <v>4.0</v>
      </c>
      <c r="L673" s="32" t="s">
        <v>82</v>
      </c>
      <c r="M673" s="24"/>
      <c r="N673" s="30"/>
      <c r="O673" s="30"/>
    </row>
    <row r="674" ht="14.25" customHeight="1">
      <c r="A674" s="29" t="s">
        <v>22</v>
      </c>
      <c r="B674" s="46">
        <v>90.0</v>
      </c>
      <c r="C674" s="48">
        <v>4.0</v>
      </c>
      <c r="D674" s="1"/>
      <c r="E674" s="26"/>
      <c r="F674" s="46">
        <v>125.0</v>
      </c>
      <c r="G674" s="48">
        <v>4.0</v>
      </c>
      <c r="H674" s="28" t="s">
        <v>211</v>
      </c>
      <c r="I674" s="26"/>
      <c r="J674" s="46">
        <v>110.0</v>
      </c>
      <c r="K674" s="48">
        <v>4.0</v>
      </c>
      <c r="L674" s="23"/>
      <c r="M674" s="24"/>
      <c r="N674" s="30"/>
      <c r="O674" s="30"/>
    </row>
    <row r="675" ht="14.25" customHeight="1">
      <c r="A675" s="28" t="s">
        <v>23</v>
      </c>
      <c r="B675" s="46"/>
      <c r="C675" s="48"/>
      <c r="D675" s="1" t="s">
        <v>149</v>
      </c>
      <c r="E675" s="26"/>
      <c r="F675" s="46"/>
      <c r="G675" s="48"/>
      <c r="H675" s="1" t="s">
        <v>199</v>
      </c>
      <c r="I675" s="24"/>
      <c r="J675" s="46"/>
      <c r="K675" s="22"/>
      <c r="L675" s="23"/>
      <c r="M675" s="26"/>
      <c r="N675" s="30"/>
      <c r="O675" s="30"/>
    </row>
    <row r="676" ht="14.25" customHeight="1">
      <c r="A676" s="13"/>
      <c r="B676" s="13"/>
      <c r="C676" s="24"/>
      <c r="D676" s="33" t="s">
        <v>152</v>
      </c>
      <c r="E676" s="26"/>
      <c r="F676" s="13"/>
      <c r="G676" s="34"/>
      <c r="H676" s="13"/>
      <c r="I676" s="34"/>
      <c r="J676" s="13"/>
      <c r="K676" s="24"/>
      <c r="L676" s="13"/>
      <c r="M676" s="24"/>
      <c r="N676" s="30"/>
      <c r="O676" s="30"/>
    </row>
    <row r="677" ht="14.25" customHeight="1">
      <c r="A677" s="28" t="s">
        <v>24</v>
      </c>
      <c r="B677" s="35" t="s">
        <v>25</v>
      </c>
      <c r="C677" s="58">
        <f>C672*B672 + B673*C673 + B674*C674 + B675*C675 + B676*C676</f>
        <v>1050</v>
      </c>
      <c r="D677" s="57" t="s">
        <v>25</v>
      </c>
      <c r="E677" s="55" t="str">
        <f>E672*D672 + D673*#REF! + E673*E674 + D675*E675 + D676*E676</f>
        <v>#VALUE!</v>
      </c>
      <c r="F677" s="35" t="s">
        <v>25</v>
      </c>
      <c r="G677" s="56">
        <f>G672*F672 + F673*G673 + F674*G674 + F675*G675 + F676*G676</f>
        <v>1440</v>
      </c>
      <c r="H677" s="35" t="s">
        <v>25</v>
      </c>
      <c r="I677" s="56" t="str">
        <f>I672*H672 + H673*I673 + H674*I674 + H675*I675 + H676*I676</f>
        <v>#VALUE!</v>
      </c>
      <c r="J677" s="35" t="s">
        <v>25</v>
      </c>
      <c r="K677" s="58">
        <f>K672*J672 + J673*K673 + J674*K674 + J675*K675 + J676*K676</f>
        <v>1260</v>
      </c>
      <c r="L677" s="35" t="s">
        <v>25</v>
      </c>
      <c r="M677" s="36" t="str">
        <f>M672*L672 + L673*M673 + L674*M674 + L675*M675 + L676*M676</f>
        <v>#VALUE!</v>
      </c>
      <c r="N677" s="30"/>
      <c r="O677" s="30"/>
    </row>
    <row r="678" ht="14.25" customHeight="1">
      <c r="A678" s="37"/>
      <c r="B678" s="39" t="s">
        <v>26</v>
      </c>
      <c r="C678" s="116">
        <f>(B672*C672 + B673*C673 + B674*C674 + B675*C675 + B676*C676)/SUM(C672:C676)</f>
        <v>87.5</v>
      </c>
      <c r="D678" s="31" t="s">
        <v>26</v>
      </c>
      <c r="E678" s="74" t="str">
        <f>(D672*E672 + D673*#REF! + E673*E674 + D675*E675 + D676*E676)/SUM(E672:E676)</f>
        <v>#VALUE!</v>
      </c>
      <c r="F678" s="13" t="s">
        <v>26</v>
      </c>
      <c r="G678" s="117">
        <f>(F672*G672 + F673*G673 + F674*G674 + F675*G675 + F676*G676)/SUM(G672:G676)</f>
        <v>120</v>
      </c>
      <c r="H678" s="13" t="s">
        <v>26</v>
      </c>
      <c r="I678" s="74" t="str">
        <f>(H672*I672 + H673*I673 + H674*I674 + H675*I675 + H676*I676)/SUM(I672:I676)</f>
        <v>#VALUE!</v>
      </c>
      <c r="J678" s="39" t="s">
        <v>26</v>
      </c>
      <c r="K678" s="116">
        <f>(J672*K672 + J673*K673 + J674*K674 + J675*K675 + J676*K676)/SUM(K672:K676)</f>
        <v>105</v>
      </c>
      <c r="L678" s="13" t="s">
        <v>26</v>
      </c>
      <c r="M678" s="75" t="str">
        <f>(L672*M672 + L673*M673 + L674*M674 + L675*M675 + L676*M676)/SUM(M672:M676)</f>
        <v>#VALUE!</v>
      </c>
      <c r="N678" s="30"/>
      <c r="O678" s="30"/>
    </row>
    <row r="679" ht="14.25" customHeight="1">
      <c r="A679" s="28" t="s">
        <v>27</v>
      </c>
      <c r="B679" s="11" t="s">
        <v>10</v>
      </c>
      <c r="C679" s="12" t="s">
        <v>11</v>
      </c>
      <c r="D679" s="11" t="s">
        <v>10</v>
      </c>
      <c r="E679" s="12" t="s">
        <v>11</v>
      </c>
      <c r="F679" s="11" t="s">
        <v>10</v>
      </c>
      <c r="G679" s="12" t="s">
        <v>11</v>
      </c>
      <c r="H679" s="11" t="s">
        <v>10</v>
      </c>
      <c r="I679" s="12" t="s">
        <v>11</v>
      </c>
      <c r="J679" s="11" t="s">
        <v>10</v>
      </c>
      <c r="K679" s="12" t="s">
        <v>11</v>
      </c>
      <c r="L679" s="11" t="s">
        <v>10</v>
      </c>
      <c r="M679" s="12" t="s">
        <v>11</v>
      </c>
      <c r="N679" s="30"/>
      <c r="O679" s="30"/>
    </row>
    <row r="680" ht="14.25" customHeight="1">
      <c r="A680" s="41" t="s">
        <v>28</v>
      </c>
      <c r="B680" s="20" t="s">
        <v>201</v>
      </c>
      <c r="C680" s="17"/>
      <c r="D680" s="45" t="s">
        <v>91</v>
      </c>
      <c r="E680" s="76" t="s">
        <v>49</v>
      </c>
      <c r="F680" s="68" t="s">
        <v>134</v>
      </c>
      <c r="G680" s="17"/>
      <c r="H680" s="42" t="s">
        <v>91</v>
      </c>
      <c r="I680" s="44" t="s">
        <v>49</v>
      </c>
      <c r="J680" s="68" t="s">
        <v>212</v>
      </c>
      <c r="K680" s="17"/>
      <c r="L680" s="42" t="s">
        <v>91</v>
      </c>
      <c r="M680" s="44" t="s">
        <v>90</v>
      </c>
      <c r="N680" s="30"/>
      <c r="O680" s="30"/>
    </row>
    <row r="681" ht="14.25" customHeight="1">
      <c r="A681" s="28"/>
      <c r="B681" s="46">
        <v>150.0</v>
      </c>
      <c r="C681" s="48">
        <v>5.0</v>
      </c>
      <c r="D681" s="1"/>
      <c r="E681" s="54"/>
      <c r="F681" s="46">
        <v>130.0</v>
      </c>
      <c r="G681" s="48">
        <v>5.0</v>
      </c>
      <c r="H681" s="21">
        <v>60.0</v>
      </c>
      <c r="I681" s="24"/>
      <c r="J681" s="46">
        <v>100.0</v>
      </c>
      <c r="K681" s="48">
        <v>5.0</v>
      </c>
      <c r="L681" s="21">
        <v>40.0</v>
      </c>
      <c r="M681" s="26" t="s">
        <v>219</v>
      </c>
      <c r="N681" s="30"/>
      <c r="O681" s="30"/>
    </row>
    <row r="682" ht="14.25" customHeight="1">
      <c r="A682" s="28" t="s">
        <v>37</v>
      </c>
      <c r="B682" s="46">
        <v>160.0</v>
      </c>
      <c r="C682" s="48">
        <v>5.0</v>
      </c>
      <c r="D682" s="1"/>
      <c r="E682" s="54"/>
      <c r="F682" s="46">
        <v>140.0</v>
      </c>
      <c r="G682" s="48">
        <v>5.0</v>
      </c>
      <c r="H682" s="21">
        <v>30.0</v>
      </c>
      <c r="I682" s="24" t="s">
        <v>161</v>
      </c>
      <c r="J682" s="46">
        <v>105.0</v>
      </c>
      <c r="K682" s="48">
        <v>5.0</v>
      </c>
      <c r="L682" s="21">
        <v>30.0</v>
      </c>
      <c r="M682" s="26"/>
      <c r="N682" s="30"/>
      <c r="O682" s="30"/>
    </row>
    <row r="683" ht="14.25" customHeight="1">
      <c r="A683" s="28" t="s">
        <v>39</v>
      </c>
      <c r="B683" s="46">
        <v>165.0</v>
      </c>
      <c r="C683" s="48">
        <v>5.0</v>
      </c>
      <c r="D683" s="1"/>
      <c r="E683" s="54"/>
      <c r="F683" s="46">
        <v>145.0</v>
      </c>
      <c r="G683" s="48">
        <v>5.0</v>
      </c>
      <c r="H683" s="46">
        <v>60.0</v>
      </c>
      <c r="I683" s="24"/>
      <c r="J683" s="46">
        <v>110.0</v>
      </c>
      <c r="K683" s="48">
        <v>5.0</v>
      </c>
      <c r="L683" s="21">
        <v>60.0</v>
      </c>
      <c r="M683" s="26"/>
      <c r="N683" s="30"/>
      <c r="O683" s="30"/>
    </row>
    <row r="684" ht="14.25" customHeight="1">
      <c r="A684" s="28"/>
      <c r="B684" s="46">
        <v>170.0</v>
      </c>
      <c r="C684" s="48">
        <v>5.0</v>
      </c>
      <c r="D684" s="1"/>
      <c r="E684" s="54"/>
      <c r="F684" s="46"/>
      <c r="G684" s="48"/>
      <c r="H684" s="21">
        <v>30.0</v>
      </c>
      <c r="I684" s="24" t="s">
        <v>162</v>
      </c>
      <c r="J684" s="46"/>
      <c r="K684" s="48"/>
      <c r="L684" s="21">
        <v>30.0</v>
      </c>
      <c r="M684" s="26" t="s">
        <v>220</v>
      </c>
      <c r="N684" s="30"/>
      <c r="O684" s="30"/>
    </row>
    <row r="685" ht="14.25" customHeight="1">
      <c r="A685" s="28" t="s">
        <v>41</v>
      </c>
      <c r="B685" s="13"/>
      <c r="C685" s="24"/>
      <c r="D685" s="1"/>
      <c r="E685" s="24"/>
      <c r="F685" s="31"/>
      <c r="G685" s="24"/>
      <c r="H685" s="32"/>
      <c r="I685" s="24"/>
      <c r="J685" s="31"/>
      <c r="K685" s="24"/>
      <c r="L685" s="32"/>
      <c r="M685" s="24"/>
      <c r="N685" s="30"/>
      <c r="O685" s="30"/>
    </row>
    <row r="686" ht="14.25" customHeight="1">
      <c r="A686" s="28" t="s">
        <v>43</v>
      </c>
      <c r="B686" s="13"/>
      <c r="C686" s="34"/>
      <c r="D686" s="28"/>
      <c r="E686" s="34"/>
      <c r="F686" s="13"/>
      <c r="G686" s="34"/>
      <c r="H686" s="32" t="s">
        <v>140</v>
      </c>
      <c r="I686" s="24"/>
      <c r="J686" s="13"/>
      <c r="K686" s="24"/>
      <c r="L686" s="32" t="s">
        <v>140</v>
      </c>
      <c r="M686" s="26"/>
      <c r="N686" s="30"/>
      <c r="O686" s="30"/>
    </row>
    <row r="687" ht="14.25" customHeight="1">
      <c r="A687" s="28"/>
      <c r="B687" s="35" t="s">
        <v>25</v>
      </c>
      <c r="C687" s="55">
        <f>C681*B681 + B682*C682 + B683*C683 + B684*C684 + B686*C686</f>
        <v>3225</v>
      </c>
      <c r="D687" s="35" t="s">
        <v>25</v>
      </c>
      <c r="E687" s="55">
        <f>E681*D681 + D682*E682 + D683*E683 + D684*E684 + D686*E686</f>
        <v>0</v>
      </c>
      <c r="F687" s="35" t="s">
        <v>25</v>
      </c>
      <c r="G687" s="55">
        <f>G681*F681 + F682*G682 + F683*G683 + F684*G684 + F686*G686</f>
        <v>2075</v>
      </c>
      <c r="H687" s="35" t="s">
        <v>25</v>
      </c>
      <c r="I687" s="36" t="str">
        <f>I681*H681 + H682*I682 + H683*I683 + H684*I684 + H686*I686</f>
        <v>#VALUE!</v>
      </c>
      <c r="J687" s="35" t="s">
        <v>25</v>
      </c>
      <c r="K687" s="36">
        <f>K681*J681 + J682*K682 + J683*K683 + J684*K684 + J686*K686</f>
        <v>1575</v>
      </c>
      <c r="L687" s="35" t="s">
        <v>25</v>
      </c>
      <c r="M687" s="36" t="str">
        <f>M681*L681 + L682*M682 + L683*M683 + L684*M684 + L686*M686</f>
        <v>#VALUE!</v>
      </c>
      <c r="N687" s="30"/>
      <c r="O687" s="30"/>
    </row>
    <row r="688" ht="14.25" customHeight="1">
      <c r="A688" s="28" t="s">
        <v>116</v>
      </c>
      <c r="B688" s="39" t="s">
        <v>26</v>
      </c>
      <c r="C688" s="77">
        <f>(B681*C681 + B682*C682 + B683*C683 + B684*C684 + B686*C686)/SUM(C681:C686)</f>
        <v>161.25</v>
      </c>
      <c r="D688" s="39" t="s">
        <v>26</v>
      </c>
      <c r="E688" s="77" t="str">
        <f>(D681*E681 + D682*E682 + D683*E683 + D684*E684 + D686*E686)/SUM(E681:E686)</f>
        <v>#DIV/0!</v>
      </c>
      <c r="F688" s="39" t="s">
        <v>26</v>
      </c>
      <c r="G688" s="77">
        <f>(F681*G681 + F682*G682 + F683*G683 + F684*G684 + F686*G686)/SUM(G681:G686)</f>
        <v>138.3333333</v>
      </c>
      <c r="H688" s="39" t="s">
        <v>26</v>
      </c>
      <c r="I688" s="40" t="str">
        <f>(H681*I681 + H682*I682 + H683*I683 + H684*I684 + H686*I686)/SUM(I681:I686)</f>
        <v>#VALUE!</v>
      </c>
      <c r="J688" s="39" t="s">
        <v>26</v>
      </c>
      <c r="K688" s="40">
        <f>(J681*K681 + J682*K682 + J683*K683 + J684*K684 + J686*K686)/SUM(K681:K686)</f>
        <v>105</v>
      </c>
      <c r="L688" s="39" t="s">
        <v>26</v>
      </c>
      <c r="M688" s="40" t="str">
        <f>(L681*M681 + L682*M682 + L683*M683 + L684*M684 + L686*M686)/SUM(M681:M686)</f>
        <v>#VALUE!</v>
      </c>
      <c r="N688" s="30"/>
      <c r="O688" s="30"/>
    </row>
    <row r="689" ht="14.25" customHeight="1">
      <c r="A689" s="28" t="s">
        <v>117</v>
      </c>
      <c r="B689" s="70" t="s">
        <v>71</v>
      </c>
      <c r="C689" s="17"/>
      <c r="D689" s="45"/>
      <c r="E689" s="17"/>
      <c r="F689" s="70" t="s">
        <v>213</v>
      </c>
      <c r="G689" s="17"/>
      <c r="H689" s="113"/>
      <c r="I689" s="125"/>
      <c r="J689" s="70" t="s">
        <v>185</v>
      </c>
      <c r="K689" s="17"/>
      <c r="L689" s="113" t="s">
        <v>105</v>
      </c>
      <c r="M689" s="50" t="s">
        <v>49</v>
      </c>
      <c r="N689" s="30"/>
      <c r="O689" s="30"/>
    </row>
    <row r="690" ht="14.25" customHeight="1">
      <c r="A690" s="28" t="s">
        <v>120</v>
      </c>
      <c r="B690" s="28">
        <v>90.0</v>
      </c>
      <c r="C690" s="54">
        <v>8.0</v>
      </c>
      <c r="D690" s="110"/>
      <c r="E690" s="24"/>
      <c r="F690" s="28" t="s">
        <v>214</v>
      </c>
      <c r="G690" s="54">
        <v>8.0</v>
      </c>
      <c r="H690" s="21">
        <v>60.0</v>
      </c>
      <c r="I690" s="24"/>
      <c r="J690" s="28"/>
      <c r="K690" s="54">
        <v>8.0</v>
      </c>
      <c r="L690" s="21">
        <v>60.0</v>
      </c>
      <c r="M690" s="24"/>
      <c r="N690" s="30"/>
      <c r="O690" s="30"/>
    </row>
    <row r="691" ht="14.25" customHeight="1">
      <c r="A691" s="28"/>
      <c r="B691" s="27">
        <v>92.5</v>
      </c>
      <c r="C691" s="54">
        <v>8.0</v>
      </c>
      <c r="D691" s="46"/>
      <c r="E691" s="26"/>
      <c r="F691" s="27" t="s">
        <v>214</v>
      </c>
      <c r="G691" s="54">
        <v>8.0</v>
      </c>
      <c r="H691" s="21">
        <v>30.0</v>
      </c>
      <c r="I691" s="24" t="s">
        <v>163</v>
      </c>
      <c r="J691" s="27"/>
      <c r="K691" s="54">
        <v>8.0</v>
      </c>
      <c r="L691" s="21">
        <v>40.0</v>
      </c>
      <c r="M691" s="26" t="s">
        <v>221</v>
      </c>
      <c r="N691" s="30"/>
      <c r="O691" s="30"/>
    </row>
    <row r="692" ht="14.25" customHeight="1">
      <c r="A692" s="28"/>
      <c r="B692" s="27">
        <v>95.0</v>
      </c>
      <c r="C692" s="54">
        <v>8.0</v>
      </c>
      <c r="D692" s="46"/>
      <c r="E692" s="24"/>
      <c r="F692" s="27" t="s">
        <v>215</v>
      </c>
      <c r="G692" s="54">
        <v>8.0</v>
      </c>
      <c r="H692" s="21">
        <v>80.0</v>
      </c>
      <c r="I692" s="24"/>
      <c r="J692" s="27"/>
      <c r="K692" s="54">
        <v>8.0</v>
      </c>
      <c r="L692" s="21">
        <v>30.0</v>
      </c>
      <c r="M692" s="24"/>
      <c r="N692" s="30"/>
      <c r="O692" s="30"/>
    </row>
    <row r="693" ht="14.25" customHeight="1">
      <c r="A693" s="28"/>
      <c r="B693" s="28"/>
      <c r="C693" s="79"/>
      <c r="D693" s="46"/>
      <c r="E693" s="79"/>
      <c r="F693" s="28"/>
      <c r="G693" s="34"/>
      <c r="H693" s="21">
        <v>30.0</v>
      </c>
      <c r="I693" s="24" t="s">
        <v>161</v>
      </c>
      <c r="J693" s="28"/>
      <c r="K693" s="54"/>
      <c r="L693" s="21">
        <v>30.0</v>
      </c>
      <c r="M693" s="24"/>
      <c r="N693" s="30"/>
      <c r="O693" s="30"/>
    </row>
    <row r="694" ht="14.25" customHeight="1">
      <c r="A694" s="28"/>
      <c r="B694" s="13"/>
      <c r="C694" s="34"/>
      <c r="D694" s="21"/>
      <c r="E694" s="34"/>
      <c r="F694" s="13"/>
      <c r="G694" s="34"/>
      <c r="H694" s="28"/>
      <c r="I694" s="34"/>
      <c r="J694" s="13"/>
      <c r="K694" s="24"/>
      <c r="L694" s="31"/>
      <c r="M694" s="24"/>
      <c r="N694" s="30"/>
      <c r="O694" s="30"/>
    </row>
    <row r="695" ht="14.25" customHeight="1">
      <c r="A695" s="28"/>
      <c r="B695" s="35" t="s">
        <v>25</v>
      </c>
      <c r="C695" s="55">
        <f>C690*B690 + B691*C691 + B692*C692 + B693*C693 + B694*C694</f>
        <v>2220</v>
      </c>
      <c r="D695" s="35" t="s">
        <v>25</v>
      </c>
      <c r="E695" s="55">
        <f>E690*D690 + D691*E691 + D692*E692 + D693*E693 + D694*E694</f>
        <v>0</v>
      </c>
      <c r="F695" s="35" t="s">
        <v>25</v>
      </c>
      <c r="G695" s="55" t="str">
        <f>G690*F690 + F691*G691 + F692*G692 + F693*G693 + F694*G694</f>
        <v>#VALUE!</v>
      </c>
      <c r="H695" s="35" t="s">
        <v>25</v>
      </c>
      <c r="I695" s="56" t="str">
        <f>I690*H690 + H691*I691 + H692*I692 + H693*I693 + H694*I694</f>
        <v>#VALUE!</v>
      </c>
      <c r="J695" s="35" t="s">
        <v>25</v>
      </c>
      <c r="K695" s="36">
        <f>K690*J690 + J691*K691 + J692*K692 + J693*K693 + J694*K694</f>
        <v>0</v>
      </c>
      <c r="L695" s="57" t="s">
        <v>25</v>
      </c>
      <c r="M695" s="58" t="str">
        <f>M690*L690 + L691*M691 + L692*M692 + L693*M693 + L694*M694</f>
        <v>#VALUE!</v>
      </c>
      <c r="N695" s="30"/>
      <c r="O695" s="30"/>
    </row>
    <row r="696" ht="14.25" customHeight="1">
      <c r="A696" s="28"/>
      <c r="B696" s="39" t="s">
        <v>26</v>
      </c>
      <c r="C696" s="40">
        <f>(B690*C690 + B691*C691 + B692*C692 + B693*C693 + B694*C694)/SUM(C690:C694)</f>
        <v>92.5</v>
      </c>
      <c r="D696" s="59" t="s">
        <v>26</v>
      </c>
      <c r="E696" s="40" t="str">
        <f>(D690*E690 + D691*E691 + D692*E692 + D693*E693 + D694*E694)/SUM(E690:E694)</f>
        <v>#DIV/0!</v>
      </c>
      <c r="F696" s="31" t="s">
        <v>26</v>
      </c>
      <c r="G696" s="75" t="str">
        <f>(F690*G690 + F691*G691 + F692*G692 + F693*G693 + F694*G694)/SUM(G690:G694)</f>
        <v>#VALUE!</v>
      </c>
      <c r="H696" s="59" t="s">
        <v>26</v>
      </c>
      <c r="I696" s="40" t="str">
        <f>(H690*I690 + H691*I691 + H692*I692 + H693*I693 + H694*I694)/SUM(I690:I694)</f>
        <v>#VALUE!</v>
      </c>
      <c r="J696" s="39" t="s">
        <v>26</v>
      </c>
      <c r="K696" s="40">
        <f>(J690*K690 + J691*K691 + J692*K692 + J693*K693 + J694*K694)/SUM(K690:K694)</f>
        <v>0</v>
      </c>
      <c r="L696" s="59" t="s">
        <v>26</v>
      </c>
      <c r="M696" s="40" t="str">
        <f>(L690*M690 + L691*M691 + L692*M692 + L693*M693 + L694*M694)/SUM(M690:M694)</f>
        <v>#VALUE!</v>
      </c>
      <c r="N696" s="30"/>
      <c r="O696" s="30"/>
    </row>
    <row r="697" ht="14.25" customHeight="1">
      <c r="A697" s="28"/>
      <c r="B697" s="28" t="s">
        <v>91</v>
      </c>
      <c r="C697" s="30" t="s">
        <v>49</v>
      </c>
      <c r="D697" s="28" t="s">
        <v>50</v>
      </c>
      <c r="E697" s="30" t="s">
        <v>49</v>
      </c>
      <c r="F697" s="120" t="s">
        <v>91</v>
      </c>
      <c r="G697" s="121" t="s">
        <v>49</v>
      </c>
      <c r="H697" s="122" t="s">
        <v>33</v>
      </c>
      <c r="I697" s="30"/>
      <c r="J697" s="28" t="s">
        <v>91</v>
      </c>
      <c r="K697" s="60" t="s">
        <v>49</v>
      </c>
      <c r="L697" s="30"/>
      <c r="M697" s="60" t="s">
        <v>49</v>
      </c>
      <c r="N697" s="30"/>
      <c r="O697" s="30"/>
    </row>
    <row r="698" ht="14.25" customHeight="1">
      <c r="A698" s="28"/>
      <c r="B698" s="27">
        <v>30.0</v>
      </c>
      <c r="C698" s="60"/>
      <c r="D698" s="27" t="s">
        <v>153</v>
      </c>
      <c r="E698" s="60"/>
      <c r="F698" s="27">
        <v>60.0</v>
      </c>
      <c r="G698" s="61"/>
      <c r="H698" s="30"/>
      <c r="I698" s="60"/>
      <c r="J698" s="27">
        <v>20.0</v>
      </c>
      <c r="K698" s="60"/>
      <c r="L698" s="62"/>
      <c r="M698" s="60"/>
      <c r="N698" s="30"/>
      <c r="O698" s="30"/>
    </row>
    <row r="699" ht="14.25" customHeight="1">
      <c r="A699" s="28" t="s">
        <v>195</v>
      </c>
      <c r="B699" s="27">
        <v>60.0</v>
      </c>
      <c r="C699" s="60"/>
      <c r="D699" s="27" t="s">
        <v>154</v>
      </c>
      <c r="E699" s="60"/>
      <c r="F699" s="69">
        <v>40.0</v>
      </c>
      <c r="G699" s="60"/>
      <c r="H699" s="30"/>
      <c r="I699" s="60"/>
      <c r="J699" s="69">
        <v>40.0</v>
      </c>
      <c r="K699" s="60"/>
      <c r="L699" s="30"/>
      <c r="M699" s="60"/>
      <c r="N699" s="30"/>
      <c r="O699" s="30"/>
    </row>
    <row r="700" ht="14.25" customHeight="1">
      <c r="A700" s="37"/>
      <c r="B700" s="28">
        <v>80.0</v>
      </c>
      <c r="C700" s="60"/>
      <c r="D700" s="28" t="s">
        <v>155</v>
      </c>
      <c r="E700" s="60"/>
      <c r="F700" s="1">
        <v>30.0</v>
      </c>
      <c r="G700" s="60"/>
      <c r="H700" s="30"/>
      <c r="I700" s="60"/>
      <c r="J700" s="1">
        <v>30.0</v>
      </c>
      <c r="K700" s="60"/>
      <c r="L700" s="30"/>
      <c r="M700" s="60"/>
      <c r="N700" s="30"/>
      <c r="O700" s="30"/>
    </row>
    <row r="701" ht="14.25" customHeight="1">
      <c r="A701" s="37"/>
      <c r="B701" s="28">
        <v>60.0</v>
      </c>
      <c r="C701" s="1"/>
      <c r="D701" s="28" t="s">
        <v>156</v>
      </c>
      <c r="E701" s="1"/>
      <c r="F701" s="28">
        <v>20.0</v>
      </c>
      <c r="G701" s="60"/>
      <c r="H701" s="30"/>
      <c r="I701" s="30"/>
      <c r="J701" s="28">
        <v>50.0</v>
      </c>
      <c r="K701" s="60"/>
      <c r="L701" s="30"/>
      <c r="M701" s="60"/>
      <c r="N701" s="30"/>
      <c r="O701" s="30"/>
    </row>
    <row r="702" ht="14.25" customHeight="1">
      <c r="A702" s="37"/>
      <c r="B702" s="28"/>
      <c r="C702" s="1"/>
      <c r="D702" s="28" t="s">
        <v>157</v>
      </c>
      <c r="E702" s="1"/>
      <c r="F702" s="28"/>
      <c r="G702" s="60"/>
      <c r="H702" s="30"/>
      <c r="I702" s="30"/>
      <c r="J702" s="28">
        <v>30.0</v>
      </c>
      <c r="K702" s="60"/>
      <c r="L702" s="30"/>
      <c r="M702" s="60"/>
      <c r="N702" s="30"/>
      <c r="O702" s="30"/>
    </row>
    <row r="703" ht="14.25" customHeight="1">
      <c r="A703" s="37"/>
      <c r="B703" s="28"/>
      <c r="C703" s="1"/>
      <c r="D703" s="28"/>
      <c r="E703" s="1"/>
      <c r="F703" s="28"/>
      <c r="G703" s="60"/>
      <c r="H703" s="30"/>
      <c r="I703" s="30"/>
      <c r="J703" s="37"/>
      <c r="K703" s="60"/>
      <c r="L703" s="30"/>
      <c r="M703" s="60"/>
      <c r="N703" s="30"/>
      <c r="O703" s="30"/>
    </row>
    <row r="704" ht="14.25" customHeight="1">
      <c r="A704" s="64"/>
      <c r="B704" s="65"/>
      <c r="C704" s="66"/>
      <c r="D704" s="65"/>
      <c r="E704" s="66"/>
      <c r="F704" s="64"/>
      <c r="G704" s="67"/>
      <c r="H704" s="66"/>
      <c r="I704" s="66"/>
      <c r="J704" s="64"/>
      <c r="K704" s="67"/>
      <c r="L704" s="66"/>
      <c r="M704" s="67"/>
      <c r="N704" s="30"/>
      <c r="O704" s="30"/>
    </row>
    <row r="705" ht="14.25" customHeight="1">
      <c r="A705" s="30"/>
      <c r="B705" s="30"/>
      <c r="C705" s="30"/>
      <c r="D705" s="23"/>
      <c r="E705" s="30"/>
      <c r="F705" s="30"/>
      <c r="G705" s="30"/>
      <c r="H705" s="23"/>
      <c r="I705" s="30"/>
      <c r="J705" s="30"/>
      <c r="K705" s="30"/>
      <c r="L705" s="30"/>
      <c r="M705" s="30"/>
      <c r="N705" s="30"/>
      <c r="O705" s="30"/>
    </row>
    <row r="706" ht="14.25" customHeight="1">
      <c r="A706" s="2" t="s">
        <v>2</v>
      </c>
      <c r="B706" s="3" t="s">
        <v>3</v>
      </c>
      <c r="C706" s="4">
        <f>M669+2</f>
        <v>45488</v>
      </c>
      <c r="D706" s="5" t="s">
        <v>4</v>
      </c>
      <c r="E706" s="6">
        <f>C706+1</f>
        <v>45489</v>
      </c>
      <c r="F706" s="3" t="s">
        <v>5</v>
      </c>
      <c r="G706" s="6">
        <f>E706+1</f>
        <v>45490</v>
      </c>
      <c r="H706" s="3" t="s">
        <v>6</v>
      </c>
      <c r="I706" s="6">
        <f>G706+1</f>
        <v>45491</v>
      </c>
      <c r="J706" s="3" t="s">
        <v>7</v>
      </c>
      <c r="K706" s="6">
        <f>I706+1</f>
        <v>45492</v>
      </c>
      <c r="L706" s="7" t="s">
        <v>8</v>
      </c>
      <c r="M706" s="8">
        <f>K706+1</f>
        <v>45493</v>
      </c>
      <c r="N706" s="30"/>
      <c r="O706" s="30"/>
    </row>
    <row r="707" ht="14.25" customHeight="1">
      <c r="A707" s="10">
        <f>A670+1</f>
        <v>20</v>
      </c>
      <c r="B707" s="11" t="s">
        <v>10</v>
      </c>
      <c r="C707" s="12" t="s">
        <v>11</v>
      </c>
      <c r="D707" s="11" t="s">
        <v>10</v>
      </c>
      <c r="E707" s="12" t="s">
        <v>11</v>
      </c>
      <c r="F707" s="11" t="s">
        <v>10</v>
      </c>
      <c r="G707" s="12" t="s">
        <v>11</v>
      </c>
      <c r="H707" s="11" t="s">
        <v>10</v>
      </c>
      <c r="I707" s="12" t="s">
        <v>11</v>
      </c>
      <c r="J707" s="11" t="s">
        <v>10</v>
      </c>
      <c r="K707" s="12" t="s">
        <v>11</v>
      </c>
      <c r="L707" s="11" t="s">
        <v>10</v>
      </c>
      <c r="M707" s="12" t="s">
        <v>11</v>
      </c>
      <c r="N707" s="30"/>
      <c r="O707" s="30"/>
    </row>
    <row r="708" ht="14.25" customHeight="1">
      <c r="A708" s="13" t="s">
        <v>12</v>
      </c>
      <c r="B708" s="20" t="s">
        <v>145</v>
      </c>
      <c r="C708" s="17"/>
      <c r="D708" s="18" t="s">
        <v>14</v>
      </c>
      <c r="E708" s="17"/>
      <c r="F708" s="20" t="s">
        <v>146</v>
      </c>
      <c r="G708" s="76"/>
      <c r="H708" s="42" t="s">
        <v>15</v>
      </c>
      <c r="I708" s="17"/>
      <c r="J708" s="20" t="s">
        <v>202</v>
      </c>
      <c r="K708" s="17"/>
      <c r="L708" s="72" t="s">
        <v>14</v>
      </c>
      <c r="M708" s="17"/>
      <c r="N708" s="30"/>
      <c r="O708" s="30"/>
    </row>
    <row r="709" ht="14.25" customHeight="1">
      <c r="A709" s="13"/>
      <c r="B709" s="46">
        <v>85.0</v>
      </c>
      <c r="C709" s="48">
        <v>4.0</v>
      </c>
      <c r="D709" s="1" t="s">
        <v>147</v>
      </c>
      <c r="E709" s="54" t="s">
        <v>222</v>
      </c>
      <c r="F709" s="46">
        <v>120.0</v>
      </c>
      <c r="G709" s="48">
        <v>4.0</v>
      </c>
      <c r="H709" s="27" t="s">
        <v>130</v>
      </c>
      <c r="I709" s="26"/>
      <c r="J709" s="46">
        <v>105.0</v>
      </c>
      <c r="K709" s="48">
        <v>4.0</v>
      </c>
      <c r="L709" s="27" t="s">
        <v>209</v>
      </c>
      <c r="M709" s="24"/>
      <c r="N709" s="30"/>
      <c r="O709" s="30"/>
    </row>
    <row r="710" ht="14.25" customHeight="1">
      <c r="A710" s="28" t="s">
        <v>20</v>
      </c>
      <c r="B710" s="46">
        <v>90.0</v>
      </c>
      <c r="C710" s="48">
        <v>4.0</v>
      </c>
      <c r="D710" s="1" t="s">
        <v>148</v>
      </c>
      <c r="E710" s="26"/>
      <c r="F710" s="46">
        <v>125.0</v>
      </c>
      <c r="G710" s="48">
        <v>4.0</v>
      </c>
      <c r="H710" s="28" t="s">
        <v>210</v>
      </c>
      <c r="I710" s="54" t="s">
        <v>222</v>
      </c>
      <c r="J710" s="46">
        <v>110.0</v>
      </c>
      <c r="K710" s="48">
        <v>4.0</v>
      </c>
      <c r="L710" s="32" t="s">
        <v>82</v>
      </c>
      <c r="M710" s="24"/>
      <c r="N710" s="30"/>
      <c r="O710" s="30"/>
    </row>
    <row r="711" ht="14.25" customHeight="1">
      <c r="A711" s="29" t="s">
        <v>22</v>
      </c>
      <c r="B711" s="46">
        <v>92.5</v>
      </c>
      <c r="C711" s="48">
        <v>4.0</v>
      </c>
      <c r="D711" s="1"/>
      <c r="E711" s="26"/>
      <c r="F711" s="46">
        <v>127.5</v>
      </c>
      <c r="G711" s="48">
        <v>4.0</v>
      </c>
      <c r="H711" s="28" t="s">
        <v>211</v>
      </c>
      <c r="I711" s="26"/>
      <c r="J711" s="46">
        <v>115.0</v>
      </c>
      <c r="K711" s="48">
        <v>4.0</v>
      </c>
      <c r="L711" s="23"/>
      <c r="M711" s="24"/>
      <c r="N711" s="30"/>
      <c r="O711" s="30"/>
    </row>
    <row r="712" ht="14.25" customHeight="1">
      <c r="A712" s="28" t="s">
        <v>23</v>
      </c>
      <c r="B712" s="46"/>
      <c r="C712" s="48"/>
      <c r="D712" s="1" t="s">
        <v>149</v>
      </c>
      <c r="E712" s="26"/>
      <c r="F712" s="46"/>
      <c r="G712" s="48"/>
      <c r="H712" s="1" t="s">
        <v>199</v>
      </c>
      <c r="I712" s="24"/>
      <c r="J712" s="46"/>
      <c r="K712" s="22"/>
      <c r="L712" s="23"/>
      <c r="M712" s="26"/>
      <c r="N712" s="30"/>
      <c r="O712" s="30"/>
    </row>
    <row r="713" ht="14.25" customHeight="1">
      <c r="A713" s="13"/>
      <c r="B713" s="13"/>
      <c r="C713" s="24"/>
      <c r="D713" s="33" t="s">
        <v>152</v>
      </c>
      <c r="E713" s="26"/>
      <c r="F713" s="13"/>
      <c r="G713" s="34"/>
      <c r="H713" s="13"/>
      <c r="I713" s="34"/>
      <c r="J713" s="13"/>
      <c r="K713" s="24"/>
      <c r="L713" s="13"/>
      <c r="M713" s="24"/>
      <c r="N713" s="30"/>
      <c r="O713" s="30"/>
    </row>
    <row r="714" ht="14.25" customHeight="1">
      <c r="A714" s="28" t="s">
        <v>24</v>
      </c>
      <c r="B714" s="35" t="s">
        <v>25</v>
      </c>
      <c r="C714" s="58">
        <f>C709*B709 + B710*C710 + B711*C711 + B712*C712 + B713*C713</f>
        <v>1070</v>
      </c>
      <c r="D714" s="57" t="s">
        <v>25</v>
      </c>
      <c r="E714" s="55" t="str">
        <f>E709*D709 + D710*#REF! + E710*E711 + D712*E712 + D713*E713</f>
        <v>#VALUE!</v>
      </c>
      <c r="F714" s="35" t="s">
        <v>25</v>
      </c>
      <c r="G714" s="56">
        <f>G709*F709 + F710*G710 + F711*G711 + F712*G712 + F713*G713</f>
        <v>1490</v>
      </c>
      <c r="H714" s="35" t="s">
        <v>25</v>
      </c>
      <c r="I714" s="56" t="str">
        <f>I709*H709 + H710*I710 + H711*I711 + H712*I712 + H713*I713</f>
        <v>#VALUE!</v>
      </c>
      <c r="J714" s="35" t="s">
        <v>25</v>
      </c>
      <c r="K714" s="58">
        <f>K709*J709 + J710*K710 + J711*K711 + J712*K712 + J713*K713</f>
        <v>1320</v>
      </c>
      <c r="L714" s="35" t="s">
        <v>25</v>
      </c>
      <c r="M714" s="36" t="str">
        <f>M709*L709 + L710*M710 + L711*M711 + L712*M712 + L713*M713</f>
        <v>#VALUE!</v>
      </c>
      <c r="N714" s="30"/>
      <c r="O714" s="30"/>
    </row>
    <row r="715" ht="14.25" customHeight="1">
      <c r="A715" s="37"/>
      <c r="B715" s="39" t="s">
        <v>26</v>
      </c>
      <c r="C715" s="116">
        <f>(B709*C709 + B710*C710 + B711*C711 + B712*C712 + B713*C713)/SUM(C709:C713)</f>
        <v>89.16666667</v>
      </c>
      <c r="D715" s="31" t="s">
        <v>26</v>
      </c>
      <c r="E715" s="74" t="str">
        <f>(D709*E709 + D710*#REF! + E710*E711 + D712*E712 + D713*E713)/SUM(E709:E713)</f>
        <v>#VALUE!</v>
      </c>
      <c r="F715" s="13" t="s">
        <v>26</v>
      </c>
      <c r="G715" s="117">
        <f>(F709*G709 + F710*G710 + F711*G711 + F712*G712 + F713*G713)/SUM(G709:G713)</f>
        <v>124.1666667</v>
      </c>
      <c r="H715" s="13" t="s">
        <v>26</v>
      </c>
      <c r="I715" s="74" t="str">
        <f>(H709*I709 + H710*I710 + H711*I711 + H712*I712 + H713*I713)/SUM(I709:I713)</f>
        <v>#VALUE!</v>
      </c>
      <c r="J715" s="39" t="s">
        <v>26</v>
      </c>
      <c r="K715" s="116">
        <f>(J709*K709 + J710*K710 + J711*K711 + J712*K712 + J713*K713)/SUM(K709:K713)</f>
        <v>110</v>
      </c>
      <c r="L715" s="13" t="s">
        <v>26</v>
      </c>
      <c r="M715" s="75" t="str">
        <f>(L709*M709 + L710*M710 + L711*M711 + L712*M712 + L713*M713)/SUM(M709:M713)</f>
        <v>#VALUE!</v>
      </c>
      <c r="N715" s="30"/>
      <c r="O715" s="30"/>
    </row>
    <row r="716" ht="14.25" customHeight="1">
      <c r="A716" s="28" t="s">
        <v>27</v>
      </c>
      <c r="B716" s="11" t="s">
        <v>10</v>
      </c>
      <c r="C716" s="12" t="s">
        <v>11</v>
      </c>
      <c r="D716" s="11" t="s">
        <v>10</v>
      </c>
      <c r="E716" s="12" t="s">
        <v>11</v>
      </c>
      <c r="F716" s="11" t="s">
        <v>10</v>
      </c>
      <c r="G716" s="12" t="s">
        <v>11</v>
      </c>
      <c r="H716" s="11" t="s">
        <v>10</v>
      </c>
      <c r="I716" s="12" t="s">
        <v>11</v>
      </c>
      <c r="J716" s="11" t="s">
        <v>10</v>
      </c>
      <c r="K716" s="12" t="s">
        <v>11</v>
      </c>
      <c r="L716" s="11" t="s">
        <v>10</v>
      </c>
      <c r="M716" s="12" t="s">
        <v>11</v>
      </c>
      <c r="N716" s="30"/>
      <c r="O716" s="30"/>
    </row>
    <row r="717" ht="14.25" customHeight="1">
      <c r="A717" s="41" t="s">
        <v>28</v>
      </c>
      <c r="B717" s="20" t="s">
        <v>201</v>
      </c>
      <c r="C717" s="17"/>
      <c r="D717" s="45" t="s">
        <v>91</v>
      </c>
      <c r="E717" s="76" t="s">
        <v>49</v>
      </c>
      <c r="F717" s="68" t="s">
        <v>134</v>
      </c>
      <c r="G717" s="17"/>
      <c r="H717" s="42" t="s">
        <v>91</v>
      </c>
      <c r="I717" s="44" t="s">
        <v>49</v>
      </c>
      <c r="J717" s="68" t="s">
        <v>212</v>
      </c>
      <c r="K717" s="17"/>
      <c r="L717" s="42" t="s">
        <v>91</v>
      </c>
      <c r="M717" s="44" t="s">
        <v>90</v>
      </c>
      <c r="N717" s="30"/>
      <c r="O717" s="30"/>
    </row>
    <row r="718" ht="14.25" customHeight="1">
      <c r="A718" s="28"/>
      <c r="B718" s="46">
        <v>160.0</v>
      </c>
      <c r="C718" s="48">
        <v>5.0</v>
      </c>
      <c r="D718" s="1"/>
      <c r="E718" s="54"/>
      <c r="F718" s="46">
        <v>140.0</v>
      </c>
      <c r="G718" s="48">
        <v>5.0</v>
      </c>
      <c r="H718" s="21">
        <v>60.0</v>
      </c>
      <c r="I718" s="24"/>
      <c r="J718" s="46">
        <v>105.0</v>
      </c>
      <c r="K718" s="48">
        <v>5.0</v>
      </c>
      <c r="L718" s="21">
        <v>40.0</v>
      </c>
      <c r="M718" s="26" t="s">
        <v>219</v>
      </c>
      <c r="N718" s="30"/>
      <c r="O718" s="30"/>
    </row>
    <row r="719" ht="14.25" customHeight="1">
      <c r="A719" s="28" t="s">
        <v>37</v>
      </c>
      <c r="B719" s="46">
        <v>170.0</v>
      </c>
      <c r="C719" s="48">
        <v>5.0</v>
      </c>
      <c r="D719" s="1"/>
      <c r="E719" s="54"/>
      <c r="F719" s="46">
        <v>150.0</v>
      </c>
      <c r="G719" s="48">
        <v>5.0</v>
      </c>
      <c r="H719" s="21">
        <v>30.0</v>
      </c>
      <c r="I719" s="24" t="s">
        <v>161</v>
      </c>
      <c r="J719" s="46">
        <v>110.0</v>
      </c>
      <c r="K719" s="48">
        <v>5.0</v>
      </c>
      <c r="L719" s="21">
        <v>30.0</v>
      </c>
      <c r="M719" s="26"/>
      <c r="N719" s="30"/>
      <c r="O719" s="30"/>
    </row>
    <row r="720" ht="14.25" customHeight="1">
      <c r="A720" s="28" t="s">
        <v>39</v>
      </c>
      <c r="B720" s="46">
        <v>180.0</v>
      </c>
      <c r="C720" s="48">
        <v>5.0</v>
      </c>
      <c r="D720" s="1"/>
      <c r="E720" s="54"/>
      <c r="F720" s="46">
        <v>145.0</v>
      </c>
      <c r="G720" s="48">
        <v>5.0</v>
      </c>
      <c r="H720" s="46">
        <v>60.0</v>
      </c>
      <c r="I720" s="24"/>
      <c r="J720" s="46">
        <v>115.0</v>
      </c>
      <c r="K720" s="48">
        <v>5.0</v>
      </c>
      <c r="L720" s="21">
        <v>60.0</v>
      </c>
      <c r="M720" s="26"/>
      <c r="N720" s="30"/>
      <c r="O720" s="30"/>
    </row>
    <row r="721" ht="14.25" customHeight="1">
      <c r="A721" s="28"/>
      <c r="B721" s="46"/>
      <c r="C721" s="48"/>
      <c r="D721" s="1"/>
      <c r="E721" s="54"/>
      <c r="F721" s="46"/>
      <c r="G721" s="48"/>
      <c r="H721" s="21">
        <v>30.0</v>
      </c>
      <c r="I721" s="24" t="s">
        <v>162</v>
      </c>
      <c r="J721" s="46"/>
      <c r="K721" s="48"/>
      <c r="L721" s="21">
        <v>30.0</v>
      </c>
      <c r="M721" s="26" t="s">
        <v>220</v>
      </c>
      <c r="N721" s="30"/>
      <c r="O721" s="30"/>
    </row>
    <row r="722" ht="14.25" customHeight="1">
      <c r="A722" s="28" t="s">
        <v>41</v>
      </c>
      <c r="B722" s="13"/>
      <c r="C722" s="24"/>
      <c r="D722" s="1"/>
      <c r="E722" s="24"/>
      <c r="F722" s="31"/>
      <c r="G722" s="24"/>
      <c r="H722" s="32"/>
      <c r="I722" s="24"/>
      <c r="J722" s="31"/>
      <c r="K722" s="24"/>
      <c r="L722" s="32"/>
      <c r="M722" s="24"/>
      <c r="N722" s="30"/>
      <c r="O722" s="30"/>
    </row>
    <row r="723" ht="14.25" customHeight="1">
      <c r="A723" s="28" t="s">
        <v>43</v>
      </c>
      <c r="B723" s="13"/>
      <c r="C723" s="34"/>
      <c r="D723" s="28"/>
      <c r="E723" s="34"/>
      <c r="F723" s="13"/>
      <c r="G723" s="34"/>
      <c r="H723" s="32" t="s">
        <v>140</v>
      </c>
      <c r="I723" s="24"/>
      <c r="J723" s="13"/>
      <c r="K723" s="24"/>
      <c r="L723" s="32" t="s">
        <v>140</v>
      </c>
      <c r="M723" s="26"/>
      <c r="N723" s="30"/>
      <c r="O723" s="30"/>
    </row>
    <row r="724" ht="14.25" customHeight="1">
      <c r="A724" s="28"/>
      <c r="B724" s="35" t="s">
        <v>25</v>
      </c>
      <c r="C724" s="55">
        <f>C718*B718 + B719*C719 + B720*C720 + B721*C721 + B723*C723</f>
        <v>2550</v>
      </c>
      <c r="D724" s="35" t="s">
        <v>25</v>
      </c>
      <c r="E724" s="55">
        <f>E718*D718 + D719*E719 + D720*E720 + D721*E721 + D723*E723</f>
        <v>0</v>
      </c>
      <c r="F724" s="35" t="s">
        <v>25</v>
      </c>
      <c r="G724" s="55">
        <f>G718*F718 + F719*G719 + F720*G720 + F721*G721 + F723*G723</f>
        <v>2175</v>
      </c>
      <c r="H724" s="35" t="s">
        <v>25</v>
      </c>
      <c r="I724" s="36" t="str">
        <f>I718*H718 + H719*I719 + H720*I720 + H721*I721 + H723*I723</f>
        <v>#VALUE!</v>
      </c>
      <c r="J724" s="35" t="s">
        <v>25</v>
      </c>
      <c r="K724" s="36">
        <f>K718*J718 + J719*K719 + J720*K720 + J721*K721 + J723*K723</f>
        <v>1650</v>
      </c>
      <c r="L724" s="35" t="s">
        <v>25</v>
      </c>
      <c r="M724" s="36" t="str">
        <f>M718*L718 + L719*M719 + L720*M720 + L721*M721 + L723*M723</f>
        <v>#VALUE!</v>
      </c>
      <c r="N724" s="30"/>
      <c r="O724" s="30"/>
    </row>
    <row r="725" ht="14.25" customHeight="1">
      <c r="A725" s="28" t="s">
        <v>116</v>
      </c>
      <c r="B725" s="39" t="s">
        <v>26</v>
      </c>
      <c r="C725" s="77">
        <f>(B718*C718 + B719*C719 + B720*C720 + B721*C721 + B723*C723)/SUM(C718:C723)</f>
        <v>170</v>
      </c>
      <c r="D725" s="39" t="s">
        <v>26</v>
      </c>
      <c r="E725" s="77" t="str">
        <f>(D718*E718 + D719*E719 + D720*E720 + D721*E721 + D723*E723)/SUM(E718:E723)</f>
        <v>#DIV/0!</v>
      </c>
      <c r="F725" s="39" t="s">
        <v>26</v>
      </c>
      <c r="G725" s="77">
        <f>(F718*G718 + F719*G719 + F720*G720 + F721*G721 + F723*G723)/SUM(G718:G723)</f>
        <v>145</v>
      </c>
      <c r="H725" s="39" t="s">
        <v>26</v>
      </c>
      <c r="I725" s="40" t="str">
        <f>(H718*I718 + H719*I719 + H720*I720 + H721*I721 + H723*I723)/SUM(I718:I723)</f>
        <v>#VALUE!</v>
      </c>
      <c r="J725" s="39" t="s">
        <v>26</v>
      </c>
      <c r="K725" s="40">
        <f>(J718*K718 + J719*K719 + J720*K720 + J721*K721 + J723*K723)/SUM(K718:K723)</f>
        <v>110</v>
      </c>
      <c r="L725" s="39" t="s">
        <v>26</v>
      </c>
      <c r="M725" s="40" t="str">
        <f>(L718*M718 + L719*M719 + L720*M720 + L721*M721 + L723*M723)/SUM(M718:M723)</f>
        <v>#VALUE!</v>
      </c>
      <c r="N725" s="30"/>
      <c r="O725" s="30"/>
    </row>
    <row r="726" ht="14.25" customHeight="1">
      <c r="A726" s="28" t="s">
        <v>117</v>
      </c>
      <c r="B726" s="70"/>
      <c r="C726" s="17"/>
      <c r="D726" s="45"/>
      <c r="E726" s="17"/>
      <c r="F726" s="70" t="s">
        <v>213</v>
      </c>
      <c r="G726" s="17"/>
      <c r="H726" s="113"/>
      <c r="I726" s="125"/>
      <c r="J726" s="70" t="s">
        <v>185</v>
      </c>
      <c r="K726" s="17"/>
      <c r="L726" s="113" t="s">
        <v>105</v>
      </c>
      <c r="M726" s="50" t="s">
        <v>49</v>
      </c>
      <c r="N726" s="30"/>
      <c r="O726" s="30"/>
    </row>
    <row r="727" ht="14.25" customHeight="1">
      <c r="A727" s="28" t="s">
        <v>120</v>
      </c>
      <c r="B727" s="28"/>
      <c r="C727" s="54"/>
      <c r="D727" s="110"/>
      <c r="E727" s="24"/>
      <c r="F727" s="28" t="s">
        <v>214</v>
      </c>
      <c r="G727" s="54">
        <v>8.0</v>
      </c>
      <c r="H727" s="21">
        <v>60.0</v>
      </c>
      <c r="I727" s="24"/>
      <c r="J727" s="28"/>
      <c r="K727" s="54">
        <v>8.0</v>
      </c>
      <c r="L727" s="21">
        <v>60.0</v>
      </c>
      <c r="M727" s="24"/>
      <c r="N727" s="30"/>
      <c r="O727" s="30"/>
    </row>
    <row r="728" ht="14.25" customHeight="1">
      <c r="A728" s="28"/>
      <c r="B728" s="27"/>
      <c r="C728" s="54"/>
      <c r="D728" s="46"/>
      <c r="E728" s="26"/>
      <c r="F728" s="27" t="s">
        <v>214</v>
      </c>
      <c r="G728" s="54">
        <v>8.0</v>
      </c>
      <c r="H728" s="21">
        <v>30.0</v>
      </c>
      <c r="I728" s="24" t="s">
        <v>163</v>
      </c>
      <c r="J728" s="27"/>
      <c r="K728" s="54">
        <v>8.0</v>
      </c>
      <c r="L728" s="21">
        <v>40.0</v>
      </c>
      <c r="M728" s="26" t="s">
        <v>221</v>
      </c>
      <c r="N728" s="30"/>
      <c r="O728" s="30"/>
    </row>
    <row r="729" ht="14.25" customHeight="1">
      <c r="A729" s="28"/>
      <c r="B729" s="27"/>
      <c r="C729" s="54"/>
      <c r="D729" s="46"/>
      <c r="E729" s="24"/>
      <c r="F729" s="27" t="s">
        <v>215</v>
      </c>
      <c r="G729" s="54">
        <v>8.0</v>
      </c>
      <c r="H729" s="46">
        <v>60.0</v>
      </c>
      <c r="I729" s="24"/>
      <c r="J729" s="27"/>
      <c r="K729" s="54">
        <v>8.0</v>
      </c>
      <c r="L729" s="46">
        <v>20.0</v>
      </c>
      <c r="M729" s="24"/>
      <c r="N729" s="30"/>
      <c r="O729" s="30"/>
    </row>
    <row r="730" ht="14.25" customHeight="1">
      <c r="A730" s="28"/>
      <c r="B730" s="28"/>
      <c r="C730" s="79"/>
      <c r="D730" s="46"/>
      <c r="E730" s="79"/>
      <c r="F730" s="28"/>
      <c r="G730" s="34"/>
      <c r="H730" s="21">
        <v>30.0</v>
      </c>
      <c r="I730" s="24" t="s">
        <v>161</v>
      </c>
      <c r="J730" s="28"/>
      <c r="K730" s="54"/>
      <c r="L730" s="21">
        <v>30.0</v>
      </c>
      <c r="M730" s="24"/>
      <c r="N730" s="30"/>
      <c r="O730" s="30"/>
    </row>
    <row r="731" ht="14.25" customHeight="1">
      <c r="A731" s="28"/>
      <c r="B731" s="13"/>
      <c r="C731" s="34"/>
      <c r="D731" s="21"/>
      <c r="E731" s="34"/>
      <c r="F731" s="13"/>
      <c r="G731" s="34"/>
      <c r="H731" s="28"/>
      <c r="I731" s="34"/>
      <c r="J731" s="13"/>
      <c r="K731" s="24"/>
      <c r="L731" s="31"/>
      <c r="M731" s="24"/>
      <c r="N731" s="30"/>
      <c r="O731" s="30"/>
    </row>
    <row r="732" ht="14.25" customHeight="1">
      <c r="A732" s="28"/>
      <c r="B732" s="35" t="s">
        <v>25</v>
      </c>
      <c r="C732" s="55">
        <f>C727*B727 + B728*C728 + B729*C729 + B730*C730 + B731*C731</f>
        <v>0</v>
      </c>
      <c r="D732" s="35" t="s">
        <v>25</v>
      </c>
      <c r="E732" s="55">
        <f>E727*D727 + D728*E728 + D729*E729 + D730*E730 + D731*E731</f>
        <v>0</v>
      </c>
      <c r="F732" s="35" t="s">
        <v>25</v>
      </c>
      <c r="G732" s="55" t="str">
        <f>G727*F727 + F728*G728 + F729*G729 + F730*G730 + F731*G731</f>
        <v>#VALUE!</v>
      </c>
      <c r="H732" s="35" t="s">
        <v>25</v>
      </c>
      <c r="I732" s="56" t="str">
        <f>I727*H727 + H728*I728 + H729*I729 + H730*I730 + H731*I731</f>
        <v>#VALUE!</v>
      </c>
      <c r="J732" s="35" t="s">
        <v>25</v>
      </c>
      <c r="K732" s="36">
        <f>K727*J727 + J728*K728 + J729*K729 + J730*K730 + J731*K731</f>
        <v>0</v>
      </c>
      <c r="L732" s="57" t="s">
        <v>25</v>
      </c>
      <c r="M732" s="58" t="str">
        <f>M727*L727 + L728*M728 + L729*M729 + L730*M730 + L731*M731</f>
        <v>#VALUE!</v>
      </c>
      <c r="N732" s="30"/>
      <c r="O732" s="30"/>
    </row>
    <row r="733" ht="14.25" customHeight="1">
      <c r="A733" s="28"/>
      <c r="B733" s="39" t="s">
        <v>26</v>
      </c>
      <c r="C733" s="40" t="str">
        <f>(B727*C727 + B728*C728 + B729*C729 + B730*C730 + B731*C731)/SUM(C727:C731)</f>
        <v>#DIV/0!</v>
      </c>
      <c r="D733" s="59" t="s">
        <v>26</v>
      </c>
      <c r="E733" s="40" t="str">
        <f>(D727*E727 + D728*E728 + D729*E729 + D730*E730 + D731*E731)/SUM(E727:E731)</f>
        <v>#DIV/0!</v>
      </c>
      <c r="F733" s="31" t="s">
        <v>26</v>
      </c>
      <c r="G733" s="75" t="str">
        <f>(F727*G727 + F728*G728 + F729*G729 + F730*G730 + F731*G731)/SUM(G727:G731)</f>
        <v>#VALUE!</v>
      </c>
      <c r="H733" s="59" t="s">
        <v>26</v>
      </c>
      <c r="I733" s="40" t="str">
        <f>(H727*I727 + H728*I728 + H729*I729 + H730*I730 + H731*I731)/SUM(I727:I731)</f>
        <v>#VALUE!</v>
      </c>
      <c r="J733" s="39" t="s">
        <v>26</v>
      </c>
      <c r="K733" s="40">
        <f>(J727*K727 + J728*K728 + J729*K729 + J730*K730 + J731*K731)/SUM(K727:K731)</f>
        <v>0</v>
      </c>
      <c r="L733" s="59" t="s">
        <v>26</v>
      </c>
      <c r="M733" s="40" t="str">
        <f>(L727*M727 + L728*M728 + L729*M729 + L730*M730 + L731*M731)/SUM(M727:M731)</f>
        <v>#VALUE!</v>
      </c>
      <c r="N733" s="30"/>
      <c r="O733" s="30"/>
    </row>
    <row r="734" ht="14.25" customHeight="1">
      <c r="A734" s="28"/>
      <c r="B734" s="28" t="s">
        <v>91</v>
      </c>
      <c r="C734" s="30" t="s">
        <v>49</v>
      </c>
      <c r="D734" s="28" t="s">
        <v>50</v>
      </c>
      <c r="E734" s="30" t="s">
        <v>49</v>
      </c>
      <c r="F734" s="120" t="s">
        <v>91</v>
      </c>
      <c r="G734" s="121" t="s">
        <v>49</v>
      </c>
      <c r="H734" s="122" t="s">
        <v>33</v>
      </c>
      <c r="I734" s="30"/>
      <c r="J734" s="28" t="s">
        <v>91</v>
      </c>
      <c r="K734" s="60" t="s">
        <v>49</v>
      </c>
      <c r="L734" s="30"/>
      <c r="M734" s="60" t="s">
        <v>49</v>
      </c>
      <c r="N734" s="30"/>
      <c r="O734" s="30"/>
    </row>
    <row r="735" ht="14.25" customHeight="1">
      <c r="A735" s="28"/>
      <c r="B735" s="27">
        <v>30.0</v>
      </c>
      <c r="C735" s="60"/>
      <c r="D735" s="27" t="s">
        <v>153</v>
      </c>
      <c r="E735" s="60"/>
      <c r="F735" s="27">
        <v>60.0</v>
      </c>
      <c r="G735" s="61"/>
      <c r="H735" s="30"/>
      <c r="I735" s="60"/>
      <c r="J735" s="27">
        <v>20.0</v>
      </c>
      <c r="K735" s="60"/>
      <c r="L735" s="62"/>
      <c r="M735" s="60"/>
      <c r="N735" s="30"/>
      <c r="O735" s="30"/>
    </row>
    <row r="736" ht="14.25" customHeight="1">
      <c r="A736" s="28" t="s">
        <v>195</v>
      </c>
      <c r="B736" s="27">
        <v>60.0</v>
      </c>
      <c r="C736" s="60"/>
      <c r="D736" s="27" t="s">
        <v>154</v>
      </c>
      <c r="E736" s="60"/>
      <c r="F736" s="69">
        <v>40.0</v>
      </c>
      <c r="G736" s="60"/>
      <c r="H736" s="30"/>
      <c r="I736" s="60"/>
      <c r="J736" s="69">
        <v>40.0</v>
      </c>
      <c r="K736" s="60"/>
      <c r="L736" s="30"/>
      <c r="M736" s="60"/>
      <c r="N736" s="30"/>
      <c r="O736" s="30"/>
    </row>
    <row r="737" ht="14.25" customHeight="1">
      <c r="A737" s="37"/>
      <c r="B737" s="28">
        <v>60.0</v>
      </c>
      <c r="C737" s="60"/>
      <c r="D737" s="28" t="s">
        <v>155</v>
      </c>
      <c r="E737" s="60"/>
      <c r="F737" s="1">
        <v>30.0</v>
      </c>
      <c r="G737" s="60"/>
      <c r="H737" s="30"/>
      <c r="I737" s="60"/>
      <c r="J737" s="1">
        <v>50.0</v>
      </c>
      <c r="K737" s="60"/>
      <c r="L737" s="30"/>
      <c r="M737" s="60"/>
      <c r="N737" s="30"/>
      <c r="O737" s="30"/>
    </row>
    <row r="738" ht="14.25" customHeight="1">
      <c r="A738" s="37"/>
      <c r="B738" s="28">
        <v>30.0</v>
      </c>
      <c r="C738" s="1"/>
      <c r="D738" s="28" t="s">
        <v>156</v>
      </c>
      <c r="E738" s="1"/>
      <c r="F738" s="28">
        <v>20.0</v>
      </c>
      <c r="G738" s="60"/>
      <c r="H738" s="30"/>
      <c r="I738" s="30"/>
      <c r="J738" s="28">
        <v>30.0</v>
      </c>
      <c r="K738" s="60"/>
      <c r="L738" s="30"/>
      <c r="M738" s="60"/>
      <c r="N738" s="30"/>
      <c r="O738" s="30"/>
    </row>
    <row r="739" ht="14.25" customHeight="1">
      <c r="A739" s="37"/>
      <c r="B739" s="28"/>
      <c r="C739" s="1"/>
      <c r="D739" s="28" t="s">
        <v>157</v>
      </c>
      <c r="E739" s="1"/>
      <c r="F739" s="28"/>
      <c r="G739" s="60"/>
      <c r="H739" s="30"/>
      <c r="I739" s="30"/>
      <c r="J739" s="28"/>
      <c r="K739" s="60"/>
      <c r="L739" s="30"/>
      <c r="M739" s="60"/>
      <c r="N739" s="30"/>
      <c r="O739" s="30"/>
    </row>
    <row r="740" ht="14.25" customHeight="1">
      <c r="A740" s="37"/>
      <c r="B740" s="28"/>
      <c r="C740" s="1"/>
      <c r="D740" s="28"/>
      <c r="E740" s="1"/>
      <c r="F740" s="28"/>
      <c r="G740" s="60"/>
      <c r="H740" s="30"/>
      <c r="I740" s="30"/>
      <c r="J740" s="37"/>
      <c r="K740" s="60"/>
      <c r="L740" s="30"/>
      <c r="M740" s="60"/>
      <c r="N740" s="30"/>
      <c r="O740" s="30"/>
    </row>
    <row r="741" ht="14.25" customHeight="1">
      <c r="A741" s="64"/>
      <c r="B741" s="65"/>
      <c r="C741" s="66"/>
      <c r="D741" s="65"/>
      <c r="E741" s="66"/>
      <c r="F741" s="64"/>
      <c r="G741" s="67"/>
      <c r="H741" s="66"/>
      <c r="I741" s="66"/>
      <c r="J741" s="64"/>
      <c r="K741" s="67"/>
      <c r="L741" s="66"/>
      <c r="M741" s="67"/>
      <c r="N741" s="30"/>
      <c r="O741" s="30"/>
    </row>
    <row r="742" ht="14.25" customHeight="1">
      <c r="A742" s="30"/>
      <c r="B742" s="30"/>
      <c r="C742" s="30"/>
      <c r="D742" s="23"/>
      <c r="E742" s="30"/>
      <c r="F742" s="30"/>
      <c r="G742" s="30"/>
      <c r="H742" s="23"/>
      <c r="I742" s="30"/>
      <c r="J742" s="30"/>
      <c r="K742" s="30"/>
      <c r="L742" s="30"/>
      <c r="M742" s="30"/>
      <c r="N742" s="30"/>
      <c r="O742" s="30"/>
    </row>
    <row r="743" ht="14.25" customHeight="1">
      <c r="A743" s="2" t="s">
        <v>2</v>
      </c>
      <c r="B743" s="3" t="s">
        <v>3</v>
      </c>
      <c r="C743" s="4">
        <f>M706+2</f>
        <v>45495</v>
      </c>
      <c r="D743" s="5" t="s">
        <v>4</v>
      </c>
      <c r="E743" s="6">
        <f>C743+1</f>
        <v>45496</v>
      </c>
      <c r="F743" s="3" t="s">
        <v>5</v>
      </c>
      <c r="G743" s="6">
        <f>E743+1</f>
        <v>45497</v>
      </c>
      <c r="H743" s="3" t="s">
        <v>6</v>
      </c>
      <c r="I743" s="6">
        <f>G743+1</f>
        <v>45498</v>
      </c>
      <c r="J743" s="3" t="s">
        <v>7</v>
      </c>
      <c r="K743" s="6">
        <f>I743+1</f>
        <v>45499</v>
      </c>
      <c r="L743" s="7" t="s">
        <v>8</v>
      </c>
      <c r="M743" s="8">
        <f>K743+1</f>
        <v>45500</v>
      </c>
      <c r="N743" s="30"/>
      <c r="O743" s="30"/>
    </row>
    <row r="744" ht="14.25" customHeight="1">
      <c r="A744" s="10">
        <f>A707+1</f>
        <v>21</v>
      </c>
      <c r="B744" s="11" t="s">
        <v>10</v>
      </c>
      <c r="C744" s="12" t="s">
        <v>11</v>
      </c>
      <c r="D744" s="11" t="s">
        <v>10</v>
      </c>
      <c r="E744" s="12" t="s">
        <v>11</v>
      </c>
      <c r="F744" s="11" t="s">
        <v>10</v>
      </c>
      <c r="G744" s="12" t="s">
        <v>11</v>
      </c>
      <c r="H744" s="11" t="s">
        <v>10</v>
      </c>
      <c r="I744" s="12" t="s">
        <v>11</v>
      </c>
      <c r="J744" s="11" t="s">
        <v>10</v>
      </c>
      <c r="K744" s="12" t="s">
        <v>11</v>
      </c>
      <c r="L744" s="11" t="s">
        <v>10</v>
      </c>
      <c r="M744" s="12" t="s">
        <v>11</v>
      </c>
      <c r="N744" s="30"/>
      <c r="O744" s="30"/>
    </row>
    <row r="745" ht="14.25" customHeight="1">
      <c r="A745" s="13" t="s">
        <v>12</v>
      </c>
      <c r="B745" s="20" t="s">
        <v>202</v>
      </c>
      <c r="C745" s="17"/>
      <c r="D745" s="18" t="s">
        <v>14</v>
      </c>
      <c r="E745" s="17"/>
      <c r="F745" s="20" t="s">
        <v>145</v>
      </c>
      <c r="G745" s="17"/>
      <c r="H745" s="42" t="s">
        <v>15</v>
      </c>
      <c r="I745" s="17"/>
      <c r="J745" s="20" t="s">
        <v>223</v>
      </c>
      <c r="K745" s="17"/>
      <c r="L745" s="72" t="s">
        <v>14</v>
      </c>
      <c r="M745" s="17"/>
      <c r="N745" s="30"/>
      <c r="O745" s="30"/>
    </row>
    <row r="746" ht="14.25" customHeight="1">
      <c r="A746" s="13"/>
      <c r="B746" s="46">
        <v>110.0</v>
      </c>
      <c r="C746" s="48">
        <v>4.0</v>
      </c>
      <c r="D746" s="1" t="s">
        <v>147</v>
      </c>
      <c r="E746" s="54" t="s">
        <v>222</v>
      </c>
      <c r="F746" s="46">
        <v>90.0</v>
      </c>
      <c r="G746" s="48">
        <v>4.0</v>
      </c>
      <c r="H746" s="27" t="s">
        <v>130</v>
      </c>
      <c r="I746" s="26"/>
      <c r="J746" s="46">
        <v>105.0</v>
      </c>
      <c r="K746" s="48">
        <v>4.0</v>
      </c>
      <c r="L746" s="27" t="s">
        <v>209</v>
      </c>
      <c r="M746" s="24"/>
      <c r="N746" s="30"/>
      <c r="O746" s="30"/>
    </row>
    <row r="747" ht="14.25" customHeight="1">
      <c r="A747" s="28" t="s">
        <v>20</v>
      </c>
      <c r="B747" s="46">
        <v>115.0</v>
      </c>
      <c r="C747" s="48">
        <v>3.0</v>
      </c>
      <c r="D747" s="1" t="s">
        <v>148</v>
      </c>
      <c r="E747" s="26"/>
      <c r="F747" s="46">
        <v>92.5</v>
      </c>
      <c r="G747" s="48">
        <v>3.0</v>
      </c>
      <c r="H747" s="28" t="s">
        <v>210</v>
      </c>
      <c r="I747" s="54" t="s">
        <v>222</v>
      </c>
      <c r="J747" s="46">
        <v>110.0</v>
      </c>
      <c r="K747" s="48">
        <v>4.0</v>
      </c>
      <c r="L747" s="32" t="s">
        <v>82</v>
      </c>
      <c r="M747" s="24"/>
      <c r="N747" s="30"/>
      <c r="O747" s="30"/>
    </row>
    <row r="748" ht="14.25" customHeight="1">
      <c r="A748" s="29" t="s">
        <v>22</v>
      </c>
      <c r="B748" s="46">
        <v>120.0</v>
      </c>
      <c r="C748" s="48">
        <v>3.0</v>
      </c>
      <c r="D748" s="1"/>
      <c r="E748" s="26"/>
      <c r="F748" s="46">
        <v>95.0</v>
      </c>
      <c r="G748" s="48">
        <v>3.0</v>
      </c>
      <c r="H748" s="28" t="s">
        <v>211</v>
      </c>
      <c r="I748" s="26"/>
      <c r="J748" s="46">
        <v>115.0</v>
      </c>
      <c r="K748" s="48">
        <v>4.0</v>
      </c>
      <c r="L748" s="23"/>
      <c r="M748" s="24"/>
      <c r="N748" s="30"/>
      <c r="O748" s="30"/>
    </row>
    <row r="749" ht="14.25" customHeight="1">
      <c r="A749" s="28" t="s">
        <v>23</v>
      </c>
      <c r="B749" s="46"/>
      <c r="C749" s="48"/>
      <c r="D749" s="1" t="s">
        <v>149</v>
      </c>
      <c r="E749" s="26"/>
      <c r="F749" s="46"/>
      <c r="G749" s="48"/>
      <c r="H749" s="1" t="s">
        <v>199</v>
      </c>
      <c r="I749" s="24"/>
      <c r="J749" s="46"/>
      <c r="K749" s="22"/>
      <c r="L749" s="23"/>
      <c r="M749" s="26"/>
      <c r="N749" s="30"/>
      <c r="O749" s="30"/>
    </row>
    <row r="750" ht="14.25" customHeight="1">
      <c r="A750" s="13"/>
      <c r="B750" s="13"/>
      <c r="C750" s="24"/>
      <c r="D750" s="33" t="s">
        <v>152</v>
      </c>
      <c r="E750" s="26"/>
      <c r="F750" s="13"/>
      <c r="G750" s="34"/>
      <c r="H750" s="13"/>
      <c r="I750" s="34"/>
      <c r="J750" s="13"/>
      <c r="K750" s="24"/>
      <c r="L750" s="13"/>
      <c r="M750" s="24"/>
      <c r="N750" s="30"/>
      <c r="O750" s="30"/>
    </row>
    <row r="751" ht="14.25" customHeight="1">
      <c r="A751" s="28" t="s">
        <v>24</v>
      </c>
      <c r="B751" s="35" t="s">
        <v>25</v>
      </c>
      <c r="C751" s="58">
        <f>C746*B746 + B747*C747 + B748*C748 + B749*C749 + B750*C750</f>
        <v>1145</v>
      </c>
      <c r="D751" s="57" t="s">
        <v>25</v>
      </c>
      <c r="E751" s="55" t="str">
        <f>E746*D746 + D747*#REF! + E747*E748 + D749*E749 + D750*E750</f>
        <v>#VALUE!</v>
      </c>
      <c r="F751" s="35" t="s">
        <v>25</v>
      </c>
      <c r="G751" s="56">
        <f>G746*F746 + F747*G747 + F748*G748 + F749*G749 + F750*G750</f>
        <v>922.5</v>
      </c>
      <c r="H751" s="35" t="s">
        <v>25</v>
      </c>
      <c r="I751" s="56" t="str">
        <f>I746*H746 + H747*I747 + H748*I748 + H749*I749 + H750*I750</f>
        <v>#VALUE!</v>
      </c>
      <c r="J751" s="35" t="s">
        <v>25</v>
      </c>
      <c r="K751" s="58">
        <f>K746*J746 + J747*K747 + J748*K748 + J749*K749 + J750*K750</f>
        <v>1320</v>
      </c>
      <c r="L751" s="35" t="s">
        <v>25</v>
      </c>
      <c r="M751" s="36" t="str">
        <f>M746*L746 + L747*M747 + L748*M748 + L749*M749 + L750*M750</f>
        <v>#VALUE!</v>
      </c>
      <c r="N751" s="30"/>
      <c r="O751" s="30"/>
    </row>
    <row r="752" ht="14.25" customHeight="1">
      <c r="A752" s="37"/>
      <c r="B752" s="39" t="s">
        <v>26</v>
      </c>
      <c r="C752" s="116">
        <f>(B746*C746 + B747*C747 + B748*C748 + B749*C749 + B750*C750)/SUM(C746:C750)</f>
        <v>114.5</v>
      </c>
      <c r="D752" s="31" t="s">
        <v>26</v>
      </c>
      <c r="E752" s="74" t="str">
        <f>(D746*E746 + D747*#REF! + E747*E748 + D749*E749 + D750*E750)/SUM(E746:E750)</f>
        <v>#VALUE!</v>
      </c>
      <c r="F752" s="13" t="s">
        <v>26</v>
      </c>
      <c r="G752" s="117">
        <f>(F746*G746 + F747*G747 + F748*G748 + F749*G749 + F750*G750)/SUM(G746:G750)</f>
        <v>92.25</v>
      </c>
      <c r="H752" s="13" t="s">
        <v>26</v>
      </c>
      <c r="I752" s="74" t="str">
        <f>(H746*I746 + H747*I747 + H748*I748 + H749*I749 + H750*I750)/SUM(I746:I750)</f>
        <v>#VALUE!</v>
      </c>
      <c r="J752" s="39" t="s">
        <v>26</v>
      </c>
      <c r="K752" s="116">
        <f>(J746*K746 + J747*K747 + J748*K748 + J749*K749 + J750*K750)/SUM(K746:K750)</f>
        <v>110</v>
      </c>
      <c r="L752" s="13" t="s">
        <v>26</v>
      </c>
      <c r="M752" s="75" t="str">
        <f>(L746*M746 + L747*M747 + L748*M748 + L749*M749 + L750*M750)/SUM(M746:M750)</f>
        <v>#VALUE!</v>
      </c>
      <c r="N752" s="30"/>
      <c r="O752" s="30"/>
    </row>
    <row r="753" ht="14.25" customHeight="1">
      <c r="A753" s="28" t="s">
        <v>27</v>
      </c>
      <c r="B753" s="11" t="s">
        <v>10</v>
      </c>
      <c r="C753" s="12" t="s">
        <v>11</v>
      </c>
      <c r="D753" s="11" t="s">
        <v>10</v>
      </c>
      <c r="E753" s="12" t="s">
        <v>11</v>
      </c>
      <c r="F753" s="11" t="s">
        <v>10</v>
      </c>
      <c r="G753" s="12" t="s">
        <v>11</v>
      </c>
      <c r="H753" s="11" t="s">
        <v>10</v>
      </c>
      <c r="I753" s="12" t="s">
        <v>11</v>
      </c>
      <c r="J753" s="11" t="s">
        <v>10</v>
      </c>
      <c r="K753" s="12" t="s">
        <v>11</v>
      </c>
      <c r="L753" s="11" t="s">
        <v>10</v>
      </c>
      <c r="M753" s="12" t="s">
        <v>11</v>
      </c>
      <c r="N753" s="30"/>
      <c r="O753" s="30"/>
    </row>
    <row r="754" ht="14.25" customHeight="1">
      <c r="A754" s="41" t="s">
        <v>28</v>
      </c>
      <c r="B754" s="20" t="s">
        <v>224</v>
      </c>
      <c r="C754" s="17"/>
      <c r="D754" s="45" t="s">
        <v>91</v>
      </c>
      <c r="E754" s="76" t="s">
        <v>49</v>
      </c>
      <c r="F754" s="68" t="s">
        <v>134</v>
      </c>
      <c r="G754" s="17"/>
      <c r="H754" s="42" t="s">
        <v>91</v>
      </c>
      <c r="I754" s="44" t="s">
        <v>49</v>
      </c>
      <c r="J754" s="68" t="s">
        <v>225</v>
      </c>
      <c r="K754" s="17"/>
      <c r="L754" s="42" t="s">
        <v>91</v>
      </c>
      <c r="M754" s="44" t="s">
        <v>90</v>
      </c>
      <c r="N754" s="30"/>
      <c r="O754" s="30"/>
    </row>
    <row r="755" ht="14.25" customHeight="1">
      <c r="A755" s="28"/>
      <c r="B755" s="46">
        <v>170.0</v>
      </c>
      <c r="C755" s="48">
        <v>5.0</v>
      </c>
      <c r="D755" s="46">
        <v>30.0</v>
      </c>
      <c r="E755" s="26" t="s">
        <v>219</v>
      </c>
      <c r="F755" s="46">
        <v>135.0</v>
      </c>
      <c r="G755" s="48">
        <v>5.0</v>
      </c>
      <c r="H755" s="21">
        <v>30.0</v>
      </c>
      <c r="I755" s="24" t="s">
        <v>161</v>
      </c>
      <c r="J755" s="46">
        <v>105.0</v>
      </c>
      <c r="K755" s="48">
        <v>5.0</v>
      </c>
      <c r="L755" s="21">
        <v>40.0</v>
      </c>
      <c r="M755" s="26" t="s">
        <v>219</v>
      </c>
      <c r="N755" s="30"/>
      <c r="O755" s="30"/>
    </row>
    <row r="756" ht="14.25" customHeight="1">
      <c r="A756" s="28" t="s">
        <v>37</v>
      </c>
      <c r="B756" s="46">
        <v>180.0</v>
      </c>
      <c r="C756" s="48">
        <v>5.0</v>
      </c>
      <c r="D756" s="46">
        <v>80.0</v>
      </c>
      <c r="E756" s="26"/>
      <c r="F756" s="46">
        <v>140.0</v>
      </c>
      <c r="G756" s="48">
        <v>5.0</v>
      </c>
      <c r="H756" s="46">
        <v>60.0</v>
      </c>
      <c r="I756" s="24"/>
      <c r="J756" s="46">
        <v>110.0</v>
      </c>
      <c r="K756" s="48">
        <v>5.0</v>
      </c>
      <c r="L756" s="21">
        <v>30.0</v>
      </c>
      <c r="M756" s="26"/>
      <c r="N756" s="30"/>
      <c r="O756" s="30"/>
    </row>
    <row r="757" ht="14.25" customHeight="1">
      <c r="A757" s="28" t="s">
        <v>39</v>
      </c>
      <c r="B757" s="46">
        <v>190.0</v>
      </c>
      <c r="C757" s="48">
        <v>5.0</v>
      </c>
      <c r="D757" s="21">
        <v>60.0</v>
      </c>
      <c r="E757" s="26"/>
      <c r="F757" s="46">
        <v>145.0</v>
      </c>
      <c r="G757" s="48">
        <v>5.0</v>
      </c>
      <c r="H757" s="21">
        <v>30.0</v>
      </c>
      <c r="I757" s="24" t="s">
        <v>162</v>
      </c>
      <c r="J757" s="46">
        <v>115.0</v>
      </c>
      <c r="K757" s="48">
        <v>5.0</v>
      </c>
      <c r="L757" s="21">
        <v>60.0</v>
      </c>
      <c r="M757" s="26"/>
      <c r="N757" s="30"/>
      <c r="O757" s="30"/>
    </row>
    <row r="758" ht="14.25" customHeight="1">
      <c r="A758" s="28"/>
      <c r="B758" s="46"/>
      <c r="C758" s="48"/>
      <c r="D758" s="21">
        <v>30.0</v>
      </c>
      <c r="E758" s="54" t="s">
        <v>162</v>
      </c>
      <c r="F758" s="46"/>
      <c r="G758" s="48"/>
      <c r="H758" s="46">
        <v>60.0</v>
      </c>
      <c r="I758" s="24"/>
      <c r="J758" s="46"/>
      <c r="K758" s="48"/>
      <c r="L758" s="21">
        <v>30.0</v>
      </c>
      <c r="M758" s="26" t="s">
        <v>220</v>
      </c>
      <c r="N758" s="30"/>
      <c r="O758" s="30"/>
    </row>
    <row r="759" ht="14.25" customHeight="1">
      <c r="A759" s="28" t="s">
        <v>41</v>
      </c>
      <c r="B759" s="13"/>
      <c r="C759" s="24"/>
      <c r="D759" s="32"/>
      <c r="E759" s="24"/>
      <c r="F759" s="31"/>
      <c r="G759" s="24"/>
      <c r="H759" s="32"/>
      <c r="I759" s="24"/>
      <c r="J759" s="31"/>
      <c r="K759" s="24"/>
      <c r="L759" s="32"/>
      <c r="M759" s="24"/>
      <c r="N759" s="30"/>
      <c r="O759" s="30"/>
    </row>
    <row r="760" ht="14.25" customHeight="1">
      <c r="A760" s="28" t="s">
        <v>43</v>
      </c>
      <c r="B760" s="13"/>
      <c r="C760" s="34"/>
      <c r="D760" s="32" t="s">
        <v>140</v>
      </c>
      <c r="E760" s="26"/>
      <c r="F760" s="13"/>
      <c r="G760" s="34"/>
      <c r="H760" s="32" t="s">
        <v>140</v>
      </c>
      <c r="I760" s="24"/>
      <c r="J760" s="13"/>
      <c r="K760" s="24"/>
      <c r="L760" s="32" t="s">
        <v>140</v>
      </c>
      <c r="M760" s="26"/>
      <c r="N760" s="30"/>
      <c r="O760" s="30"/>
    </row>
    <row r="761" ht="14.25" customHeight="1">
      <c r="A761" s="28"/>
      <c r="B761" s="35" t="s">
        <v>25</v>
      </c>
      <c r="C761" s="55">
        <f>C755*B755 + B756*C756 + B757*C757 + B758*C758 + B760*C760</f>
        <v>2700</v>
      </c>
      <c r="D761" s="35" t="s">
        <v>25</v>
      </c>
      <c r="E761" s="36" t="str">
        <f>E755*D755 + D756*E756 + D757*E757 + D758*E758 + D760*E760</f>
        <v>#VALUE!</v>
      </c>
      <c r="F761" s="35" t="s">
        <v>25</v>
      </c>
      <c r="G761" s="55">
        <f>G755*F755 + F756*G756 + F757*G757 + F758*G758 + F760*G760</f>
        <v>2100</v>
      </c>
      <c r="H761" s="35" t="s">
        <v>25</v>
      </c>
      <c r="I761" s="36" t="str">
        <f>I755*H755 + H756*I756 + H757*I757 + H758*I758 + H760*I760</f>
        <v>#VALUE!</v>
      </c>
      <c r="J761" s="35" t="s">
        <v>25</v>
      </c>
      <c r="K761" s="36">
        <f>K755*J755 + J756*K756 + J757*K757 + J758*K758 + J760*K760</f>
        <v>1650</v>
      </c>
      <c r="L761" s="35" t="s">
        <v>25</v>
      </c>
      <c r="M761" s="36" t="str">
        <f>M755*L755 + L756*M756 + L757*M757 + L758*M758 + L760*M760</f>
        <v>#VALUE!</v>
      </c>
      <c r="N761" s="30"/>
      <c r="O761" s="30"/>
    </row>
    <row r="762" ht="14.25" customHeight="1">
      <c r="A762" s="28" t="s">
        <v>116</v>
      </c>
      <c r="B762" s="39" t="s">
        <v>26</v>
      </c>
      <c r="C762" s="77">
        <f>(B755*C755 + B756*C756 + B757*C757 + B758*C758 + B760*C760)/SUM(C755:C760)</f>
        <v>180</v>
      </c>
      <c r="D762" s="39" t="s">
        <v>26</v>
      </c>
      <c r="E762" s="40" t="str">
        <f>(D755*E755 + D756*E756 + D757*E757 + D758*E758 + D760*E760)/SUM(E755:E760)</f>
        <v>#VALUE!</v>
      </c>
      <c r="F762" s="39" t="s">
        <v>26</v>
      </c>
      <c r="G762" s="77">
        <f>(F755*G755 + F756*G756 + F757*G757 + F758*G758 + F760*G760)/SUM(G755:G760)</f>
        <v>140</v>
      </c>
      <c r="H762" s="39" t="s">
        <v>26</v>
      </c>
      <c r="I762" s="40" t="str">
        <f>(H755*I755 + H756*I756 + H757*I757 + H758*I758 + H760*I760)/SUM(I755:I760)</f>
        <v>#VALUE!</v>
      </c>
      <c r="J762" s="39" t="s">
        <v>26</v>
      </c>
      <c r="K762" s="40">
        <f>(J755*K755 + J756*K756 + J757*K757 + J758*K758 + J760*K760)/SUM(K755:K760)</f>
        <v>110</v>
      </c>
      <c r="L762" s="39" t="s">
        <v>26</v>
      </c>
      <c r="M762" s="40" t="str">
        <f>(L755*M755 + L756*M756 + L757*M757 + L758*M758 + L760*M760)/SUM(M755:M760)</f>
        <v>#VALUE!</v>
      </c>
      <c r="N762" s="30"/>
      <c r="O762" s="30"/>
    </row>
    <row r="763" ht="14.25" customHeight="1">
      <c r="A763" s="28" t="s">
        <v>117</v>
      </c>
      <c r="B763" s="70" t="s">
        <v>226</v>
      </c>
      <c r="C763" s="17"/>
      <c r="D763" s="113" t="s">
        <v>105</v>
      </c>
      <c r="E763" s="50" t="s">
        <v>49</v>
      </c>
      <c r="F763" s="70" t="s">
        <v>213</v>
      </c>
      <c r="G763" s="17"/>
      <c r="H763" s="113"/>
      <c r="I763" s="125"/>
      <c r="J763" s="70" t="s">
        <v>185</v>
      </c>
      <c r="K763" s="17"/>
      <c r="L763" s="113" t="s">
        <v>105</v>
      </c>
      <c r="M763" s="50" t="s">
        <v>49</v>
      </c>
      <c r="N763" s="30"/>
      <c r="O763" s="30"/>
    </row>
    <row r="764" ht="14.25" customHeight="1">
      <c r="A764" s="28" t="s">
        <v>120</v>
      </c>
      <c r="B764" s="28" t="s">
        <v>227</v>
      </c>
      <c r="C764" s="54"/>
      <c r="D764" s="21">
        <v>60.0</v>
      </c>
      <c r="E764" s="24"/>
      <c r="F764" s="28" t="s">
        <v>214</v>
      </c>
      <c r="G764" s="54">
        <v>8.0</v>
      </c>
      <c r="H764" s="21">
        <v>30.0</v>
      </c>
      <c r="I764" s="24" t="s">
        <v>163</v>
      </c>
      <c r="J764" s="28"/>
      <c r="K764" s="54">
        <v>8.0</v>
      </c>
      <c r="L764" s="21">
        <v>60.0</v>
      </c>
      <c r="M764" s="24"/>
      <c r="N764" s="30"/>
      <c r="O764" s="30"/>
    </row>
    <row r="765" ht="14.25" customHeight="1">
      <c r="A765" s="28"/>
      <c r="B765" s="27" t="s">
        <v>228</v>
      </c>
      <c r="C765" s="54"/>
      <c r="D765" s="46">
        <v>30.0</v>
      </c>
      <c r="E765" s="54" t="s">
        <v>163</v>
      </c>
      <c r="F765" s="27" t="s">
        <v>214</v>
      </c>
      <c r="G765" s="54">
        <v>8.0</v>
      </c>
      <c r="H765" s="46">
        <v>60.0</v>
      </c>
      <c r="I765" s="24"/>
      <c r="J765" s="27"/>
      <c r="K765" s="54">
        <v>8.0</v>
      </c>
      <c r="L765" s="21">
        <v>40.0</v>
      </c>
      <c r="M765" s="26" t="s">
        <v>221</v>
      </c>
      <c r="N765" s="30"/>
      <c r="O765" s="30"/>
    </row>
    <row r="766" ht="14.25" customHeight="1">
      <c r="A766" s="28"/>
      <c r="B766" s="27"/>
      <c r="C766" s="54"/>
      <c r="D766" s="46">
        <v>80.0</v>
      </c>
      <c r="E766" s="24"/>
      <c r="F766" s="27" t="s">
        <v>215</v>
      </c>
      <c r="G766" s="54">
        <v>8.0</v>
      </c>
      <c r="H766" s="21">
        <v>30.0</v>
      </c>
      <c r="I766" s="24" t="s">
        <v>161</v>
      </c>
      <c r="J766" s="27"/>
      <c r="K766" s="54">
        <v>8.0</v>
      </c>
      <c r="L766" s="46">
        <v>20.0</v>
      </c>
      <c r="M766" s="24"/>
      <c r="N766" s="30"/>
      <c r="O766" s="30"/>
    </row>
    <row r="767" ht="14.25" customHeight="1">
      <c r="A767" s="28"/>
      <c r="B767" s="28"/>
      <c r="C767" s="79"/>
      <c r="D767" s="21">
        <v>30.0</v>
      </c>
      <c r="E767" s="24"/>
      <c r="F767" s="28"/>
      <c r="G767" s="34"/>
      <c r="H767" s="21">
        <v>30.0</v>
      </c>
      <c r="I767" s="24"/>
      <c r="J767" s="28"/>
      <c r="K767" s="54"/>
      <c r="L767" s="21">
        <v>30.0</v>
      </c>
      <c r="M767" s="24"/>
      <c r="N767" s="30"/>
      <c r="O767" s="30"/>
    </row>
    <row r="768" ht="14.25" customHeight="1">
      <c r="A768" s="28"/>
      <c r="B768" s="13"/>
      <c r="C768" s="34"/>
      <c r="D768" s="21"/>
      <c r="E768" s="34"/>
      <c r="F768" s="13"/>
      <c r="G768" s="34"/>
      <c r="H768" s="28"/>
      <c r="I768" s="34"/>
      <c r="J768" s="13"/>
      <c r="K768" s="24"/>
      <c r="L768" s="31"/>
      <c r="M768" s="24"/>
      <c r="N768" s="30"/>
      <c r="O768" s="30"/>
    </row>
    <row r="769" ht="14.25" customHeight="1">
      <c r="A769" s="28"/>
      <c r="B769" s="35" t="s">
        <v>25</v>
      </c>
      <c r="C769" s="55" t="str">
        <f>C764*B764 + B765*C765 + B766*C766 + B767*C767 + B768*C768</f>
        <v>#VALUE!</v>
      </c>
      <c r="D769" s="35" t="s">
        <v>25</v>
      </c>
      <c r="E769" s="55" t="str">
        <f>E764*D764 + D765*E765 + D766*E766 + D767*E767 + D768*E768</f>
        <v>#VALUE!</v>
      </c>
      <c r="F769" s="35" t="s">
        <v>25</v>
      </c>
      <c r="G769" s="55" t="str">
        <f>G764*F764 + F765*G765 + F766*G766 + F767*G767 + F768*G768</f>
        <v>#VALUE!</v>
      </c>
      <c r="H769" s="35" t="s">
        <v>25</v>
      </c>
      <c r="I769" s="56" t="str">
        <f>I764*H764 + H765*I765 + H766*I766 + H767*I767 + H768*I768</f>
        <v>#VALUE!</v>
      </c>
      <c r="J769" s="35" t="s">
        <v>25</v>
      </c>
      <c r="K769" s="36">
        <f>K764*J764 + J765*K765 + J766*K766 + J767*K767 + J768*K768</f>
        <v>0</v>
      </c>
      <c r="L769" s="57" t="s">
        <v>25</v>
      </c>
      <c r="M769" s="58" t="str">
        <f>M764*L764 + L765*M765 + L766*M766 + L767*M767 + L768*M768</f>
        <v>#VALUE!</v>
      </c>
      <c r="N769" s="30"/>
      <c r="O769" s="30"/>
    </row>
    <row r="770" ht="14.25" customHeight="1">
      <c r="A770" s="28"/>
      <c r="B770" s="39" t="s">
        <v>26</v>
      </c>
      <c r="C770" s="40" t="str">
        <f>(B764*C764 + B765*C765 + B766*C766 + B767*C767 + B768*C768)/SUM(C764:C768)</f>
        <v>#VALUE!</v>
      </c>
      <c r="D770" s="59" t="s">
        <v>26</v>
      </c>
      <c r="E770" s="40" t="str">
        <f>(D764*E764 + D765*E765 + D766*E766 + D767*E767 + D768*E768)/SUM(E764:E768)</f>
        <v>#VALUE!</v>
      </c>
      <c r="F770" s="31" t="s">
        <v>26</v>
      </c>
      <c r="G770" s="75" t="str">
        <f>(F764*G764 + F765*G765 + F766*G766 + F767*G767 + F768*G768)/SUM(G764:G768)</f>
        <v>#VALUE!</v>
      </c>
      <c r="H770" s="59" t="s">
        <v>26</v>
      </c>
      <c r="I770" s="40" t="str">
        <f>(H764*I764 + H765*I765 + H766*I766 + H767*I767 + H768*I768)/SUM(I764:I768)</f>
        <v>#VALUE!</v>
      </c>
      <c r="J770" s="39" t="s">
        <v>26</v>
      </c>
      <c r="K770" s="40">
        <f>(J764*K764 + J765*K765 + J766*K766 + J767*K767 + J768*K768)/SUM(K764:K768)</f>
        <v>0</v>
      </c>
      <c r="L770" s="59" t="s">
        <v>26</v>
      </c>
      <c r="M770" s="40" t="str">
        <f>(L764*M764 + L765*M765 + L766*M766 + L767*M767 + L768*M768)/SUM(M768)</f>
        <v>#VALUE!</v>
      </c>
      <c r="N770" s="30"/>
      <c r="O770" s="30"/>
    </row>
    <row r="771" ht="14.25" customHeight="1">
      <c r="A771" s="28"/>
      <c r="B771" s="28" t="s">
        <v>91</v>
      </c>
      <c r="C771" s="30" t="s">
        <v>49</v>
      </c>
      <c r="D771" s="28" t="s">
        <v>50</v>
      </c>
      <c r="E771" s="30" t="s">
        <v>49</v>
      </c>
      <c r="F771" s="120" t="s">
        <v>91</v>
      </c>
      <c r="G771" s="121" t="s">
        <v>49</v>
      </c>
      <c r="H771" s="122" t="s">
        <v>33</v>
      </c>
      <c r="I771" s="30"/>
      <c r="J771" s="28" t="s">
        <v>91</v>
      </c>
      <c r="K771" s="60" t="s">
        <v>49</v>
      </c>
      <c r="L771" s="30"/>
      <c r="M771" s="60" t="s">
        <v>49</v>
      </c>
      <c r="N771" s="30"/>
      <c r="O771" s="30"/>
    </row>
    <row r="772" ht="14.25" customHeight="1">
      <c r="A772" s="28"/>
      <c r="B772" s="27">
        <v>30.0</v>
      </c>
      <c r="C772" s="60"/>
      <c r="D772" s="27" t="s">
        <v>153</v>
      </c>
      <c r="E772" s="60"/>
      <c r="F772" s="27">
        <v>60.0</v>
      </c>
      <c r="G772" s="61"/>
      <c r="H772" s="30"/>
      <c r="I772" s="60"/>
      <c r="J772" s="27">
        <v>20.0</v>
      </c>
      <c r="K772" s="60"/>
      <c r="L772" s="62"/>
      <c r="M772" s="60"/>
      <c r="N772" s="30"/>
      <c r="O772" s="30"/>
    </row>
    <row r="773" ht="14.25" customHeight="1">
      <c r="A773" s="28" t="s">
        <v>195</v>
      </c>
      <c r="B773" s="27">
        <v>60.0</v>
      </c>
      <c r="C773" s="60"/>
      <c r="D773" s="27" t="s">
        <v>154</v>
      </c>
      <c r="E773" s="60"/>
      <c r="F773" s="69">
        <v>40.0</v>
      </c>
      <c r="G773" s="60"/>
      <c r="H773" s="30"/>
      <c r="I773" s="60"/>
      <c r="J773" s="69">
        <v>40.0</v>
      </c>
      <c r="K773" s="60"/>
      <c r="L773" s="30"/>
      <c r="M773" s="60"/>
      <c r="N773" s="30"/>
      <c r="O773" s="30"/>
    </row>
    <row r="774" ht="14.25" customHeight="1">
      <c r="A774" s="37"/>
      <c r="B774" s="28">
        <v>60.0</v>
      </c>
      <c r="C774" s="60"/>
      <c r="D774" s="28" t="s">
        <v>156</v>
      </c>
      <c r="E774" s="60"/>
      <c r="F774" s="1">
        <v>30.0</v>
      </c>
      <c r="G774" s="60"/>
      <c r="H774" s="30"/>
      <c r="I774" s="60"/>
      <c r="J774" s="1">
        <v>50.0</v>
      </c>
      <c r="K774" s="60"/>
      <c r="L774" s="30"/>
      <c r="M774" s="60"/>
      <c r="N774" s="30"/>
      <c r="O774" s="30"/>
    </row>
    <row r="775" ht="14.25" customHeight="1">
      <c r="A775" s="37"/>
      <c r="B775" s="28">
        <v>30.0</v>
      </c>
      <c r="C775" s="1"/>
      <c r="D775" s="28" t="s">
        <v>157</v>
      </c>
      <c r="E775" s="1"/>
      <c r="F775" s="28">
        <v>20.0</v>
      </c>
      <c r="G775" s="60"/>
      <c r="H775" s="30"/>
      <c r="I775" s="30"/>
      <c r="J775" s="28">
        <v>30.0</v>
      </c>
      <c r="K775" s="60"/>
      <c r="L775" s="30"/>
      <c r="M775" s="60"/>
      <c r="N775" s="30"/>
      <c r="O775" s="30"/>
    </row>
    <row r="776" ht="14.25" customHeight="1">
      <c r="A776" s="37"/>
      <c r="B776" s="28"/>
      <c r="C776" s="1"/>
      <c r="D776" s="28" t="s">
        <v>157</v>
      </c>
      <c r="E776" s="1"/>
      <c r="F776" s="28"/>
      <c r="G776" s="60"/>
      <c r="H776" s="30"/>
      <c r="I776" s="30"/>
      <c r="J776" s="28"/>
      <c r="K776" s="60"/>
      <c r="L776" s="30"/>
      <c r="M776" s="60"/>
      <c r="N776" s="30"/>
      <c r="O776" s="30"/>
    </row>
    <row r="777" ht="14.25" customHeight="1">
      <c r="A777" s="37"/>
      <c r="B777" s="28"/>
      <c r="C777" s="1"/>
      <c r="D777" s="28"/>
      <c r="E777" s="1"/>
      <c r="F777" s="28"/>
      <c r="G777" s="60"/>
      <c r="H777" s="30"/>
      <c r="I777" s="30"/>
      <c r="J777" s="37"/>
      <c r="K777" s="60"/>
      <c r="L777" s="30"/>
      <c r="M777" s="60"/>
      <c r="N777" s="30"/>
      <c r="O777" s="30"/>
    </row>
    <row r="778" ht="14.25" customHeight="1">
      <c r="A778" s="64"/>
      <c r="B778" s="65"/>
      <c r="C778" s="66"/>
      <c r="D778" s="65"/>
      <c r="E778" s="66"/>
      <c r="F778" s="64"/>
      <c r="G778" s="67"/>
      <c r="H778" s="66"/>
      <c r="I778" s="66"/>
      <c r="J778" s="64"/>
      <c r="K778" s="67"/>
      <c r="L778" s="66"/>
      <c r="M778" s="67"/>
      <c r="N778" s="30"/>
      <c r="O778" s="30"/>
    </row>
    <row r="779" ht="14.25" customHeight="1">
      <c r="A779" s="30"/>
      <c r="B779" s="30"/>
      <c r="C779" s="30"/>
      <c r="D779" s="23"/>
      <c r="E779" s="30"/>
      <c r="F779" s="30"/>
      <c r="G779" s="30"/>
      <c r="H779" s="23"/>
      <c r="I779" s="30"/>
      <c r="J779" s="30"/>
      <c r="K779" s="30"/>
      <c r="L779" s="30"/>
      <c r="M779" s="30"/>
      <c r="N779" s="30"/>
      <c r="O779" s="30"/>
    </row>
    <row r="780" ht="14.25" customHeight="1">
      <c r="A780" s="2" t="s">
        <v>2</v>
      </c>
      <c r="B780" s="3" t="s">
        <v>3</v>
      </c>
      <c r="C780" s="4">
        <f>M743+2</f>
        <v>45502</v>
      </c>
      <c r="D780" s="5" t="s">
        <v>4</v>
      </c>
      <c r="E780" s="6">
        <f>C780+1</f>
        <v>45503</v>
      </c>
      <c r="F780" s="3" t="s">
        <v>5</v>
      </c>
      <c r="G780" s="6">
        <f>E780+1</f>
        <v>45504</v>
      </c>
      <c r="H780" s="3" t="s">
        <v>6</v>
      </c>
      <c r="I780" s="6">
        <f>G780+1</f>
        <v>45505</v>
      </c>
      <c r="J780" s="3" t="s">
        <v>7</v>
      </c>
      <c r="K780" s="6">
        <f>I780+1</f>
        <v>45506</v>
      </c>
      <c r="L780" s="7" t="s">
        <v>8</v>
      </c>
      <c r="M780" s="8">
        <f>K780+1</f>
        <v>45507</v>
      </c>
      <c r="N780" s="30"/>
      <c r="O780" s="30"/>
    </row>
    <row r="781" ht="14.25" customHeight="1">
      <c r="A781" s="10">
        <f>A744+1</f>
        <v>22</v>
      </c>
      <c r="B781" s="11" t="s">
        <v>10</v>
      </c>
      <c r="C781" s="12" t="s">
        <v>11</v>
      </c>
      <c r="D781" s="11" t="s">
        <v>10</v>
      </c>
      <c r="E781" s="12" t="s">
        <v>11</v>
      </c>
      <c r="F781" s="11" t="s">
        <v>10</v>
      </c>
      <c r="G781" s="12" t="s">
        <v>11</v>
      </c>
      <c r="H781" s="11" t="s">
        <v>10</v>
      </c>
      <c r="I781" s="12" t="s">
        <v>11</v>
      </c>
      <c r="J781" s="11" t="s">
        <v>10</v>
      </c>
      <c r="K781" s="12" t="s">
        <v>11</v>
      </c>
      <c r="L781" s="11" t="s">
        <v>10</v>
      </c>
      <c r="M781" s="12" t="s">
        <v>11</v>
      </c>
      <c r="N781" s="30"/>
      <c r="O781" s="30"/>
    </row>
    <row r="782" ht="14.25" customHeight="1">
      <c r="A782" s="13" t="s">
        <v>12</v>
      </c>
      <c r="B782" s="20" t="s">
        <v>112</v>
      </c>
      <c r="C782" s="17"/>
      <c r="D782" s="18" t="s">
        <v>14</v>
      </c>
      <c r="E782" s="17"/>
      <c r="F782" s="20" t="s">
        <v>145</v>
      </c>
      <c r="G782" s="17"/>
      <c r="H782" s="42" t="s">
        <v>15</v>
      </c>
      <c r="I782" s="17"/>
      <c r="J782" s="20" t="s">
        <v>229</v>
      </c>
      <c r="K782" s="17"/>
      <c r="L782" s="72" t="s">
        <v>14</v>
      </c>
      <c r="M782" s="17"/>
      <c r="N782" s="30"/>
      <c r="O782" s="30"/>
    </row>
    <row r="783" ht="14.25" customHeight="1">
      <c r="A783" s="13"/>
      <c r="B783" s="46">
        <v>120.0</v>
      </c>
      <c r="C783" s="48">
        <v>3.0</v>
      </c>
      <c r="D783" s="1" t="s">
        <v>230</v>
      </c>
      <c r="E783" s="54" t="s">
        <v>222</v>
      </c>
      <c r="F783" s="46">
        <v>95.0</v>
      </c>
      <c r="G783" s="48">
        <v>3.0</v>
      </c>
      <c r="H783" s="27" t="s">
        <v>130</v>
      </c>
      <c r="I783" s="26"/>
      <c r="J783" s="46">
        <v>60.0</v>
      </c>
      <c r="K783" s="48">
        <v>3.0</v>
      </c>
      <c r="L783" s="27" t="s">
        <v>231</v>
      </c>
      <c r="M783" s="24"/>
      <c r="N783" s="30"/>
      <c r="O783" s="30"/>
    </row>
    <row r="784" ht="14.25" customHeight="1">
      <c r="A784" s="28" t="s">
        <v>20</v>
      </c>
      <c r="B784" s="46">
        <v>130.0</v>
      </c>
      <c r="C784" s="48">
        <v>2.0</v>
      </c>
      <c r="D784" s="1"/>
      <c r="E784" s="26"/>
      <c r="F784" s="46">
        <v>97.5</v>
      </c>
      <c r="G784" s="48">
        <v>2.0</v>
      </c>
      <c r="H784" s="28" t="s">
        <v>232</v>
      </c>
      <c r="I784" s="54" t="s">
        <v>222</v>
      </c>
      <c r="J784" s="46">
        <v>70.0</v>
      </c>
      <c r="K784" s="48">
        <v>3.0</v>
      </c>
      <c r="L784" s="28" t="s">
        <v>233</v>
      </c>
      <c r="M784" s="24"/>
      <c r="N784" s="30"/>
      <c r="O784" s="30"/>
    </row>
    <row r="785" ht="14.25" customHeight="1">
      <c r="A785" s="29" t="s">
        <v>22</v>
      </c>
      <c r="B785" s="46">
        <v>140.0</v>
      </c>
      <c r="C785" s="48">
        <v>2.0</v>
      </c>
      <c r="D785" s="1"/>
      <c r="E785" s="26"/>
      <c r="F785" s="46">
        <v>100.0</v>
      </c>
      <c r="G785" s="48">
        <v>2.0</v>
      </c>
      <c r="H785" s="28"/>
      <c r="I785" s="26"/>
      <c r="J785" s="46">
        <v>75.0</v>
      </c>
      <c r="K785" s="48">
        <v>3.0</v>
      </c>
      <c r="L785" s="23"/>
      <c r="M785" s="24"/>
      <c r="N785" s="30"/>
      <c r="O785" s="30"/>
    </row>
    <row r="786" ht="14.25" customHeight="1">
      <c r="A786" s="28" t="s">
        <v>23</v>
      </c>
      <c r="B786" s="46" t="s">
        <v>234</v>
      </c>
      <c r="C786" s="48">
        <v>1.0</v>
      </c>
      <c r="D786" s="1"/>
      <c r="E786" s="26"/>
      <c r="F786" s="46"/>
      <c r="G786" s="48"/>
      <c r="H786" s="1"/>
      <c r="I786" s="24"/>
      <c r="J786" s="46" t="s">
        <v>235</v>
      </c>
      <c r="K786" s="48">
        <v>2.0</v>
      </c>
      <c r="L786" s="32" t="s">
        <v>82</v>
      </c>
      <c r="M786" s="26"/>
      <c r="N786" s="30"/>
      <c r="O786" s="30"/>
    </row>
    <row r="787" ht="14.25" customHeight="1">
      <c r="A787" s="13"/>
      <c r="B787" s="13"/>
      <c r="C787" s="24"/>
      <c r="D787" s="33"/>
      <c r="E787" s="26"/>
      <c r="F787" s="13"/>
      <c r="G787" s="34"/>
      <c r="H787" s="13"/>
      <c r="I787" s="34"/>
      <c r="J787" s="13"/>
      <c r="K787" s="24"/>
      <c r="L787" s="13"/>
      <c r="M787" s="24"/>
      <c r="N787" s="30"/>
      <c r="O787" s="30"/>
    </row>
    <row r="788" ht="14.25" customHeight="1">
      <c r="A788" s="28" t="s">
        <v>24</v>
      </c>
      <c r="B788" s="35" t="s">
        <v>25</v>
      </c>
      <c r="C788" s="58" t="str">
        <f>C783*B783 + B784*C784 + B785*C785 + B786*C786 + B787*C787</f>
        <v>#VALUE!</v>
      </c>
      <c r="D788" s="57" t="s">
        <v>25</v>
      </c>
      <c r="E788" s="55" t="str">
        <f>E783*D783 + D784*#REF! + E784*E785 + D786*E786 + D787*E787</f>
        <v>#VALUE!</v>
      </c>
      <c r="F788" s="35" t="s">
        <v>25</v>
      </c>
      <c r="G788" s="56">
        <f>G783*F783 + F784*G784 + F785*G785 + F786*G786 + F787*G787</f>
        <v>680</v>
      </c>
      <c r="H788" s="35" t="s">
        <v>25</v>
      </c>
      <c r="I788" s="56" t="str">
        <f>I783*H783 + H784*I784 + H785*I785 + H786*I786 + H787*I787</f>
        <v>#VALUE!</v>
      </c>
      <c r="J788" s="35" t="s">
        <v>25</v>
      </c>
      <c r="K788" s="58" t="str">
        <f>K783*J783 + J784*K784 + J785*K785 + J786*K786 + J787*K787</f>
        <v>#VALUE!</v>
      </c>
      <c r="L788" s="35" t="s">
        <v>25</v>
      </c>
      <c r="M788" s="36" t="str">
        <f>M783*L783 + L784*M784 + L785*M785 + L786*M786 + L787*M787</f>
        <v>#VALUE!</v>
      </c>
      <c r="N788" s="30"/>
      <c r="O788" s="30"/>
    </row>
    <row r="789" ht="14.25" customHeight="1">
      <c r="A789" s="37"/>
      <c r="B789" s="39" t="s">
        <v>26</v>
      </c>
      <c r="C789" s="116" t="str">
        <f>(B783*C783 + B784*C784 + B785*C785 + B786*C786 + B787*C787)/SUM(C783:C787)</f>
        <v>#VALUE!</v>
      </c>
      <c r="D789" s="31" t="s">
        <v>26</v>
      </c>
      <c r="E789" s="74" t="str">
        <f>(D783*E783 + D784*#REF! + E784*E785 + D786*E786 + D787*E787)/SUM(E783:E787)</f>
        <v>#VALUE!</v>
      </c>
      <c r="F789" s="13" t="s">
        <v>26</v>
      </c>
      <c r="G789" s="117">
        <f>(F783*G783 + F784*G784 + F785*G785 + F786*G786 + F787*G787)/SUM(G783:G787)</f>
        <v>97.14285714</v>
      </c>
      <c r="H789" s="13" t="s">
        <v>26</v>
      </c>
      <c r="I789" s="74" t="str">
        <f>(H783*I783 + H784*I784 + H785*I785 + H786*I786 + H787*I787)/SUM(I783:I787)</f>
        <v>#VALUE!</v>
      </c>
      <c r="J789" s="39" t="s">
        <v>26</v>
      </c>
      <c r="K789" s="116" t="str">
        <f>(J783*K783 + J784*K784 + J785*K785 + J786*K786 + J787*K787)/SUM(K783:K787)</f>
        <v>#VALUE!</v>
      </c>
      <c r="L789" s="13" t="s">
        <v>26</v>
      </c>
      <c r="M789" s="75" t="str">
        <f>(L783*M783 + L784*M784 + L785*M785 + L786*M786 + L787*M787)/SUM(M783:M787)</f>
        <v>#VALUE!</v>
      </c>
      <c r="N789" s="30"/>
      <c r="O789" s="30"/>
    </row>
    <row r="790" ht="14.25" customHeight="1">
      <c r="A790" s="28" t="s">
        <v>27</v>
      </c>
      <c r="B790" s="11" t="s">
        <v>10</v>
      </c>
      <c r="C790" s="12" t="s">
        <v>11</v>
      </c>
      <c r="D790" s="11" t="s">
        <v>10</v>
      </c>
      <c r="E790" s="12" t="s">
        <v>11</v>
      </c>
      <c r="F790" s="11" t="s">
        <v>10</v>
      </c>
      <c r="G790" s="12" t="s">
        <v>11</v>
      </c>
      <c r="H790" s="11" t="s">
        <v>10</v>
      </c>
      <c r="I790" s="12" t="s">
        <v>11</v>
      </c>
      <c r="J790" s="11" t="s">
        <v>10</v>
      </c>
      <c r="K790" s="12" t="s">
        <v>11</v>
      </c>
      <c r="L790" s="11" t="s">
        <v>10</v>
      </c>
      <c r="M790" s="12" t="s">
        <v>11</v>
      </c>
      <c r="N790" s="30"/>
      <c r="O790" s="30"/>
    </row>
    <row r="791" ht="14.25" customHeight="1">
      <c r="A791" s="41" t="s">
        <v>28</v>
      </c>
      <c r="B791" s="20" t="s">
        <v>224</v>
      </c>
      <c r="C791" s="17"/>
      <c r="D791" s="45" t="s">
        <v>91</v>
      </c>
      <c r="E791" s="76" t="s">
        <v>49</v>
      </c>
      <c r="F791" s="68" t="s">
        <v>236</v>
      </c>
      <c r="G791" s="17"/>
      <c r="H791" s="42" t="s">
        <v>91</v>
      </c>
      <c r="I791" s="44" t="s">
        <v>49</v>
      </c>
      <c r="J791" s="68" t="s">
        <v>225</v>
      </c>
      <c r="K791" s="17"/>
      <c r="L791" s="42" t="s">
        <v>91</v>
      </c>
      <c r="M791" s="44" t="s">
        <v>90</v>
      </c>
      <c r="N791" s="30"/>
      <c r="O791" s="30"/>
    </row>
    <row r="792" ht="14.25" customHeight="1">
      <c r="A792" s="28"/>
      <c r="B792" s="46">
        <v>180.0</v>
      </c>
      <c r="C792" s="48">
        <v>5.0</v>
      </c>
      <c r="D792" s="46">
        <v>30.0</v>
      </c>
      <c r="E792" s="26" t="s">
        <v>219</v>
      </c>
      <c r="F792" s="46">
        <v>140.0</v>
      </c>
      <c r="G792" s="48">
        <v>5.0</v>
      </c>
      <c r="H792" s="21">
        <v>30.0</v>
      </c>
      <c r="I792" s="24"/>
      <c r="J792" s="46">
        <v>110.0</v>
      </c>
      <c r="K792" s="48">
        <v>5.0</v>
      </c>
      <c r="L792" s="21">
        <v>40.0</v>
      </c>
      <c r="M792" s="26" t="s">
        <v>219</v>
      </c>
      <c r="N792" s="30"/>
      <c r="O792" s="30"/>
    </row>
    <row r="793" ht="14.25" customHeight="1">
      <c r="A793" s="28" t="s">
        <v>37</v>
      </c>
      <c r="B793" s="46">
        <v>190.0</v>
      </c>
      <c r="C793" s="48">
        <v>5.0</v>
      </c>
      <c r="D793" s="46">
        <v>60.0</v>
      </c>
      <c r="E793" s="26"/>
      <c r="F793" s="46">
        <v>150.0</v>
      </c>
      <c r="G793" s="48">
        <v>5.0</v>
      </c>
      <c r="H793" s="46">
        <v>60.0</v>
      </c>
      <c r="I793" s="54" t="s">
        <v>237</v>
      </c>
      <c r="J793" s="46">
        <v>115.0</v>
      </c>
      <c r="K793" s="48">
        <v>5.0</v>
      </c>
      <c r="L793" s="21">
        <v>30.0</v>
      </c>
      <c r="M793" s="26"/>
      <c r="N793" s="30"/>
      <c r="O793" s="30"/>
    </row>
    <row r="794" ht="14.25" customHeight="1">
      <c r="A794" s="28" t="s">
        <v>39</v>
      </c>
      <c r="B794" s="46">
        <v>200.0</v>
      </c>
      <c r="C794" s="48">
        <v>5.0</v>
      </c>
      <c r="D794" s="21">
        <v>30.0</v>
      </c>
      <c r="E794" s="54" t="s">
        <v>163</v>
      </c>
      <c r="F794" s="46">
        <v>155.0</v>
      </c>
      <c r="G794" s="48">
        <v>5.0</v>
      </c>
      <c r="H794" s="21">
        <v>30.0</v>
      </c>
      <c r="I794" s="24"/>
      <c r="J794" s="46">
        <v>117.5</v>
      </c>
      <c r="K794" s="48">
        <v>5.0</v>
      </c>
      <c r="L794" s="21">
        <v>60.0</v>
      </c>
      <c r="M794" s="26"/>
      <c r="N794" s="30"/>
      <c r="O794" s="30"/>
    </row>
    <row r="795" ht="14.25" customHeight="1">
      <c r="A795" s="28"/>
      <c r="B795" s="46"/>
      <c r="C795" s="48"/>
      <c r="D795" s="21">
        <v>30.0</v>
      </c>
      <c r="E795" s="54"/>
      <c r="F795" s="46"/>
      <c r="G795" s="48"/>
      <c r="H795" s="46">
        <v>60.0</v>
      </c>
      <c r="I795" s="24"/>
      <c r="J795" s="46"/>
      <c r="K795" s="48"/>
      <c r="L795" s="21">
        <v>30.0</v>
      </c>
      <c r="M795" s="26" t="s">
        <v>220</v>
      </c>
      <c r="N795" s="30"/>
      <c r="O795" s="30"/>
    </row>
    <row r="796" ht="14.25" customHeight="1">
      <c r="A796" s="28" t="s">
        <v>41</v>
      </c>
      <c r="B796" s="13"/>
      <c r="C796" s="24"/>
      <c r="D796" s="32"/>
      <c r="E796" s="24"/>
      <c r="F796" s="31"/>
      <c r="G796" s="24"/>
      <c r="H796" s="32"/>
      <c r="I796" s="24"/>
      <c r="J796" s="31"/>
      <c r="K796" s="24"/>
      <c r="L796" s="32"/>
      <c r="M796" s="24"/>
      <c r="N796" s="30"/>
      <c r="O796" s="30"/>
    </row>
    <row r="797" ht="14.25" customHeight="1">
      <c r="A797" s="28" t="s">
        <v>43</v>
      </c>
      <c r="B797" s="13"/>
      <c r="C797" s="34"/>
      <c r="D797" s="32" t="s">
        <v>140</v>
      </c>
      <c r="E797" s="26"/>
      <c r="F797" s="13"/>
      <c r="G797" s="34"/>
      <c r="H797" s="32" t="s">
        <v>140</v>
      </c>
      <c r="I797" s="24"/>
      <c r="J797" s="13"/>
      <c r="K797" s="24"/>
      <c r="L797" s="32" t="s">
        <v>140</v>
      </c>
      <c r="M797" s="26"/>
      <c r="N797" s="30"/>
      <c r="O797" s="30"/>
    </row>
    <row r="798" ht="14.25" customHeight="1">
      <c r="A798" s="28"/>
      <c r="B798" s="35" t="s">
        <v>25</v>
      </c>
      <c r="C798" s="55">
        <f>C792*B792 + B793*C793 + B794*C794 + B795*C795 + B797*C797</f>
        <v>2850</v>
      </c>
      <c r="D798" s="35" t="s">
        <v>25</v>
      </c>
      <c r="E798" s="36" t="str">
        <f>E792*D792 + D793*E793 + D794*E794 + D795*E795 + D797*E797</f>
        <v>#VALUE!</v>
      </c>
      <c r="F798" s="35" t="s">
        <v>25</v>
      </c>
      <c r="G798" s="55">
        <f>G792*F792 + F793*G793 + F794*G794 + F795*G795 + F797*G797</f>
        <v>2225</v>
      </c>
      <c r="H798" s="35" t="s">
        <v>25</v>
      </c>
      <c r="I798" s="36" t="str">
        <f>I792*H792 + H793*I793 + H794*I794 + H795*I795 + H797*I797</f>
        <v>#VALUE!</v>
      </c>
      <c r="J798" s="35" t="s">
        <v>25</v>
      </c>
      <c r="K798" s="36">
        <f>K792*J792 + J793*K793 + J794*K794 + J795*K795 + J797*K797</f>
        <v>1712.5</v>
      </c>
      <c r="L798" s="35" t="s">
        <v>25</v>
      </c>
      <c r="M798" s="36" t="str">
        <f>M792*L792 + L793*M793 + L794*M794 + L795*M795 + L797*M797</f>
        <v>#VALUE!</v>
      </c>
      <c r="N798" s="30"/>
      <c r="O798" s="30"/>
    </row>
    <row r="799" ht="14.25" customHeight="1">
      <c r="A799" s="28" t="s">
        <v>116</v>
      </c>
      <c r="B799" s="39" t="s">
        <v>26</v>
      </c>
      <c r="C799" s="77">
        <f>(B792*C792 + B793*C793 + B794*C794 + B795*C795 + B797*C797)/SUM(C792:C797)</f>
        <v>190</v>
      </c>
      <c r="D799" s="39" t="s">
        <v>26</v>
      </c>
      <c r="E799" s="40" t="str">
        <f>(D792*E792 + D793*E793 + D794*E794 + D795*E795 + D797*E797)/SUM(E792:E797)</f>
        <v>#VALUE!</v>
      </c>
      <c r="F799" s="39" t="s">
        <v>26</v>
      </c>
      <c r="G799" s="77">
        <f>(F792*G792 + F793*G793 + F794*G794 + F795*G795 + F797*G797)/SUM(G792:G797)</f>
        <v>148.3333333</v>
      </c>
      <c r="H799" s="39" t="s">
        <v>26</v>
      </c>
      <c r="I799" s="40" t="str">
        <f>(H792*I792 + H793*I793 + H794*I794 + H795*I795 + H797*I797)/SUM(I792:I797)</f>
        <v>#VALUE!</v>
      </c>
      <c r="J799" s="39" t="s">
        <v>26</v>
      </c>
      <c r="K799" s="40">
        <f>(J792*K792 + J793*K793 + J794*K794 + J795*K795 + J797*K797)/SUM(K792:K797)</f>
        <v>114.1666667</v>
      </c>
      <c r="L799" s="39" t="s">
        <v>26</v>
      </c>
      <c r="M799" s="40" t="str">
        <f>(L792*M792 + L793*M793 + L794*M794 + L795*M795 + L797*M797)/SUM(M792:M797)</f>
        <v>#VALUE!</v>
      </c>
      <c r="N799" s="30"/>
      <c r="O799" s="30"/>
    </row>
    <row r="800" ht="14.25" customHeight="1">
      <c r="A800" s="28" t="s">
        <v>117</v>
      </c>
      <c r="B800" s="70" t="s">
        <v>226</v>
      </c>
      <c r="C800" s="17"/>
      <c r="D800" s="113" t="s">
        <v>105</v>
      </c>
      <c r="E800" s="50" t="s">
        <v>49</v>
      </c>
      <c r="F800" s="70" t="s">
        <v>213</v>
      </c>
      <c r="G800" s="17"/>
      <c r="H800" s="113"/>
      <c r="I800" s="125"/>
      <c r="J800" s="70" t="s">
        <v>185</v>
      </c>
      <c r="K800" s="17"/>
      <c r="L800" s="113" t="s">
        <v>105</v>
      </c>
      <c r="M800" s="50" t="s">
        <v>49</v>
      </c>
      <c r="N800" s="30"/>
      <c r="O800" s="30"/>
    </row>
    <row r="801" ht="14.25" customHeight="1">
      <c r="A801" s="28" t="s">
        <v>120</v>
      </c>
      <c r="B801" s="28" t="s">
        <v>227</v>
      </c>
      <c r="C801" s="54" t="s">
        <v>238</v>
      </c>
      <c r="D801" s="21">
        <v>60.0</v>
      </c>
      <c r="E801" s="24"/>
      <c r="F801" s="28" t="s">
        <v>214</v>
      </c>
      <c r="G801" s="54">
        <v>8.0</v>
      </c>
      <c r="H801" s="21">
        <v>30.0</v>
      </c>
      <c r="I801" s="24"/>
      <c r="J801" s="28"/>
      <c r="K801" s="54">
        <v>8.0</v>
      </c>
      <c r="L801" s="21">
        <v>60.0</v>
      </c>
      <c r="M801" s="24"/>
      <c r="N801" s="30"/>
      <c r="O801" s="30"/>
    </row>
    <row r="802" ht="14.25" customHeight="1">
      <c r="A802" s="28"/>
      <c r="B802" s="27" t="s">
        <v>228</v>
      </c>
      <c r="C802" s="54" t="s">
        <v>239</v>
      </c>
      <c r="D802" s="46">
        <v>30.0</v>
      </c>
      <c r="E802" s="54" t="s">
        <v>240</v>
      </c>
      <c r="F802" s="27" t="s">
        <v>214</v>
      </c>
      <c r="G802" s="54">
        <v>8.0</v>
      </c>
      <c r="H802" s="46">
        <v>60.0</v>
      </c>
      <c r="I802" s="54" t="s">
        <v>237</v>
      </c>
      <c r="J802" s="27"/>
      <c r="K802" s="54">
        <v>8.0</v>
      </c>
      <c r="L802" s="21">
        <v>40.0</v>
      </c>
      <c r="M802" s="26" t="s">
        <v>221</v>
      </c>
      <c r="N802" s="30"/>
      <c r="O802" s="30"/>
    </row>
    <row r="803" ht="14.25" customHeight="1">
      <c r="A803" s="28"/>
      <c r="B803" s="27"/>
      <c r="C803" s="54"/>
      <c r="D803" s="46">
        <v>60.0</v>
      </c>
      <c r="E803" s="24"/>
      <c r="F803" s="27" t="s">
        <v>215</v>
      </c>
      <c r="G803" s="54">
        <v>8.0</v>
      </c>
      <c r="H803" s="21">
        <v>30.0</v>
      </c>
      <c r="I803" s="24"/>
      <c r="J803" s="27"/>
      <c r="K803" s="54">
        <v>8.0</v>
      </c>
      <c r="L803" s="46">
        <v>20.0</v>
      </c>
      <c r="M803" s="24"/>
      <c r="N803" s="30"/>
      <c r="O803" s="30"/>
    </row>
    <row r="804" ht="14.25" customHeight="1">
      <c r="A804" s="28"/>
      <c r="B804" s="28"/>
      <c r="C804" s="79"/>
      <c r="D804" s="21">
        <v>30.0</v>
      </c>
      <c r="E804" s="24"/>
      <c r="F804" s="28"/>
      <c r="G804" s="34"/>
      <c r="H804" s="21">
        <v>30.0</v>
      </c>
      <c r="I804" s="24"/>
      <c r="J804" s="28"/>
      <c r="K804" s="54"/>
      <c r="L804" s="21">
        <v>30.0</v>
      </c>
      <c r="M804" s="24"/>
      <c r="N804" s="30"/>
      <c r="O804" s="30"/>
    </row>
    <row r="805" ht="14.25" customHeight="1">
      <c r="A805" s="28"/>
      <c r="B805" s="13"/>
      <c r="C805" s="34"/>
      <c r="D805" s="21"/>
      <c r="E805" s="34"/>
      <c r="F805" s="13"/>
      <c r="G805" s="34"/>
      <c r="H805" s="28"/>
      <c r="I805" s="34"/>
      <c r="J805" s="13"/>
      <c r="K805" s="24"/>
      <c r="L805" s="31"/>
      <c r="M805" s="24"/>
      <c r="N805" s="30"/>
      <c r="O805" s="30"/>
    </row>
    <row r="806" ht="14.25" customHeight="1">
      <c r="A806" s="28"/>
      <c r="B806" s="35" t="s">
        <v>25</v>
      </c>
      <c r="C806" s="55" t="str">
        <f>C801*B801 + B802*C802 + B803*C803 + B804*C804 + B805*C805</f>
        <v>#VALUE!</v>
      </c>
      <c r="D806" s="35" t="s">
        <v>25</v>
      </c>
      <c r="E806" s="55" t="str">
        <f>E801*D801 + D802*E802 + D803*E803 + D804*E804 + D805*E805</f>
        <v>#VALUE!</v>
      </c>
      <c r="F806" s="35" t="s">
        <v>25</v>
      </c>
      <c r="G806" s="55" t="str">
        <f>G801*F801 + F802*G802 + F803*G803 + F804*G804 + F805*G805</f>
        <v>#VALUE!</v>
      </c>
      <c r="H806" s="35" t="s">
        <v>25</v>
      </c>
      <c r="I806" s="56" t="str">
        <f>I801*H801 + H802*I802 + H803*I803 + H804*I804 + H805*I805</f>
        <v>#VALUE!</v>
      </c>
      <c r="J806" s="35" t="s">
        <v>25</v>
      </c>
      <c r="K806" s="36">
        <f>K801*J801 + J802*K802 + J803*K803 + J804*K804 + J805*K805</f>
        <v>0</v>
      </c>
      <c r="L806" s="57" t="s">
        <v>25</v>
      </c>
      <c r="M806" s="58" t="str">
        <f>M801*L801 + L802*M802 + L803*M803 + L804*M804 + L805*M805</f>
        <v>#VALUE!</v>
      </c>
      <c r="N806" s="30"/>
      <c r="O806" s="30"/>
    </row>
    <row r="807" ht="14.25" customHeight="1">
      <c r="A807" s="28"/>
      <c r="B807" s="39" t="s">
        <v>26</v>
      </c>
      <c r="C807" s="40" t="str">
        <f>(B801*C801 + B802*C802 + B803*C803 + B804*C804 + B805*C805)/SUM(C801:C805)</f>
        <v>#VALUE!</v>
      </c>
      <c r="D807" s="59" t="s">
        <v>26</v>
      </c>
      <c r="E807" s="40" t="str">
        <f>(D801*E801 + D802*E802 + D803*E803 + D804*E804 + D805*E805)/SUM(E801:E805)</f>
        <v>#VALUE!</v>
      </c>
      <c r="F807" s="31" t="s">
        <v>26</v>
      </c>
      <c r="G807" s="75" t="str">
        <f>(F801*G801 + F802*G802 + F803*G803 + F804*G804 + F805*G805)/SUM(G801:G805)</f>
        <v>#VALUE!</v>
      </c>
      <c r="H807" s="59" t="s">
        <v>26</v>
      </c>
      <c r="I807" s="40" t="str">
        <f>(H801*I801 + H802*I802 + H803*I803 + H804*I804 + H805*I805)/SUM(I801:I805)</f>
        <v>#VALUE!</v>
      </c>
      <c r="J807" s="39" t="s">
        <v>26</v>
      </c>
      <c r="K807" s="40">
        <f>(J801*K801 + J802*K802 + J803*K803 + J804*K804 + J805*K805)/SUM(K801:K805)</f>
        <v>0</v>
      </c>
      <c r="L807" s="59" t="s">
        <v>26</v>
      </c>
      <c r="M807" s="40" t="str">
        <f>(L801*M801 + L802*M802 + L803*M803 + L804*M804 + L805*M805)/SUM(M805)</f>
        <v>#VALUE!</v>
      </c>
      <c r="N807" s="30"/>
      <c r="O807" s="30"/>
    </row>
    <row r="808" ht="14.25" customHeight="1">
      <c r="A808" s="28"/>
      <c r="B808" s="28" t="s">
        <v>91</v>
      </c>
      <c r="C808" s="30" t="s">
        <v>49</v>
      </c>
      <c r="D808" s="28" t="s">
        <v>50</v>
      </c>
      <c r="E808" s="30" t="s">
        <v>49</v>
      </c>
      <c r="F808" s="120" t="s">
        <v>91</v>
      </c>
      <c r="G808" s="121" t="s">
        <v>49</v>
      </c>
      <c r="H808" s="122" t="s">
        <v>33</v>
      </c>
      <c r="I808" s="30"/>
      <c r="J808" s="28" t="s">
        <v>91</v>
      </c>
      <c r="K808" s="60" t="s">
        <v>49</v>
      </c>
      <c r="L808" s="30"/>
      <c r="M808" s="60" t="s">
        <v>49</v>
      </c>
      <c r="N808" s="30"/>
      <c r="O808" s="30"/>
    </row>
    <row r="809" ht="14.25" customHeight="1">
      <c r="A809" s="28"/>
      <c r="B809" s="27">
        <v>20.0</v>
      </c>
      <c r="C809" s="60"/>
      <c r="D809" s="27" t="s">
        <v>153</v>
      </c>
      <c r="E809" s="60"/>
      <c r="F809" s="27">
        <v>60.0</v>
      </c>
      <c r="G809" s="61"/>
      <c r="H809" s="30"/>
      <c r="I809" s="60"/>
      <c r="J809" s="27">
        <v>20.0</v>
      </c>
      <c r="K809" s="60"/>
      <c r="L809" s="62"/>
      <c r="M809" s="60"/>
      <c r="N809" s="30"/>
      <c r="O809" s="30"/>
    </row>
    <row r="810" ht="14.25" customHeight="1">
      <c r="A810" s="28"/>
      <c r="B810" s="27">
        <v>40.0</v>
      </c>
      <c r="C810" s="60"/>
      <c r="D810" s="27" t="s">
        <v>154</v>
      </c>
      <c r="E810" s="60"/>
      <c r="F810" s="69">
        <v>40.0</v>
      </c>
      <c r="G810" s="60"/>
      <c r="H810" s="30"/>
      <c r="I810" s="60"/>
      <c r="J810" s="69">
        <v>40.0</v>
      </c>
      <c r="K810" s="60"/>
      <c r="L810" s="30"/>
      <c r="M810" s="60"/>
      <c r="N810" s="30"/>
      <c r="O810" s="30"/>
    </row>
    <row r="811" ht="14.25" customHeight="1">
      <c r="A811" s="37"/>
      <c r="B811" s="28">
        <v>60.0</v>
      </c>
      <c r="C811" s="60"/>
      <c r="D811" s="28" t="s">
        <v>156</v>
      </c>
      <c r="E811" s="60"/>
      <c r="F811" s="1">
        <v>30.0</v>
      </c>
      <c r="G811" s="60"/>
      <c r="H811" s="30"/>
      <c r="I811" s="60"/>
      <c r="J811" s="1">
        <v>50.0</v>
      </c>
      <c r="K811" s="60"/>
      <c r="L811" s="30"/>
      <c r="M811" s="60"/>
      <c r="N811" s="30"/>
      <c r="O811" s="30"/>
    </row>
    <row r="812" ht="14.25" customHeight="1">
      <c r="A812" s="37"/>
      <c r="B812" s="28">
        <v>30.0</v>
      </c>
      <c r="C812" s="1"/>
      <c r="D812" s="28" t="s">
        <v>157</v>
      </c>
      <c r="E812" s="1"/>
      <c r="F812" s="28">
        <v>20.0</v>
      </c>
      <c r="G812" s="60"/>
      <c r="H812" s="30"/>
      <c r="I812" s="30"/>
      <c r="J812" s="28">
        <v>30.0</v>
      </c>
      <c r="K812" s="60"/>
      <c r="L812" s="30"/>
      <c r="M812" s="60"/>
      <c r="N812" s="30"/>
      <c r="O812" s="30"/>
    </row>
    <row r="813" ht="14.25" customHeight="1">
      <c r="A813" s="37"/>
      <c r="B813" s="28"/>
      <c r="C813" s="1"/>
      <c r="D813" s="28" t="s">
        <v>157</v>
      </c>
      <c r="E813" s="1"/>
      <c r="F813" s="28"/>
      <c r="G813" s="60"/>
      <c r="H813" s="30"/>
      <c r="I813" s="30"/>
      <c r="J813" s="28"/>
      <c r="K813" s="60"/>
      <c r="L813" s="30"/>
      <c r="M813" s="60"/>
      <c r="N813" s="30"/>
      <c r="O813" s="30"/>
    </row>
    <row r="814" ht="14.25" customHeight="1">
      <c r="A814" s="37"/>
      <c r="B814" s="28"/>
      <c r="C814" s="1"/>
      <c r="D814" s="28"/>
      <c r="E814" s="1"/>
      <c r="F814" s="28"/>
      <c r="G814" s="60"/>
      <c r="H814" s="30"/>
      <c r="I814" s="30"/>
      <c r="J814" s="37"/>
      <c r="K814" s="60"/>
      <c r="L814" s="30"/>
      <c r="M814" s="60"/>
      <c r="N814" s="30"/>
      <c r="O814" s="30"/>
    </row>
    <row r="815" ht="14.25" customHeight="1">
      <c r="A815" s="64"/>
      <c r="B815" s="65"/>
      <c r="C815" s="66"/>
      <c r="D815" s="65"/>
      <c r="E815" s="66"/>
      <c r="F815" s="64"/>
      <c r="G815" s="67"/>
      <c r="H815" s="66"/>
      <c r="I815" s="66"/>
      <c r="J815" s="64"/>
      <c r="K815" s="67"/>
      <c r="L815" s="66"/>
      <c r="M815" s="67"/>
      <c r="N815" s="30"/>
      <c r="O815" s="30"/>
    </row>
    <row r="816" ht="14.25" customHeight="1">
      <c r="A816" s="30"/>
      <c r="B816" s="30"/>
      <c r="C816" s="30"/>
      <c r="D816" s="23"/>
      <c r="E816" s="30"/>
      <c r="F816" s="30"/>
      <c r="G816" s="30"/>
      <c r="H816" s="23"/>
      <c r="I816" s="30"/>
      <c r="J816" s="30"/>
      <c r="K816" s="30"/>
      <c r="L816" s="30"/>
      <c r="M816" s="30"/>
      <c r="N816" s="30"/>
      <c r="O816" s="30"/>
    </row>
    <row r="817" ht="14.25" customHeight="1">
      <c r="A817" s="2" t="s">
        <v>2</v>
      </c>
      <c r="B817" s="3" t="s">
        <v>3</v>
      </c>
      <c r="C817" s="4">
        <f>M780+2</f>
        <v>45509</v>
      </c>
      <c r="D817" s="5" t="s">
        <v>4</v>
      </c>
      <c r="E817" s="6">
        <f>C817+1</f>
        <v>45510</v>
      </c>
      <c r="F817" s="3" t="s">
        <v>5</v>
      </c>
      <c r="G817" s="6">
        <f>E817+1</f>
        <v>45511</v>
      </c>
      <c r="H817" s="3" t="s">
        <v>6</v>
      </c>
      <c r="I817" s="6">
        <f>G817+1</f>
        <v>45512</v>
      </c>
      <c r="J817" s="3" t="s">
        <v>7</v>
      </c>
      <c r="K817" s="6">
        <f>I817+1</f>
        <v>45513</v>
      </c>
      <c r="L817" s="7" t="s">
        <v>8</v>
      </c>
      <c r="M817" s="8">
        <f>K817+1</f>
        <v>45514</v>
      </c>
      <c r="N817" s="30"/>
      <c r="O817" s="30"/>
    </row>
    <row r="818" ht="14.25" customHeight="1">
      <c r="A818" s="10">
        <f>A781+1</f>
        <v>23</v>
      </c>
      <c r="B818" s="11" t="s">
        <v>10</v>
      </c>
      <c r="C818" s="12" t="s">
        <v>11</v>
      </c>
      <c r="D818" s="11" t="s">
        <v>10</v>
      </c>
      <c r="E818" s="12" t="s">
        <v>11</v>
      </c>
      <c r="F818" s="11" t="s">
        <v>10</v>
      </c>
      <c r="G818" s="12" t="s">
        <v>11</v>
      </c>
      <c r="H818" s="11" t="s">
        <v>10</v>
      </c>
      <c r="I818" s="12" t="s">
        <v>11</v>
      </c>
      <c r="J818" s="11" t="s">
        <v>10</v>
      </c>
      <c r="K818" s="12" t="s">
        <v>11</v>
      </c>
      <c r="L818" s="11" t="s">
        <v>10</v>
      </c>
      <c r="M818" s="12" t="s">
        <v>11</v>
      </c>
      <c r="N818" s="30"/>
      <c r="O818" s="30"/>
    </row>
    <row r="819" ht="14.25" customHeight="1">
      <c r="A819" s="13" t="s">
        <v>12</v>
      </c>
      <c r="B819" s="20" t="s">
        <v>112</v>
      </c>
      <c r="C819" s="17"/>
      <c r="D819" s="18" t="s">
        <v>14</v>
      </c>
      <c r="E819" s="17"/>
      <c r="F819" s="20" t="s">
        <v>145</v>
      </c>
      <c r="G819" s="17"/>
      <c r="H819" s="42" t="s">
        <v>15</v>
      </c>
      <c r="I819" s="17"/>
      <c r="J819" s="20" t="s">
        <v>229</v>
      </c>
      <c r="K819" s="17"/>
      <c r="L819" s="72" t="s">
        <v>14</v>
      </c>
      <c r="M819" s="17"/>
      <c r="N819" s="30"/>
      <c r="O819" s="30"/>
    </row>
    <row r="820" ht="14.25" customHeight="1">
      <c r="A820" s="13"/>
      <c r="B820" s="46">
        <v>125.0</v>
      </c>
      <c r="C820" s="48">
        <v>3.0</v>
      </c>
      <c r="D820" s="1" t="s">
        <v>230</v>
      </c>
      <c r="E820" s="54" t="s">
        <v>222</v>
      </c>
      <c r="F820" s="46">
        <v>95.0</v>
      </c>
      <c r="G820" s="48">
        <v>3.0</v>
      </c>
      <c r="H820" s="27" t="s">
        <v>130</v>
      </c>
      <c r="I820" s="26"/>
      <c r="J820" s="46">
        <v>60.0</v>
      </c>
      <c r="K820" s="48">
        <v>3.0</v>
      </c>
      <c r="L820" s="27" t="s">
        <v>231</v>
      </c>
      <c r="M820" s="24"/>
      <c r="N820" s="30"/>
      <c r="O820" s="30"/>
    </row>
    <row r="821" ht="14.25" customHeight="1">
      <c r="A821" s="28" t="s">
        <v>20</v>
      </c>
      <c r="B821" s="46">
        <v>135.0</v>
      </c>
      <c r="C821" s="48">
        <v>2.0</v>
      </c>
      <c r="D821" s="1"/>
      <c r="E821" s="26"/>
      <c r="F821" s="46">
        <v>97.5</v>
      </c>
      <c r="G821" s="48">
        <v>2.0</v>
      </c>
      <c r="H821" s="28" t="s">
        <v>232</v>
      </c>
      <c r="I821" s="54" t="s">
        <v>222</v>
      </c>
      <c r="J821" s="46">
        <v>70.0</v>
      </c>
      <c r="K821" s="48">
        <v>3.0</v>
      </c>
      <c r="L821" s="28" t="s">
        <v>233</v>
      </c>
      <c r="M821" s="24"/>
      <c r="N821" s="30"/>
      <c r="O821" s="30"/>
    </row>
    <row r="822" ht="14.25" customHeight="1">
      <c r="A822" s="29" t="s">
        <v>22</v>
      </c>
      <c r="B822" s="46">
        <v>140.0</v>
      </c>
      <c r="C822" s="48">
        <v>2.0</v>
      </c>
      <c r="D822" s="1"/>
      <c r="E822" s="26"/>
      <c r="F822" s="46">
        <v>100.0</v>
      </c>
      <c r="G822" s="48">
        <v>2.0</v>
      </c>
      <c r="H822" s="28"/>
      <c r="I822" s="26"/>
      <c r="J822" s="46">
        <v>75.0</v>
      </c>
      <c r="K822" s="48">
        <v>3.0</v>
      </c>
      <c r="L822" s="23"/>
      <c r="M822" s="24"/>
      <c r="N822" s="30"/>
      <c r="O822" s="30"/>
    </row>
    <row r="823" ht="14.25" customHeight="1">
      <c r="A823" s="28" t="s">
        <v>23</v>
      </c>
      <c r="B823" s="46"/>
      <c r="C823" s="48">
        <v>1.0</v>
      </c>
      <c r="D823" s="1"/>
      <c r="E823" s="26"/>
      <c r="F823" s="46"/>
      <c r="G823" s="48"/>
      <c r="H823" s="1"/>
      <c r="I823" s="24"/>
      <c r="J823" s="46" t="s">
        <v>235</v>
      </c>
      <c r="K823" s="48">
        <v>2.0</v>
      </c>
      <c r="L823" s="32" t="s">
        <v>82</v>
      </c>
      <c r="M823" s="26"/>
      <c r="N823" s="30"/>
      <c r="O823" s="30"/>
    </row>
    <row r="824" ht="14.25" customHeight="1">
      <c r="A824" s="13"/>
      <c r="B824" s="13"/>
      <c r="C824" s="24"/>
      <c r="D824" s="33"/>
      <c r="E824" s="26"/>
      <c r="F824" s="13"/>
      <c r="G824" s="34"/>
      <c r="H824" s="13"/>
      <c r="I824" s="34"/>
      <c r="J824" s="13"/>
      <c r="K824" s="24"/>
      <c r="L824" s="13"/>
      <c r="M824" s="24"/>
      <c r="N824" s="30"/>
      <c r="O824" s="30"/>
    </row>
    <row r="825" ht="14.25" customHeight="1">
      <c r="A825" s="28" t="s">
        <v>24</v>
      </c>
      <c r="B825" s="35" t="s">
        <v>25</v>
      </c>
      <c r="C825" s="58">
        <f>C820*B820 + B821*C821 + B822*C822 + B823*C823 + B824*C824</f>
        <v>925</v>
      </c>
      <c r="D825" s="57" t="s">
        <v>25</v>
      </c>
      <c r="E825" s="55" t="str">
        <f>E820*D820 + D821*#REF! + E821*E822 + D823*E823 + D824*E824</f>
        <v>#VALUE!</v>
      </c>
      <c r="F825" s="35" t="s">
        <v>25</v>
      </c>
      <c r="G825" s="56">
        <f>G820*F820 + F821*G821 + F822*G822 + F823*G823 + F824*G824</f>
        <v>680</v>
      </c>
      <c r="H825" s="35" t="s">
        <v>25</v>
      </c>
      <c r="I825" s="56" t="str">
        <f>I820*H820 + H821*I821 + H822*I822 + H823*I823 + H824*I824</f>
        <v>#VALUE!</v>
      </c>
      <c r="J825" s="35" t="s">
        <v>25</v>
      </c>
      <c r="K825" s="58" t="str">
        <f>K820*J820 + J821*K821 + J822*K822 + J823*K823 + J824*K824</f>
        <v>#VALUE!</v>
      </c>
      <c r="L825" s="35" t="s">
        <v>25</v>
      </c>
      <c r="M825" s="36" t="str">
        <f>M820*L820 + L821*M821 + L822*M822 + L823*M823 + L824*M824</f>
        <v>#VALUE!</v>
      </c>
      <c r="N825" s="30"/>
      <c r="O825" s="30"/>
    </row>
    <row r="826" ht="14.25" customHeight="1">
      <c r="A826" s="37"/>
      <c r="B826" s="39" t="s">
        <v>26</v>
      </c>
      <c r="C826" s="116">
        <f>(B820*C820 + B821*C821 + B822*C822 + B823*C823 + B824*C824)/SUM(C820:C824)</f>
        <v>115.625</v>
      </c>
      <c r="D826" s="31" t="s">
        <v>26</v>
      </c>
      <c r="E826" s="74" t="str">
        <f>(D820*E820 + D821*#REF! + E821*E822 + D823*E823 + D824*E824)/SUM(E820:E824)</f>
        <v>#VALUE!</v>
      </c>
      <c r="F826" s="13" t="s">
        <v>26</v>
      </c>
      <c r="G826" s="117">
        <f>(F820*G820 + F821*G821 + F822*G822 + F823*G823 + F824*G824)/SUM(G820:G824)</f>
        <v>97.14285714</v>
      </c>
      <c r="H826" s="13" t="s">
        <v>26</v>
      </c>
      <c r="I826" s="74" t="str">
        <f>(H820*I820 + H821*I821 + H822*I822 + H823*I823 + H824*I824)/SUM(I820:I824)</f>
        <v>#VALUE!</v>
      </c>
      <c r="J826" s="39" t="s">
        <v>26</v>
      </c>
      <c r="K826" s="116" t="str">
        <f>(J820*K820 + J821*K821 + J822*K822 + J823*K823 + J824*K824)/SUM(K820:K824)</f>
        <v>#VALUE!</v>
      </c>
      <c r="L826" s="13" t="s">
        <v>26</v>
      </c>
      <c r="M826" s="75" t="str">
        <f>(L820*M820 + L821*M821 + L822*M822 + L823*M823 + L824*M824)/SUM(M820:M824)</f>
        <v>#VALUE!</v>
      </c>
      <c r="N826" s="30"/>
      <c r="O826" s="30"/>
    </row>
    <row r="827" ht="14.25" customHeight="1">
      <c r="A827" s="28" t="s">
        <v>27</v>
      </c>
      <c r="B827" s="11" t="s">
        <v>10</v>
      </c>
      <c r="C827" s="12" t="s">
        <v>11</v>
      </c>
      <c r="D827" s="11" t="s">
        <v>10</v>
      </c>
      <c r="E827" s="12" t="s">
        <v>11</v>
      </c>
      <c r="F827" s="11" t="s">
        <v>10</v>
      </c>
      <c r="G827" s="12" t="s">
        <v>11</v>
      </c>
      <c r="H827" s="11" t="s">
        <v>10</v>
      </c>
      <c r="I827" s="12" t="s">
        <v>11</v>
      </c>
      <c r="J827" s="11" t="s">
        <v>10</v>
      </c>
      <c r="K827" s="12" t="s">
        <v>11</v>
      </c>
      <c r="L827" s="11" t="s">
        <v>10</v>
      </c>
      <c r="M827" s="12" t="s">
        <v>11</v>
      </c>
      <c r="N827" s="30"/>
      <c r="O827" s="30"/>
    </row>
    <row r="828" ht="14.25" customHeight="1">
      <c r="A828" s="41" t="s">
        <v>28</v>
      </c>
      <c r="B828" s="20" t="s">
        <v>224</v>
      </c>
      <c r="C828" s="17"/>
      <c r="D828" s="45" t="s">
        <v>91</v>
      </c>
      <c r="E828" s="76" t="s">
        <v>49</v>
      </c>
      <c r="F828" s="68" t="s">
        <v>236</v>
      </c>
      <c r="G828" s="17"/>
      <c r="H828" s="42" t="s">
        <v>91</v>
      </c>
      <c r="I828" s="44" t="s">
        <v>49</v>
      </c>
      <c r="J828" s="68" t="s">
        <v>225</v>
      </c>
      <c r="K828" s="17"/>
      <c r="L828" s="42" t="s">
        <v>91</v>
      </c>
      <c r="M828" s="44" t="s">
        <v>90</v>
      </c>
      <c r="N828" s="30"/>
      <c r="O828" s="30"/>
    </row>
    <row r="829" ht="14.25" customHeight="1">
      <c r="A829" s="28"/>
      <c r="B829" s="46">
        <v>185.0</v>
      </c>
      <c r="C829" s="48">
        <v>5.0</v>
      </c>
      <c r="D829" s="46">
        <v>30.0</v>
      </c>
      <c r="E829" s="26" t="s">
        <v>219</v>
      </c>
      <c r="F829" s="46">
        <v>140.0</v>
      </c>
      <c r="G829" s="48">
        <v>5.0</v>
      </c>
      <c r="H829" s="21">
        <v>30.0</v>
      </c>
      <c r="I829" s="24"/>
      <c r="J829" s="46">
        <v>110.0</v>
      </c>
      <c r="K829" s="48">
        <v>5.0</v>
      </c>
      <c r="L829" s="21">
        <v>40.0</v>
      </c>
      <c r="M829" s="26" t="s">
        <v>219</v>
      </c>
      <c r="N829" s="30"/>
      <c r="O829" s="30"/>
    </row>
    <row r="830" ht="14.25" customHeight="1">
      <c r="A830" s="28" t="s">
        <v>37</v>
      </c>
      <c r="B830" s="46">
        <v>195.0</v>
      </c>
      <c r="C830" s="48">
        <v>5.0</v>
      </c>
      <c r="D830" s="46">
        <v>60.0</v>
      </c>
      <c r="E830" s="26"/>
      <c r="F830" s="46">
        <v>150.0</v>
      </c>
      <c r="G830" s="48">
        <v>5.0</v>
      </c>
      <c r="H830" s="46">
        <v>60.0</v>
      </c>
      <c r="I830" s="54" t="s">
        <v>237</v>
      </c>
      <c r="J830" s="46">
        <v>115.0</v>
      </c>
      <c r="K830" s="48">
        <v>5.0</v>
      </c>
      <c r="L830" s="21">
        <v>30.0</v>
      </c>
      <c r="M830" s="26"/>
      <c r="N830" s="30"/>
      <c r="O830" s="30"/>
    </row>
    <row r="831" ht="14.25" customHeight="1">
      <c r="A831" s="28" t="s">
        <v>39</v>
      </c>
      <c r="B831" s="46">
        <v>200.0</v>
      </c>
      <c r="C831" s="48">
        <v>5.0</v>
      </c>
      <c r="D831" s="21">
        <v>30.0</v>
      </c>
      <c r="E831" s="54" t="s">
        <v>163</v>
      </c>
      <c r="F831" s="46">
        <v>155.0</v>
      </c>
      <c r="G831" s="48">
        <v>5.0</v>
      </c>
      <c r="H831" s="21">
        <v>30.0</v>
      </c>
      <c r="I831" s="24"/>
      <c r="J831" s="46">
        <v>117.5</v>
      </c>
      <c r="K831" s="48">
        <v>5.0</v>
      </c>
      <c r="L831" s="21">
        <v>60.0</v>
      </c>
      <c r="M831" s="26"/>
      <c r="N831" s="30"/>
      <c r="O831" s="30"/>
    </row>
    <row r="832" ht="14.25" customHeight="1">
      <c r="A832" s="28"/>
      <c r="B832" s="46"/>
      <c r="C832" s="48"/>
      <c r="D832" s="21">
        <v>30.0</v>
      </c>
      <c r="E832" s="54"/>
      <c r="F832" s="46"/>
      <c r="G832" s="48"/>
      <c r="H832" s="46">
        <v>60.0</v>
      </c>
      <c r="I832" s="24"/>
      <c r="J832" s="46"/>
      <c r="K832" s="48"/>
      <c r="L832" s="21">
        <v>30.0</v>
      </c>
      <c r="M832" s="26" t="s">
        <v>220</v>
      </c>
      <c r="N832" s="30"/>
      <c r="O832" s="30"/>
    </row>
    <row r="833" ht="14.25" customHeight="1">
      <c r="A833" s="28" t="s">
        <v>41</v>
      </c>
      <c r="B833" s="13"/>
      <c r="C833" s="24"/>
      <c r="D833" s="32"/>
      <c r="E833" s="24"/>
      <c r="F833" s="31"/>
      <c r="G833" s="24"/>
      <c r="H833" s="32"/>
      <c r="I833" s="24"/>
      <c r="J833" s="31"/>
      <c r="K833" s="24"/>
      <c r="L833" s="32"/>
      <c r="M833" s="24"/>
      <c r="N833" s="30"/>
      <c r="O833" s="30"/>
    </row>
    <row r="834" ht="14.25" customHeight="1">
      <c r="A834" s="28" t="s">
        <v>43</v>
      </c>
      <c r="B834" s="13"/>
      <c r="C834" s="34"/>
      <c r="D834" s="32" t="s">
        <v>140</v>
      </c>
      <c r="E834" s="26"/>
      <c r="F834" s="13"/>
      <c r="G834" s="34"/>
      <c r="H834" s="32" t="s">
        <v>140</v>
      </c>
      <c r="I834" s="24"/>
      <c r="J834" s="13"/>
      <c r="K834" s="24"/>
      <c r="L834" s="32" t="s">
        <v>140</v>
      </c>
      <c r="M834" s="26"/>
      <c r="N834" s="30"/>
      <c r="O834" s="30"/>
    </row>
    <row r="835" ht="14.25" customHeight="1">
      <c r="A835" s="28"/>
      <c r="B835" s="35" t="s">
        <v>25</v>
      </c>
      <c r="C835" s="55">
        <f>C829*B829 + B830*C830 + B831*C831 + B832*C832 + B834*C834</f>
        <v>2900</v>
      </c>
      <c r="D835" s="35" t="s">
        <v>25</v>
      </c>
      <c r="E835" s="36" t="str">
        <f>E829*D829 + D830*E830 + D831*E831 + D832*E832 + D834*E834</f>
        <v>#VALUE!</v>
      </c>
      <c r="F835" s="35" t="s">
        <v>25</v>
      </c>
      <c r="G835" s="55">
        <f>G829*F829 + F830*G830 + F831*G831 + F832*G832 + F834*G834</f>
        <v>2225</v>
      </c>
      <c r="H835" s="35" t="s">
        <v>25</v>
      </c>
      <c r="I835" s="36" t="str">
        <f>I829*H829 + H830*I830 + H831*I831 + H832*I832 + H834*I834</f>
        <v>#VALUE!</v>
      </c>
      <c r="J835" s="35" t="s">
        <v>25</v>
      </c>
      <c r="K835" s="36">
        <f>K829*J829 + J830*K830 + J831*K831 + J832*K832 + J834*K834</f>
        <v>1712.5</v>
      </c>
      <c r="L835" s="35" t="s">
        <v>25</v>
      </c>
      <c r="M835" s="36" t="str">
        <f>M829*L829 + L830*M830 + L831*M831 + L832*M832 + L834*M834</f>
        <v>#VALUE!</v>
      </c>
      <c r="N835" s="30"/>
      <c r="O835" s="30"/>
    </row>
    <row r="836" ht="14.25" customHeight="1">
      <c r="A836" s="28" t="s">
        <v>116</v>
      </c>
      <c r="B836" s="39" t="s">
        <v>26</v>
      </c>
      <c r="C836" s="77">
        <f>(B829*C829 + B830*C830 + B831*C831 + B832*C832 + B834*C834)/SUM(C829:C834)</f>
        <v>193.3333333</v>
      </c>
      <c r="D836" s="39" t="s">
        <v>26</v>
      </c>
      <c r="E836" s="40" t="str">
        <f>(D829*E829 + D830*E830 + D831*E831 + D832*E832 + D834*E834)/SUM(E829:E834)</f>
        <v>#VALUE!</v>
      </c>
      <c r="F836" s="39" t="s">
        <v>26</v>
      </c>
      <c r="G836" s="77">
        <f>(F829*G829 + F830*G830 + F831*G831 + F832*G832 + F834*G834)/SUM(G829:G834)</f>
        <v>148.3333333</v>
      </c>
      <c r="H836" s="39" t="s">
        <v>26</v>
      </c>
      <c r="I836" s="40" t="str">
        <f>(H829*I829 + H830*I830 + H831*I831 + H832*I832 + H834*I834)/SUM(I829:I834)</f>
        <v>#VALUE!</v>
      </c>
      <c r="J836" s="39" t="s">
        <v>26</v>
      </c>
      <c r="K836" s="40">
        <f>(J829*K829 + J830*K830 + J831*K831 + J832*K832 + J834*K834)/SUM(K829:K834)</f>
        <v>114.1666667</v>
      </c>
      <c r="L836" s="39" t="s">
        <v>26</v>
      </c>
      <c r="M836" s="40" t="str">
        <f>(L829*M829 + L830*M830 + L831*M831 + L832*M832 + L834*M834)/SUM(M829:M834)</f>
        <v>#VALUE!</v>
      </c>
      <c r="N836" s="30"/>
      <c r="O836" s="30"/>
    </row>
    <row r="837" ht="14.25" customHeight="1">
      <c r="A837" s="28" t="s">
        <v>117</v>
      </c>
      <c r="B837" s="70" t="s">
        <v>226</v>
      </c>
      <c r="C837" s="17"/>
      <c r="D837" s="113" t="s">
        <v>105</v>
      </c>
      <c r="E837" s="50" t="s">
        <v>49</v>
      </c>
      <c r="F837" s="70" t="s">
        <v>213</v>
      </c>
      <c r="G837" s="17"/>
      <c r="H837" s="113"/>
      <c r="I837" s="125"/>
      <c r="J837" s="70" t="s">
        <v>185</v>
      </c>
      <c r="K837" s="17"/>
      <c r="L837" s="113" t="s">
        <v>105</v>
      </c>
      <c r="M837" s="50" t="s">
        <v>49</v>
      </c>
      <c r="N837" s="30"/>
      <c r="O837" s="30"/>
    </row>
    <row r="838" ht="14.25" customHeight="1">
      <c r="A838" s="28" t="s">
        <v>120</v>
      </c>
      <c r="B838" s="28" t="s">
        <v>227</v>
      </c>
      <c r="C838" s="54" t="s">
        <v>238</v>
      </c>
      <c r="D838" s="21">
        <v>60.0</v>
      </c>
      <c r="E838" s="24"/>
      <c r="F838" s="28" t="s">
        <v>214</v>
      </c>
      <c r="G838" s="54">
        <v>8.0</v>
      </c>
      <c r="H838" s="21">
        <v>30.0</v>
      </c>
      <c r="I838" s="24"/>
      <c r="J838" s="28"/>
      <c r="K838" s="54">
        <v>8.0</v>
      </c>
      <c r="L838" s="21">
        <v>60.0</v>
      </c>
      <c r="M838" s="24"/>
      <c r="N838" s="30"/>
      <c r="O838" s="30"/>
    </row>
    <row r="839" ht="14.25" customHeight="1">
      <c r="A839" s="28"/>
      <c r="B839" s="27" t="s">
        <v>228</v>
      </c>
      <c r="C839" s="54" t="s">
        <v>239</v>
      </c>
      <c r="D839" s="46">
        <v>30.0</v>
      </c>
      <c r="E839" s="54" t="s">
        <v>240</v>
      </c>
      <c r="F839" s="27" t="s">
        <v>214</v>
      </c>
      <c r="G839" s="54">
        <v>8.0</v>
      </c>
      <c r="H839" s="46">
        <v>60.0</v>
      </c>
      <c r="I839" s="54" t="s">
        <v>237</v>
      </c>
      <c r="J839" s="27"/>
      <c r="K839" s="54">
        <v>8.0</v>
      </c>
      <c r="L839" s="21">
        <v>40.0</v>
      </c>
      <c r="M839" s="26" t="s">
        <v>221</v>
      </c>
      <c r="N839" s="30"/>
      <c r="O839" s="30"/>
    </row>
    <row r="840" ht="14.25" customHeight="1">
      <c r="A840" s="28"/>
      <c r="B840" s="27"/>
      <c r="C840" s="54"/>
      <c r="D840" s="46">
        <v>60.0</v>
      </c>
      <c r="E840" s="24"/>
      <c r="F840" s="27" t="s">
        <v>215</v>
      </c>
      <c r="G840" s="54">
        <v>8.0</v>
      </c>
      <c r="H840" s="21">
        <v>30.0</v>
      </c>
      <c r="I840" s="24"/>
      <c r="J840" s="27"/>
      <c r="K840" s="54">
        <v>8.0</v>
      </c>
      <c r="L840" s="46">
        <v>20.0</v>
      </c>
      <c r="M840" s="24"/>
      <c r="N840" s="30"/>
      <c r="O840" s="30"/>
    </row>
    <row r="841" ht="14.25" customHeight="1">
      <c r="A841" s="28"/>
      <c r="B841" s="28"/>
      <c r="C841" s="79"/>
      <c r="D841" s="21">
        <v>30.0</v>
      </c>
      <c r="E841" s="24"/>
      <c r="F841" s="28"/>
      <c r="G841" s="34"/>
      <c r="H841" s="21">
        <v>30.0</v>
      </c>
      <c r="I841" s="24"/>
      <c r="J841" s="28"/>
      <c r="K841" s="54"/>
      <c r="L841" s="21">
        <v>30.0</v>
      </c>
      <c r="M841" s="24"/>
      <c r="N841" s="30"/>
      <c r="O841" s="30"/>
    </row>
    <row r="842" ht="14.25" customHeight="1">
      <c r="A842" s="28"/>
      <c r="B842" s="13"/>
      <c r="C842" s="34"/>
      <c r="D842" s="21"/>
      <c r="E842" s="34"/>
      <c r="F842" s="13"/>
      <c r="G842" s="34"/>
      <c r="H842" s="28"/>
      <c r="I842" s="34"/>
      <c r="J842" s="13"/>
      <c r="K842" s="24"/>
      <c r="L842" s="31"/>
      <c r="M842" s="24"/>
      <c r="N842" s="30"/>
      <c r="O842" s="30"/>
    </row>
    <row r="843" ht="14.25" customHeight="1">
      <c r="A843" s="28"/>
      <c r="B843" s="35" t="s">
        <v>25</v>
      </c>
      <c r="C843" s="55" t="str">
        <f>C838*B838 + B839*C839 + B840*C840 + B841*C841 + B842*C842</f>
        <v>#VALUE!</v>
      </c>
      <c r="D843" s="35" t="s">
        <v>25</v>
      </c>
      <c r="E843" s="55" t="str">
        <f>E838*D838 + D839*E839 + D840*E840 + D841*E841 + D842*E842</f>
        <v>#VALUE!</v>
      </c>
      <c r="F843" s="35" t="s">
        <v>25</v>
      </c>
      <c r="G843" s="55" t="str">
        <f>G838*F838 + F839*G839 + F840*G840 + F841*G841 + F842*G842</f>
        <v>#VALUE!</v>
      </c>
      <c r="H843" s="35" t="s">
        <v>25</v>
      </c>
      <c r="I843" s="56" t="str">
        <f>I838*H838 + H839*I839 + H840*I840 + H841*I841 + H842*I842</f>
        <v>#VALUE!</v>
      </c>
      <c r="J843" s="35" t="s">
        <v>25</v>
      </c>
      <c r="K843" s="36">
        <f>K838*J838 + J839*K839 + J840*K840 + J841*K841 + J842*K842</f>
        <v>0</v>
      </c>
      <c r="L843" s="57" t="s">
        <v>25</v>
      </c>
      <c r="M843" s="58" t="str">
        <f>M838*L838 + L839*M839 + L840*M840 + L841*M841 + L842*M842</f>
        <v>#VALUE!</v>
      </c>
      <c r="N843" s="30"/>
      <c r="O843" s="30"/>
    </row>
    <row r="844" ht="14.25" customHeight="1">
      <c r="A844" s="28"/>
      <c r="B844" s="39" t="s">
        <v>26</v>
      </c>
      <c r="C844" s="40" t="str">
        <f>(B838*C838 + B839*C839 + B840*C840 + B841*C841 + B842*C842)/SUM(C838:C842)</f>
        <v>#VALUE!</v>
      </c>
      <c r="D844" s="59" t="s">
        <v>26</v>
      </c>
      <c r="E844" s="40" t="str">
        <f>(D838*E838 + D839*E839 + D840*E840 + D841*E841 + D842*E842)/SUM(E838:E842)</f>
        <v>#VALUE!</v>
      </c>
      <c r="F844" s="31" t="s">
        <v>26</v>
      </c>
      <c r="G844" s="75" t="str">
        <f>(F838*G838 + F839*G839 + F840*G840 + F841*G841 + F842*G842)/SUM(G838:G842)</f>
        <v>#VALUE!</v>
      </c>
      <c r="H844" s="59" t="s">
        <v>26</v>
      </c>
      <c r="I844" s="40" t="str">
        <f>(H838*I838 + H839*I839 + H840*I840 + H841*I841 + H842*I842)/SUM(I838:I842)</f>
        <v>#VALUE!</v>
      </c>
      <c r="J844" s="39" t="s">
        <v>26</v>
      </c>
      <c r="K844" s="40">
        <f>(J838*K838 + J839*K839 + J840*K840 + J841*K841 + J842*K842)/SUM(K838:K842)</f>
        <v>0</v>
      </c>
      <c r="L844" s="59" t="s">
        <v>26</v>
      </c>
      <c r="M844" s="40" t="str">
        <f>(L838*M838 + L839*M839 + L840*M840 + L841*M841 + L842*M842)/SUM(M842)</f>
        <v>#VALUE!</v>
      </c>
      <c r="N844" s="30"/>
      <c r="O844" s="30"/>
    </row>
    <row r="845" ht="14.25" customHeight="1">
      <c r="A845" s="28"/>
      <c r="B845" s="28" t="s">
        <v>91</v>
      </c>
      <c r="C845" s="30" t="s">
        <v>49</v>
      </c>
      <c r="D845" s="28" t="s">
        <v>50</v>
      </c>
      <c r="E845" s="30" t="s">
        <v>49</v>
      </c>
      <c r="F845" s="120" t="s">
        <v>91</v>
      </c>
      <c r="G845" s="121" t="s">
        <v>49</v>
      </c>
      <c r="H845" s="122" t="s">
        <v>33</v>
      </c>
      <c r="I845" s="30"/>
      <c r="J845" s="28" t="s">
        <v>91</v>
      </c>
      <c r="K845" s="60" t="s">
        <v>49</v>
      </c>
      <c r="L845" s="30"/>
      <c r="M845" s="60" t="s">
        <v>49</v>
      </c>
      <c r="N845" s="30"/>
      <c r="O845" s="30"/>
    </row>
    <row r="846" ht="14.25" customHeight="1">
      <c r="A846" s="28"/>
      <c r="B846" s="27">
        <v>20.0</v>
      </c>
      <c r="C846" s="60"/>
      <c r="D846" s="27" t="s">
        <v>241</v>
      </c>
      <c r="E846" s="60"/>
      <c r="F846" s="27">
        <v>60.0</v>
      </c>
      <c r="G846" s="61"/>
      <c r="H846" s="30"/>
      <c r="I846" s="60"/>
      <c r="J846" s="27">
        <v>20.0</v>
      </c>
      <c r="K846" s="60"/>
      <c r="L846" s="62"/>
      <c r="M846" s="60"/>
      <c r="N846" s="30"/>
      <c r="O846" s="30"/>
    </row>
    <row r="847" ht="14.25" customHeight="1">
      <c r="A847" s="28"/>
      <c r="B847" s="27">
        <v>40.0</v>
      </c>
      <c r="C847" s="60"/>
      <c r="D847" s="27" t="s">
        <v>242</v>
      </c>
      <c r="E847" s="60"/>
      <c r="F847" s="69">
        <v>40.0</v>
      </c>
      <c r="G847" s="60"/>
      <c r="H847" s="30"/>
      <c r="I847" s="60"/>
      <c r="J847" s="69">
        <v>40.0</v>
      </c>
      <c r="K847" s="60"/>
      <c r="L847" s="30"/>
      <c r="M847" s="60"/>
      <c r="N847" s="30"/>
      <c r="O847" s="30"/>
    </row>
    <row r="848" ht="14.25" customHeight="1">
      <c r="A848" s="37"/>
      <c r="B848" s="28">
        <v>30.0</v>
      </c>
      <c r="C848" s="60"/>
      <c r="D848" s="28" t="s">
        <v>156</v>
      </c>
      <c r="E848" s="60"/>
      <c r="F848" s="1">
        <v>30.0</v>
      </c>
      <c r="G848" s="60"/>
      <c r="H848" s="30"/>
      <c r="I848" s="60"/>
      <c r="J848" s="1">
        <v>50.0</v>
      </c>
      <c r="K848" s="60"/>
      <c r="L848" s="30"/>
      <c r="M848" s="60"/>
      <c r="N848" s="30"/>
      <c r="O848" s="30"/>
    </row>
    <row r="849" ht="14.25" customHeight="1">
      <c r="A849" s="37"/>
      <c r="B849" s="28">
        <v>30.0</v>
      </c>
      <c r="C849" s="1"/>
      <c r="D849" s="28" t="s">
        <v>243</v>
      </c>
      <c r="E849" s="1"/>
      <c r="F849" s="28">
        <v>20.0</v>
      </c>
      <c r="G849" s="60"/>
      <c r="H849" s="30"/>
      <c r="I849" s="30"/>
      <c r="J849" s="28">
        <v>30.0</v>
      </c>
      <c r="K849" s="60"/>
      <c r="L849" s="30"/>
      <c r="M849" s="60"/>
      <c r="N849" s="30"/>
      <c r="O849" s="30"/>
    </row>
    <row r="850" ht="14.25" customHeight="1">
      <c r="A850" s="37"/>
      <c r="B850" s="28"/>
      <c r="C850" s="1"/>
      <c r="D850" s="28"/>
      <c r="E850" s="1"/>
      <c r="F850" s="28"/>
      <c r="G850" s="60"/>
      <c r="H850" s="30"/>
      <c r="I850" s="30"/>
      <c r="J850" s="28"/>
      <c r="K850" s="60"/>
      <c r="L850" s="30"/>
      <c r="M850" s="60"/>
      <c r="N850" s="30"/>
      <c r="O850" s="30"/>
    </row>
    <row r="851" ht="14.25" customHeight="1">
      <c r="A851" s="37"/>
      <c r="B851" s="28"/>
      <c r="C851" s="1"/>
      <c r="D851" s="28"/>
      <c r="E851" s="1"/>
      <c r="F851" s="28"/>
      <c r="G851" s="60"/>
      <c r="H851" s="30"/>
      <c r="I851" s="30"/>
      <c r="J851" s="37"/>
      <c r="K851" s="60"/>
      <c r="L851" s="30"/>
      <c r="M851" s="60"/>
      <c r="N851" s="30"/>
      <c r="O851" s="30"/>
    </row>
    <row r="852" ht="14.25" customHeight="1">
      <c r="A852" s="64"/>
      <c r="B852" s="65"/>
      <c r="C852" s="66"/>
      <c r="D852" s="65"/>
      <c r="E852" s="66"/>
      <c r="F852" s="64"/>
      <c r="G852" s="67"/>
      <c r="H852" s="66"/>
      <c r="I852" s="66"/>
      <c r="J852" s="64"/>
      <c r="K852" s="67"/>
      <c r="L852" s="66"/>
      <c r="M852" s="67"/>
      <c r="N852" s="30"/>
      <c r="O852" s="30"/>
    </row>
    <row r="853" ht="14.25" customHeight="1">
      <c r="A853" s="30"/>
      <c r="B853" s="30"/>
      <c r="C853" s="30"/>
      <c r="D853" s="23"/>
      <c r="E853" s="30"/>
      <c r="F853" s="30"/>
      <c r="G853" s="30"/>
      <c r="H853" s="23"/>
      <c r="I853" s="30"/>
      <c r="J853" s="30"/>
      <c r="K853" s="30"/>
      <c r="L853" s="30"/>
      <c r="M853" s="30"/>
      <c r="N853" s="30"/>
      <c r="O853" s="30"/>
    </row>
    <row r="854" ht="14.25" customHeight="1">
      <c r="A854" s="2" t="s">
        <v>2</v>
      </c>
      <c r="B854" s="3" t="s">
        <v>3</v>
      </c>
      <c r="C854" s="4">
        <f>M817+2</f>
        <v>45516</v>
      </c>
      <c r="D854" s="5" t="s">
        <v>4</v>
      </c>
      <c r="E854" s="6">
        <f>C854+1</f>
        <v>45517</v>
      </c>
      <c r="F854" s="3" t="s">
        <v>5</v>
      </c>
      <c r="G854" s="6">
        <f>E854+1</f>
        <v>45518</v>
      </c>
      <c r="H854" s="3" t="s">
        <v>6</v>
      </c>
      <c r="I854" s="6">
        <f>G854+1</f>
        <v>45519</v>
      </c>
      <c r="J854" s="3" t="s">
        <v>7</v>
      </c>
      <c r="K854" s="6">
        <f>I854+1</f>
        <v>45520</v>
      </c>
      <c r="L854" s="7" t="s">
        <v>8</v>
      </c>
      <c r="M854" s="8">
        <f>K854+1</f>
        <v>45521</v>
      </c>
      <c r="N854" s="30"/>
      <c r="O854" s="30"/>
    </row>
    <row r="855" ht="14.25" customHeight="1">
      <c r="A855" s="10">
        <f>A818+1</f>
        <v>24</v>
      </c>
      <c r="B855" s="11" t="s">
        <v>10</v>
      </c>
      <c r="C855" s="12" t="s">
        <v>11</v>
      </c>
      <c r="D855" s="11" t="s">
        <v>10</v>
      </c>
      <c r="E855" s="12" t="s">
        <v>11</v>
      </c>
      <c r="F855" s="11" t="s">
        <v>10</v>
      </c>
      <c r="G855" s="12" t="s">
        <v>11</v>
      </c>
      <c r="H855" s="11" t="s">
        <v>10</v>
      </c>
      <c r="I855" s="12" t="s">
        <v>11</v>
      </c>
      <c r="J855" s="11" t="s">
        <v>10</v>
      </c>
      <c r="K855" s="12" t="s">
        <v>11</v>
      </c>
      <c r="L855" s="11" t="s">
        <v>10</v>
      </c>
      <c r="M855" s="12" t="s">
        <v>11</v>
      </c>
      <c r="N855" s="30"/>
      <c r="O855" s="30"/>
    </row>
    <row r="856" ht="14.25" customHeight="1">
      <c r="A856" s="13" t="s">
        <v>12</v>
      </c>
      <c r="B856" s="20" t="s">
        <v>244</v>
      </c>
      <c r="C856" s="17"/>
      <c r="D856" s="18" t="s">
        <v>14</v>
      </c>
      <c r="E856" s="17"/>
      <c r="F856" s="20" t="s">
        <v>145</v>
      </c>
      <c r="G856" s="17"/>
      <c r="H856" s="42" t="s">
        <v>15</v>
      </c>
      <c r="I856" s="17"/>
      <c r="J856" s="20" t="s">
        <v>245</v>
      </c>
      <c r="K856" s="17"/>
      <c r="L856" s="72" t="s">
        <v>14</v>
      </c>
      <c r="M856" s="17"/>
      <c r="N856" s="30"/>
      <c r="O856" s="30"/>
    </row>
    <row r="857" ht="14.25" customHeight="1">
      <c r="A857" s="13"/>
      <c r="B857" s="46">
        <v>100.0</v>
      </c>
      <c r="C857" s="48">
        <v>4.0</v>
      </c>
      <c r="D857" s="1" t="s">
        <v>246</v>
      </c>
      <c r="E857" s="54" t="s">
        <v>222</v>
      </c>
      <c r="F857" s="46">
        <v>95.0</v>
      </c>
      <c r="G857" s="48">
        <v>3.0</v>
      </c>
      <c r="H857" s="27" t="s">
        <v>130</v>
      </c>
      <c r="I857" s="26"/>
      <c r="J857" s="46">
        <v>50.0</v>
      </c>
      <c r="K857" s="48">
        <v>6.0</v>
      </c>
      <c r="L857" s="27" t="s">
        <v>231</v>
      </c>
      <c r="M857" s="24"/>
      <c r="N857" s="30"/>
      <c r="O857" s="30"/>
    </row>
    <row r="858" ht="14.25" customHeight="1">
      <c r="A858" s="28" t="s">
        <v>20</v>
      </c>
      <c r="B858" s="46">
        <v>110.0</v>
      </c>
      <c r="C858" s="48">
        <v>2.0</v>
      </c>
      <c r="D858" s="1"/>
      <c r="E858" s="26"/>
      <c r="F858" s="46">
        <v>97.5</v>
      </c>
      <c r="G858" s="48">
        <v>2.0</v>
      </c>
      <c r="H858" s="28" t="s">
        <v>247</v>
      </c>
      <c r="I858" s="54" t="s">
        <v>222</v>
      </c>
      <c r="J858" s="46">
        <v>55.0</v>
      </c>
      <c r="K858" s="48">
        <v>6.0</v>
      </c>
      <c r="L858" s="28" t="s">
        <v>233</v>
      </c>
      <c r="M858" s="24"/>
      <c r="N858" s="30"/>
      <c r="O858" s="30"/>
    </row>
    <row r="859" ht="14.25" customHeight="1">
      <c r="A859" s="29" t="s">
        <v>22</v>
      </c>
      <c r="B859" s="46">
        <v>120.0</v>
      </c>
      <c r="C859" s="48">
        <v>2.0</v>
      </c>
      <c r="D859" s="1"/>
      <c r="E859" s="26"/>
      <c r="F859" s="46">
        <v>100.0</v>
      </c>
      <c r="G859" s="48">
        <v>2.0</v>
      </c>
      <c r="H859" s="28"/>
      <c r="I859" s="26"/>
      <c r="J859" s="46">
        <v>60.0</v>
      </c>
      <c r="K859" s="48">
        <v>6.0</v>
      </c>
      <c r="L859" s="23"/>
      <c r="M859" s="24"/>
      <c r="N859" s="30"/>
      <c r="O859" s="30"/>
    </row>
    <row r="860" ht="14.25" customHeight="1">
      <c r="A860" s="28" t="s">
        <v>23</v>
      </c>
      <c r="B860" s="46"/>
      <c r="C860" s="48"/>
      <c r="D860" s="1"/>
      <c r="E860" s="26"/>
      <c r="F860" s="46"/>
      <c r="G860" s="48"/>
      <c r="H860" s="1"/>
      <c r="I860" s="24"/>
      <c r="J860" s="46"/>
      <c r="K860" s="48"/>
      <c r="L860" s="32" t="s">
        <v>82</v>
      </c>
      <c r="M860" s="26"/>
      <c r="N860" s="30"/>
      <c r="O860" s="30"/>
    </row>
    <row r="861" ht="14.25" customHeight="1">
      <c r="A861" s="13"/>
      <c r="B861" s="13"/>
      <c r="C861" s="24"/>
      <c r="D861" s="33"/>
      <c r="E861" s="26"/>
      <c r="F861" s="13"/>
      <c r="G861" s="34"/>
      <c r="H861" s="13"/>
      <c r="I861" s="34"/>
      <c r="J861" s="13"/>
      <c r="K861" s="24"/>
      <c r="L861" s="13"/>
      <c r="M861" s="24"/>
      <c r="N861" s="30"/>
      <c r="O861" s="30"/>
    </row>
    <row r="862" ht="14.25" customHeight="1">
      <c r="A862" s="28" t="s">
        <v>24</v>
      </c>
      <c r="B862" s="35" t="s">
        <v>25</v>
      </c>
      <c r="C862" s="58">
        <f>C857*B857 + B858*C858 + B859*C859 + B860*C860 + B861*C861</f>
        <v>860</v>
      </c>
      <c r="D862" s="57" t="s">
        <v>25</v>
      </c>
      <c r="E862" s="55" t="str">
        <f>E857*D857 + D858*#REF! + E858*E859 + D860*E860 + D861*E861</f>
        <v>#VALUE!</v>
      </c>
      <c r="F862" s="35" t="s">
        <v>25</v>
      </c>
      <c r="G862" s="56">
        <f>G857*F857 + F858*G858 + F859*G859 + F860*G860 + F861*G861</f>
        <v>680</v>
      </c>
      <c r="H862" s="35" t="s">
        <v>25</v>
      </c>
      <c r="I862" s="56" t="str">
        <f>I857*H857 + H858*I858 + H859*I859 + H860*I860 + H861*I861</f>
        <v>#VALUE!</v>
      </c>
      <c r="J862" s="35" t="s">
        <v>25</v>
      </c>
      <c r="K862" s="58">
        <f>K857*J857 + J858*K858 + J859*K859 + J860*K860 + J861*K861</f>
        <v>990</v>
      </c>
      <c r="L862" s="35" t="s">
        <v>25</v>
      </c>
      <c r="M862" s="36" t="str">
        <f>M857*L857 + L858*M858 + L859*M859 + L860*M860 + L861*M861</f>
        <v>#VALUE!</v>
      </c>
      <c r="N862" s="30"/>
      <c r="O862" s="30"/>
    </row>
    <row r="863" ht="14.25" customHeight="1">
      <c r="A863" s="37"/>
      <c r="B863" s="39" t="s">
        <v>26</v>
      </c>
      <c r="C863" s="116">
        <f>(B857*C857 + B858*C858 + B859*C859 + B860*C860 + B861*C861)/SUM(C857:C861)</f>
        <v>107.5</v>
      </c>
      <c r="D863" s="31" t="s">
        <v>26</v>
      </c>
      <c r="E863" s="74" t="str">
        <f>(D857*E857 + D858*#REF! + E858*E859 + D860*E860 + D861*E861)/SUM(E857:E861)</f>
        <v>#VALUE!</v>
      </c>
      <c r="F863" s="13" t="s">
        <v>26</v>
      </c>
      <c r="G863" s="117">
        <f>(F857*G857 + F858*G858 + F859*G859 + F860*G860 + F861*G861)/SUM(G857:G861)</f>
        <v>97.14285714</v>
      </c>
      <c r="H863" s="13" t="s">
        <v>26</v>
      </c>
      <c r="I863" s="74" t="str">
        <f>(H857*I857 + H858*I858 + H859*I859 + H860*I860 + H861*I861)/SUM(I857:I861)</f>
        <v>#VALUE!</v>
      </c>
      <c r="J863" s="39" t="s">
        <v>26</v>
      </c>
      <c r="K863" s="116">
        <f>(J857*K857 + J858*K858 + J859*K859 + J860*K860 + J861*K861)/SUM(K857:K861)</f>
        <v>55</v>
      </c>
      <c r="L863" s="13" t="s">
        <v>26</v>
      </c>
      <c r="M863" s="75" t="str">
        <f>(L857*M857 + L858*M858 + L859*M859 + L860*M860 + L861*M861)/SUM(M857:M861)</f>
        <v>#VALUE!</v>
      </c>
      <c r="N863" s="30"/>
      <c r="O863" s="30"/>
    </row>
    <row r="864" ht="14.25" customHeight="1">
      <c r="A864" s="28" t="s">
        <v>27</v>
      </c>
      <c r="B864" s="11" t="s">
        <v>10</v>
      </c>
      <c r="C864" s="12" t="s">
        <v>11</v>
      </c>
      <c r="D864" s="11" t="s">
        <v>10</v>
      </c>
      <c r="E864" s="12" t="s">
        <v>11</v>
      </c>
      <c r="F864" s="11" t="s">
        <v>10</v>
      </c>
      <c r="G864" s="12" t="s">
        <v>11</v>
      </c>
      <c r="H864" s="11" t="s">
        <v>10</v>
      </c>
      <c r="I864" s="12" t="s">
        <v>11</v>
      </c>
      <c r="J864" s="11" t="s">
        <v>10</v>
      </c>
      <c r="K864" s="12" t="s">
        <v>11</v>
      </c>
      <c r="L864" s="11" t="s">
        <v>10</v>
      </c>
      <c r="M864" s="12" t="s">
        <v>11</v>
      </c>
      <c r="N864" s="30"/>
      <c r="O864" s="30"/>
    </row>
    <row r="865" ht="14.25" customHeight="1">
      <c r="A865" s="41" t="s">
        <v>28</v>
      </c>
      <c r="B865" s="20" t="s">
        <v>224</v>
      </c>
      <c r="C865" s="17"/>
      <c r="D865" s="45" t="s">
        <v>91</v>
      </c>
      <c r="E865" s="76" t="s">
        <v>49</v>
      </c>
      <c r="F865" s="68" t="s">
        <v>248</v>
      </c>
      <c r="G865" s="17"/>
      <c r="H865" s="42" t="s">
        <v>91</v>
      </c>
      <c r="I865" s="44" t="s">
        <v>49</v>
      </c>
      <c r="J865" s="68" t="s">
        <v>225</v>
      </c>
      <c r="K865" s="17"/>
      <c r="L865" s="42" t="s">
        <v>91</v>
      </c>
      <c r="M865" s="44" t="s">
        <v>90</v>
      </c>
      <c r="N865" s="30"/>
      <c r="O865" s="30"/>
    </row>
    <row r="866" ht="14.25" customHeight="1">
      <c r="A866" s="28"/>
      <c r="B866" s="46">
        <v>190.0</v>
      </c>
      <c r="C866" s="48">
        <v>5.0</v>
      </c>
      <c r="D866" s="46"/>
      <c r="E866" s="26"/>
      <c r="F866" s="46">
        <v>100.0</v>
      </c>
      <c r="G866" s="48">
        <v>4.0</v>
      </c>
      <c r="H866" s="21">
        <v>30.0</v>
      </c>
      <c r="I866" s="24"/>
      <c r="J866" s="46">
        <v>110.0</v>
      </c>
      <c r="K866" s="48">
        <v>5.0</v>
      </c>
      <c r="L866" s="46">
        <v>30.0</v>
      </c>
      <c r="M866" s="26"/>
      <c r="N866" s="30"/>
      <c r="O866" s="30"/>
    </row>
    <row r="867" ht="14.25" customHeight="1">
      <c r="A867" s="28" t="s">
        <v>37</v>
      </c>
      <c r="B867" s="46">
        <v>200.0</v>
      </c>
      <c r="C867" s="48">
        <v>5.0</v>
      </c>
      <c r="D867" s="46"/>
      <c r="E867" s="26"/>
      <c r="F867" s="46">
        <v>110.0</v>
      </c>
      <c r="G867" s="48">
        <v>4.0</v>
      </c>
      <c r="H867" s="46">
        <v>60.0</v>
      </c>
      <c r="I867" s="54" t="s">
        <v>237</v>
      </c>
      <c r="J867" s="46">
        <v>115.0</v>
      </c>
      <c r="K867" s="48">
        <v>5.0</v>
      </c>
      <c r="L867" s="46">
        <v>40.0</v>
      </c>
      <c r="M867" s="26"/>
      <c r="N867" s="30"/>
      <c r="O867" s="30"/>
    </row>
    <row r="868" ht="14.25" customHeight="1">
      <c r="A868" s="28" t="s">
        <v>39</v>
      </c>
      <c r="B868" s="46">
        <v>205.0</v>
      </c>
      <c r="C868" s="48">
        <v>5.0</v>
      </c>
      <c r="D868" s="21"/>
      <c r="E868" s="54"/>
      <c r="F868" s="46">
        <v>120.0</v>
      </c>
      <c r="G868" s="48">
        <v>4.0</v>
      </c>
      <c r="H868" s="21">
        <v>30.0</v>
      </c>
      <c r="I868" s="24"/>
      <c r="J868" s="46">
        <v>117.5</v>
      </c>
      <c r="K868" s="48">
        <v>5.0</v>
      </c>
      <c r="L868" s="21">
        <v>60.0</v>
      </c>
      <c r="M868" s="26"/>
      <c r="N868" s="30"/>
      <c r="O868" s="30"/>
    </row>
    <row r="869" ht="14.25" customHeight="1">
      <c r="A869" s="28"/>
      <c r="B869" s="46"/>
      <c r="C869" s="48"/>
      <c r="D869" s="21"/>
      <c r="E869" s="54"/>
      <c r="F869" s="46"/>
      <c r="G869" s="48"/>
      <c r="H869" s="46">
        <v>60.0</v>
      </c>
      <c r="I869" s="24"/>
      <c r="J869" s="46"/>
      <c r="K869" s="48"/>
      <c r="L869" s="46">
        <v>20.0</v>
      </c>
      <c r="M869" s="26"/>
      <c r="N869" s="30"/>
      <c r="O869" s="30"/>
    </row>
    <row r="870" ht="14.25" customHeight="1">
      <c r="A870" s="28" t="s">
        <v>41</v>
      </c>
      <c r="B870" s="13"/>
      <c r="C870" s="24"/>
      <c r="D870" s="32"/>
      <c r="E870" s="24"/>
      <c r="F870" s="31"/>
      <c r="G870" s="24"/>
      <c r="H870" s="32"/>
      <c r="I870" s="24"/>
      <c r="J870" s="31"/>
      <c r="K870" s="24"/>
      <c r="L870" s="32"/>
      <c r="M870" s="24"/>
      <c r="N870" s="30"/>
      <c r="O870" s="30"/>
    </row>
    <row r="871" ht="14.25" customHeight="1">
      <c r="A871" s="28" t="s">
        <v>43</v>
      </c>
      <c r="B871" s="13"/>
      <c r="C871" s="34"/>
      <c r="D871" s="32" t="s">
        <v>140</v>
      </c>
      <c r="E871" s="26"/>
      <c r="F871" s="13"/>
      <c r="G871" s="34"/>
      <c r="H871" s="32" t="s">
        <v>140</v>
      </c>
      <c r="I871" s="24"/>
      <c r="J871" s="13"/>
      <c r="K871" s="24"/>
      <c r="L871" s="32" t="s">
        <v>140</v>
      </c>
      <c r="M871" s="26"/>
      <c r="N871" s="30"/>
      <c r="O871" s="30"/>
    </row>
    <row r="872" ht="14.25" customHeight="1">
      <c r="A872" s="28"/>
      <c r="B872" s="35" t="s">
        <v>25</v>
      </c>
      <c r="C872" s="55">
        <f>C866*B866 + B867*C867 + B868*C868 + B869*C869 + B871*C871</f>
        <v>2975</v>
      </c>
      <c r="D872" s="35" t="s">
        <v>25</v>
      </c>
      <c r="E872" s="36" t="str">
        <f>E866*D866 + D867*E867 + D868*E868 + D869*E869 + D871*E871</f>
        <v>#VALUE!</v>
      </c>
      <c r="F872" s="35" t="s">
        <v>25</v>
      </c>
      <c r="G872" s="55">
        <f>G866*F866 + F867*G867 + F868*G868 + F869*G869 + F871*G871</f>
        <v>1320</v>
      </c>
      <c r="H872" s="35" t="s">
        <v>25</v>
      </c>
      <c r="I872" s="36" t="str">
        <f>I866*H866 + H867*I867 + H868*I868 + H869*I869 + H871*I871</f>
        <v>#VALUE!</v>
      </c>
      <c r="J872" s="35" t="s">
        <v>25</v>
      </c>
      <c r="K872" s="36">
        <f>K866*J866 + J867*K867 + J868*K868 + J869*K869 + J871*K871</f>
        <v>1712.5</v>
      </c>
      <c r="L872" s="35" t="s">
        <v>25</v>
      </c>
      <c r="M872" s="36" t="str">
        <f>M866*L866 + L867*M867 + L868*M868 + L869*M869 + L871*M871</f>
        <v>#VALUE!</v>
      </c>
      <c r="N872" s="30"/>
      <c r="O872" s="30"/>
    </row>
    <row r="873" ht="14.25" customHeight="1">
      <c r="A873" s="28" t="s">
        <v>116</v>
      </c>
      <c r="B873" s="39" t="s">
        <v>26</v>
      </c>
      <c r="C873" s="77">
        <f>(B866*C866 + B867*C867 + B868*C868 + B869*C869 + B871*C871)/SUM(C866:C871)</f>
        <v>198.3333333</v>
      </c>
      <c r="D873" s="39" t="s">
        <v>26</v>
      </c>
      <c r="E873" s="40" t="str">
        <f>(D866*E866 + D867*E867 + D868*E868 + D869*E869 + D871*E871)/SUM(E866:E871)</f>
        <v>#VALUE!</v>
      </c>
      <c r="F873" s="39" t="s">
        <v>26</v>
      </c>
      <c r="G873" s="77">
        <f>(F866*G866 + F867*G867 + F868*G868 + F869*G869 + F871*G871)/SUM(G866:G871)</f>
        <v>110</v>
      </c>
      <c r="H873" s="39" t="s">
        <v>26</v>
      </c>
      <c r="I873" s="40" t="str">
        <f>(H866*I866 + H867*I867 + H868*I868 + H869*I869 + H871*I871)/SUM(I866:I871)</f>
        <v>#VALUE!</v>
      </c>
      <c r="J873" s="39" t="s">
        <v>26</v>
      </c>
      <c r="K873" s="40">
        <f>(J866*K866 + J867*K867 + J868*K868 + J869*K869 + J871*K871)/SUM(K866:K871)</f>
        <v>114.1666667</v>
      </c>
      <c r="L873" s="39" t="s">
        <v>26</v>
      </c>
      <c r="M873" s="40" t="str">
        <f>(L866*M866 + L867*M867 + L868*M868 + L869*M869 + L871*M871)/SUM(M866:M871)</f>
        <v>#VALUE!</v>
      </c>
      <c r="N873" s="30"/>
      <c r="O873" s="30"/>
    </row>
    <row r="874" ht="14.25" customHeight="1">
      <c r="A874" s="28" t="s">
        <v>117</v>
      </c>
      <c r="B874" s="70" t="s">
        <v>226</v>
      </c>
      <c r="C874" s="17"/>
      <c r="D874" s="113" t="s">
        <v>105</v>
      </c>
      <c r="E874" s="50" t="s">
        <v>49</v>
      </c>
      <c r="F874" s="70" t="s">
        <v>213</v>
      </c>
      <c r="G874" s="17"/>
      <c r="H874" s="113"/>
      <c r="I874" s="125"/>
      <c r="J874" s="70" t="s">
        <v>249</v>
      </c>
      <c r="K874" s="17"/>
      <c r="L874" s="113" t="s">
        <v>105</v>
      </c>
      <c r="M874" s="50" t="s">
        <v>49</v>
      </c>
      <c r="N874" s="30"/>
      <c r="O874" s="30"/>
    </row>
    <row r="875" ht="14.25" customHeight="1">
      <c r="A875" s="28" t="s">
        <v>120</v>
      </c>
      <c r="B875" s="28" t="s">
        <v>227</v>
      </c>
      <c r="C875" s="54" t="s">
        <v>238</v>
      </c>
      <c r="D875" s="46" t="s">
        <v>250</v>
      </c>
      <c r="E875" s="24"/>
      <c r="F875" s="28" t="s">
        <v>214</v>
      </c>
      <c r="G875" s="54">
        <v>8.0</v>
      </c>
      <c r="H875" s="21">
        <v>30.0</v>
      </c>
      <c r="I875" s="24"/>
      <c r="J875" s="28"/>
      <c r="K875" s="54">
        <v>8.0</v>
      </c>
      <c r="L875" s="21"/>
      <c r="M875" s="24"/>
      <c r="N875" s="30"/>
      <c r="O875" s="30"/>
    </row>
    <row r="876" ht="14.25" customHeight="1">
      <c r="A876" s="28"/>
      <c r="B876" s="27" t="s">
        <v>228</v>
      </c>
      <c r="C876" s="54" t="s">
        <v>239</v>
      </c>
      <c r="D876" s="46" t="s">
        <v>251</v>
      </c>
      <c r="E876" s="54"/>
      <c r="F876" s="27" t="s">
        <v>214</v>
      </c>
      <c r="G876" s="54">
        <v>8.0</v>
      </c>
      <c r="H876" s="46">
        <v>60.0</v>
      </c>
      <c r="I876" s="54" t="s">
        <v>237</v>
      </c>
      <c r="J876" s="27"/>
      <c r="K876" s="54">
        <v>8.0</v>
      </c>
      <c r="L876" s="21"/>
      <c r="M876" s="26"/>
      <c r="N876" s="30"/>
      <c r="O876" s="30"/>
    </row>
    <row r="877" ht="14.25" customHeight="1">
      <c r="A877" s="28"/>
      <c r="B877" s="27"/>
      <c r="C877" s="54"/>
      <c r="D877" s="46" t="s">
        <v>252</v>
      </c>
      <c r="E877" s="24"/>
      <c r="F877" s="27" t="s">
        <v>215</v>
      </c>
      <c r="G877" s="54">
        <v>8.0</v>
      </c>
      <c r="H877" s="21">
        <v>30.0</v>
      </c>
      <c r="I877" s="24"/>
      <c r="J877" s="27"/>
      <c r="K877" s="54">
        <v>8.0</v>
      </c>
      <c r="L877" s="46"/>
      <c r="M877" s="24"/>
      <c r="N877" s="30"/>
      <c r="O877" s="30"/>
    </row>
    <row r="878" ht="14.25" customHeight="1">
      <c r="A878" s="28"/>
      <c r="B878" s="28"/>
      <c r="C878" s="79"/>
      <c r="D878" s="21"/>
      <c r="E878" s="24"/>
      <c r="F878" s="28"/>
      <c r="G878" s="34"/>
      <c r="H878" s="21"/>
      <c r="I878" s="24"/>
      <c r="J878" s="28"/>
      <c r="K878" s="54"/>
      <c r="L878" s="21"/>
      <c r="M878" s="24"/>
      <c r="N878" s="30"/>
      <c r="O878" s="30"/>
    </row>
    <row r="879" ht="14.25" customHeight="1">
      <c r="A879" s="28"/>
      <c r="B879" s="13"/>
      <c r="C879" s="34"/>
      <c r="D879" s="21"/>
      <c r="E879" s="34"/>
      <c r="F879" s="13"/>
      <c r="G879" s="34"/>
      <c r="H879" s="28"/>
      <c r="I879" s="34"/>
      <c r="J879" s="13"/>
      <c r="K879" s="24"/>
      <c r="L879" s="31"/>
      <c r="M879" s="24"/>
      <c r="N879" s="30"/>
      <c r="O879" s="30"/>
    </row>
    <row r="880" ht="14.25" customHeight="1">
      <c r="A880" s="28"/>
      <c r="B880" s="35" t="s">
        <v>25</v>
      </c>
      <c r="C880" s="55" t="str">
        <f>C875*B875 + B876*C876 + B877*C877 + B878*C878 + B879*C879</f>
        <v>#VALUE!</v>
      </c>
      <c r="D880" s="35" t="s">
        <v>25</v>
      </c>
      <c r="E880" s="55" t="str">
        <f>E875*D875 + D876*E876 + D877*E877 + D878*E878 + D879*E879</f>
        <v>#VALUE!</v>
      </c>
      <c r="F880" s="35" t="s">
        <v>25</v>
      </c>
      <c r="G880" s="55" t="str">
        <f>G875*F875 + F876*G876 + F877*G877 + F878*G878 + F879*G879</f>
        <v>#VALUE!</v>
      </c>
      <c r="H880" s="35" t="s">
        <v>25</v>
      </c>
      <c r="I880" s="56" t="str">
        <f>I875*H875 + H876*I876 + H877*I877 + H878*I878 + H879*I879</f>
        <v>#VALUE!</v>
      </c>
      <c r="J880" s="35" t="s">
        <v>25</v>
      </c>
      <c r="K880" s="36">
        <f>K875*J875 + J876*K876 + J877*K877 + J878*K878 + J879*K879</f>
        <v>0</v>
      </c>
      <c r="L880" s="57" t="s">
        <v>25</v>
      </c>
      <c r="M880" s="58">
        <f>M875*L875 + L876*M876 + L877*M877 + L878*M878 + L879*M879</f>
        <v>0</v>
      </c>
      <c r="N880" s="30"/>
      <c r="O880" s="30"/>
    </row>
    <row r="881" ht="14.25" customHeight="1">
      <c r="A881" s="28"/>
      <c r="B881" s="39" t="s">
        <v>26</v>
      </c>
      <c r="C881" s="40" t="str">
        <f>(B875*C875 + B876*C876 + B877*C877 + B878*C878 + B879*C879)/SUM(C875:C879)</f>
        <v>#VALUE!</v>
      </c>
      <c r="D881" s="59" t="s">
        <v>26</v>
      </c>
      <c r="E881" s="40" t="str">
        <f>(D875*E875 + D876*E876 + D877*E877 + D878*E878 + D879*E879)/SUM(E875:E879)</f>
        <v>#VALUE!</v>
      </c>
      <c r="F881" s="31" t="s">
        <v>26</v>
      </c>
      <c r="G881" s="75" t="str">
        <f>(F875*G875 + F876*G876 + F877*G877 + F878*G878 + F879*G879)/SUM(G875:G879)</f>
        <v>#VALUE!</v>
      </c>
      <c r="H881" s="59" t="s">
        <v>26</v>
      </c>
      <c r="I881" s="40" t="str">
        <f>(H875*I875 + H876*I876 + H877*I877 + H878*I878 + H879*I879)/SUM(I875:I879)</f>
        <v>#VALUE!</v>
      </c>
      <c r="J881" s="39" t="s">
        <v>26</v>
      </c>
      <c r="K881" s="40">
        <f>(J875*K875 + J876*K876 + J877*K877 + J878*K878 + J879*K879)/SUM(K875:K879)</f>
        <v>0</v>
      </c>
      <c r="L881" s="59" t="s">
        <v>26</v>
      </c>
      <c r="M881" s="40" t="str">
        <f>(L875*M875 + L876*M876 + L877*M877 + L878*M878 + L879*M879)/SUM(M879)</f>
        <v>#DIV/0!</v>
      </c>
      <c r="N881" s="30"/>
      <c r="O881" s="30"/>
    </row>
    <row r="882" ht="14.25" customHeight="1">
      <c r="A882" s="28"/>
      <c r="B882" s="28" t="s">
        <v>91</v>
      </c>
      <c r="C882" s="30" t="s">
        <v>49</v>
      </c>
      <c r="D882" s="28" t="s">
        <v>50</v>
      </c>
      <c r="E882" s="30" t="s">
        <v>49</v>
      </c>
      <c r="F882" s="120" t="s">
        <v>91</v>
      </c>
      <c r="G882" s="121" t="s">
        <v>49</v>
      </c>
      <c r="H882" s="122" t="s">
        <v>33</v>
      </c>
      <c r="I882" s="30"/>
      <c r="J882" s="28" t="s">
        <v>91</v>
      </c>
      <c r="K882" s="60" t="s">
        <v>49</v>
      </c>
      <c r="L882" s="30"/>
      <c r="M882" s="60" t="s">
        <v>49</v>
      </c>
      <c r="N882" s="30"/>
      <c r="O882" s="30"/>
    </row>
    <row r="883" ht="14.25" customHeight="1">
      <c r="A883" s="28"/>
      <c r="B883" s="27">
        <v>30.0</v>
      </c>
      <c r="C883" s="60"/>
      <c r="D883" s="27" t="s">
        <v>241</v>
      </c>
      <c r="E883" s="60"/>
      <c r="F883" s="27">
        <v>30.0</v>
      </c>
      <c r="G883" s="61"/>
      <c r="H883" s="30"/>
      <c r="I883" s="60"/>
      <c r="J883" s="27">
        <v>40.0</v>
      </c>
      <c r="K883" s="60"/>
      <c r="L883" s="62"/>
      <c r="M883" s="60"/>
      <c r="N883" s="30"/>
      <c r="O883" s="30"/>
    </row>
    <row r="884" ht="14.25" customHeight="1">
      <c r="A884" s="28"/>
      <c r="B884" s="27">
        <v>30.0</v>
      </c>
      <c r="C884" s="60"/>
      <c r="D884" s="27" t="s">
        <v>242</v>
      </c>
      <c r="E884" s="60"/>
      <c r="F884" s="69">
        <v>20.0</v>
      </c>
      <c r="G884" s="60"/>
      <c r="H884" s="30"/>
      <c r="I884" s="60"/>
      <c r="J884" s="69">
        <v>50.0</v>
      </c>
      <c r="K884" s="60"/>
      <c r="L884" s="30"/>
      <c r="M884" s="60"/>
      <c r="N884" s="30"/>
      <c r="O884" s="30"/>
    </row>
    <row r="885" ht="14.25" customHeight="1">
      <c r="A885" s="37"/>
      <c r="B885" s="28">
        <v>40.0</v>
      </c>
      <c r="C885" s="60"/>
      <c r="D885" s="28" t="s">
        <v>156</v>
      </c>
      <c r="E885" s="60"/>
      <c r="F885" s="1">
        <v>40.0</v>
      </c>
      <c r="G885" s="60"/>
      <c r="H885" s="30"/>
      <c r="I885" s="60"/>
      <c r="J885" s="1">
        <v>20.0</v>
      </c>
      <c r="K885" s="60"/>
      <c r="L885" s="30"/>
      <c r="M885" s="60"/>
      <c r="N885" s="30"/>
      <c r="O885" s="30"/>
    </row>
    <row r="886" ht="14.25" customHeight="1">
      <c r="A886" s="37"/>
      <c r="B886" s="28">
        <v>20.0</v>
      </c>
      <c r="C886" s="1"/>
      <c r="D886" s="28" t="s">
        <v>243</v>
      </c>
      <c r="E886" s="1"/>
      <c r="F886" s="28">
        <v>60.0</v>
      </c>
      <c r="G886" s="60"/>
      <c r="H886" s="30"/>
      <c r="I886" s="30"/>
      <c r="J886" s="28">
        <v>30.0</v>
      </c>
      <c r="K886" s="60"/>
      <c r="L886" s="30"/>
      <c r="M886" s="60"/>
      <c r="N886" s="30"/>
      <c r="O886" s="30"/>
    </row>
    <row r="887" ht="14.25" customHeight="1">
      <c r="A887" s="37"/>
      <c r="B887" s="28"/>
      <c r="C887" s="1"/>
      <c r="D887" s="28"/>
      <c r="E887" s="1"/>
      <c r="F887" s="28"/>
      <c r="G887" s="60"/>
      <c r="H887" s="30"/>
      <c r="I887" s="30"/>
      <c r="J887" s="28"/>
      <c r="K887" s="60"/>
      <c r="L887" s="30"/>
      <c r="M887" s="60"/>
      <c r="N887" s="30"/>
      <c r="O887" s="30"/>
    </row>
    <row r="888" ht="14.25" customHeight="1">
      <c r="A888" s="37"/>
      <c r="B888" s="28"/>
      <c r="C888" s="1"/>
      <c r="D888" s="28"/>
      <c r="E888" s="1"/>
      <c r="F888" s="28"/>
      <c r="G888" s="60"/>
      <c r="H888" s="30"/>
      <c r="I888" s="30"/>
      <c r="J888" s="37"/>
      <c r="K888" s="60"/>
      <c r="L888" s="30"/>
      <c r="M888" s="60"/>
      <c r="N888" s="30"/>
      <c r="O888" s="30"/>
    </row>
    <row r="889" ht="14.25" customHeight="1">
      <c r="A889" s="64"/>
      <c r="B889" s="65"/>
      <c r="C889" s="66"/>
      <c r="D889" s="65"/>
      <c r="E889" s="66"/>
      <c r="F889" s="64"/>
      <c r="G889" s="67"/>
      <c r="H889" s="66"/>
      <c r="I889" s="66"/>
      <c r="J889" s="64"/>
      <c r="K889" s="67"/>
      <c r="L889" s="66"/>
      <c r="M889" s="67"/>
      <c r="N889" s="30"/>
      <c r="O889" s="30"/>
    </row>
    <row r="890" ht="14.25" customHeight="1">
      <c r="A890" s="30"/>
      <c r="B890" s="30"/>
      <c r="C890" s="30"/>
      <c r="D890" s="23"/>
      <c r="E890" s="30"/>
      <c r="F890" s="30"/>
      <c r="G890" s="30"/>
      <c r="H890" s="23"/>
      <c r="I890" s="30"/>
      <c r="J890" s="30"/>
      <c r="K890" s="30"/>
      <c r="L890" s="30"/>
      <c r="M890" s="30"/>
      <c r="N890" s="30"/>
      <c r="O890" s="30"/>
    </row>
    <row r="891" ht="14.25" customHeight="1">
      <c r="A891" s="2" t="s">
        <v>2</v>
      </c>
      <c r="B891" s="3" t="s">
        <v>3</v>
      </c>
      <c r="C891" s="4">
        <f>M854+2</f>
        <v>45523</v>
      </c>
      <c r="D891" s="5" t="s">
        <v>4</v>
      </c>
      <c r="E891" s="6">
        <f>C891+1</f>
        <v>45524</v>
      </c>
      <c r="F891" s="3" t="s">
        <v>5</v>
      </c>
      <c r="G891" s="6">
        <f>E891+1</f>
        <v>45525</v>
      </c>
      <c r="H891" s="3" t="s">
        <v>6</v>
      </c>
      <c r="I891" s="6">
        <f>G891+1</f>
        <v>45526</v>
      </c>
      <c r="J891" s="3" t="s">
        <v>7</v>
      </c>
      <c r="K891" s="6">
        <f>I891+1</f>
        <v>45527</v>
      </c>
      <c r="L891" s="7" t="s">
        <v>8</v>
      </c>
      <c r="M891" s="8">
        <f>K891+1</f>
        <v>45528</v>
      </c>
      <c r="N891" s="30"/>
      <c r="O891" s="30"/>
    </row>
    <row r="892" ht="14.25" customHeight="1">
      <c r="A892" s="10">
        <f>A855+1</f>
        <v>25</v>
      </c>
      <c r="B892" s="11" t="s">
        <v>10</v>
      </c>
      <c r="C892" s="12" t="s">
        <v>11</v>
      </c>
      <c r="D892" s="11" t="s">
        <v>10</v>
      </c>
      <c r="E892" s="12" t="s">
        <v>11</v>
      </c>
      <c r="F892" s="11" t="s">
        <v>10</v>
      </c>
      <c r="G892" s="12" t="s">
        <v>11</v>
      </c>
      <c r="H892" s="11" t="s">
        <v>10</v>
      </c>
      <c r="I892" s="12" t="s">
        <v>11</v>
      </c>
      <c r="J892" s="11" t="s">
        <v>10</v>
      </c>
      <c r="K892" s="12" t="s">
        <v>11</v>
      </c>
      <c r="L892" s="11" t="s">
        <v>10</v>
      </c>
      <c r="M892" s="12" t="s">
        <v>11</v>
      </c>
      <c r="N892" s="30"/>
      <c r="O892" s="30"/>
    </row>
    <row r="893" ht="14.25" customHeight="1">
      <c r="A893" s="13" t="s">
        <v>12</v>
      </c>
      <c r="B893" s="20" t="s">
        <v>244</v>
      </c>
      <c r="C893" s="17"/>
      <c r="D893" s="18" t="s">
        <v>14</v>
      </c>
      <c r="E893" s="17"/>
      <c r="F893" s="20" t="s">
        <v>145</v>
      </c>
      <c r="G893" s="17"/>
      <c r="H893" s="42" t="s">
        <v>15</v>
      </c>
      <c r="I893" s="17"/>
      <c r="J893" s="20" t="s">
        <v>245</v>
      </c>
      <c r="K893" s="17"/>
      <c r="L893" s="72" t="s">
        <v>14</v>
      </c>
      <c r="M893" s="17"/>
      <c r="N893" s="30"/>
      <c r="O893" s="30"/>
    </row>
    <row r="894" ht="14.25" customHeight="1">
      <c r="A894" s="13"/>
      <c r="B894" s="46">
        <v>125.0</v>
      </c>
      <c r="C894" s="48">
        <v>4.0</v>
      </c>
      <c r="D894" s="1" t="s">
        <v>246</v>
      </c>
      <c r="E894" s="54" t="s">
        <v>222</v>
      </c>
      <c r="F894" s="46">
        <v>100.0</v>
      </c>
      <c r="G894" s="48">
        <v>3.0</v>
      </c>
      <c r="H894" s="27" t="s">
        <v>130</v>
      </c>
      <c r="I894" s="26"/>
      <c r="J894" s="46">
        <v>50.0</v>
      </c>
      <c r="K894" s="48">
        <v>6.0</v>
      </c>
      <c r="L894" s="27" t="s">
        <v>231</v>
      </c>
      <c r="M894" s="24"/>
      <c r="N894" s="30"/>
      <c r="O894" s="30"/>
    </row>
    <row r="895" ht="14.25" customHeight="1">
      <c r="A895" s="28" t="s">
        <v>20</v>
      </c>
      <c r="B895" s="46">
        <v>130.0</v>
      </c>
      <c r="C895" s="48">
        <v>2.0</v>
      </c>
      <c r="D895" s="1"/>
      <c r="E895" s="26"/>
      <c r="F895" s="46">
        <v>105.0</v>
      </c>
      <c r="G895" s="48">
        <v>2.0</v>
      </c>
      <c r="H895" s="28" t="s">
        <v>247</v>
      </c>
      <c r="I895" s="54" t="s">
        <v>222</v>
      </c>
      <c r="J895" s="46">
        <v>55.0</v>
      </c>
      <c r="K895" s="48">
        <v>6.0</v>
      </c>
      <c r="L895" s="28" t="s">
        <v>233</v>
      </c>
      <c r="M895" s="24"/>
      <c r="N895" s="30"/>
      <c r="O895" s="30"/>
    </row>
    <row r="896" ht="14.25" customHeight="1">
      <c r="A896" s="29" t="s">
        <v>22</v>
      </c>
      <c r="B896" s="46">
        <v>140.0</v>
      </c>
      <c r="C896" s="48">
        <v>2.0</v>
      </c>
      <c r="D896" s="1"/>
      <c r="E896" s="26"/>
      <c r="F896" s="46" t="s">
        <v>235</v>
      </c>
      <c r="G896" s="48">
        <v>1.0</v>
      </c>
      <c r="H896" s="28"/>
      <c r="I896" s="26"/>
      <c r="J896" s="46">
        <v>60.0</v>
      </c>
      <c r="K896" s="48">
        <v>6.0</v>
      </c>
      <c r="L896" s="23"/>
      <c r="M896" s="24"/>
      <c r="N896" s="30"/>
      <c r="O896" s="30"/>
    </row>
    <row r="897" ht="14.25" customHeight="1">
      <c r="A897" s="28" t="s">
        <v>23</v>
      </c>
      <c r="B897" s="46"/>
      <c r="C897" s="48"/>
      <c r="D897" s="1"/>
      <c r="E897" s="26"/>
      <c r="F897" s="46"/>
      <c r="G897" s="48"/>
      <c r="H897" s="1"/>
      <c r="I897" s="24"/>
      <c r="J897" s="46"/>
      <c r="K897" s="48"/>
      <c r="L897" s="32" t="s">
        <v>82</v>
      </c>
      <c r="M897" s="26"/>
      <c r="N897" s="30"/>
      <c r="O897" s="30"/>
    </row>
    <row r="898" ht="14.25" customHeight="1">
      <c r="A898" s="13"/>
      <c r="B898" s="13"/>
      <c r="C898" s="24"/>
      <c r="D898" s="33"/>
      <c r="E898" s="26"/>
      <c r="F898" s="13"/>
      <c r="G898" s="34"/>
      <c r="H898" s="13"/>
      <c r="I898" s="34"/>
      <c r="J898" s="13"/>
      <c r="K898" s="24"/>
      <c r="L898" s="13"/>
      <c r="M898" s="24"/>
      <c r="N898" s="30"/>
      <c r="O898" s="30"/>
    </row>
    <row r="899" ht="14.25" customHeight="1">
      <c r="A899" s="28" t="s">
        <v>24</v>
      </c>
      <c r="B899" s="35" t="s">
        <v>25</v>
      </c>
      <c r="C899" s="58">
        <f>C894*B894 + B895*C895 + B896*C896 + B897*C897 + B898*C898</f>
        <v>1040</v>
      </c>
      <c r="D899" s="57" t="s">
        <v>25</v>
      </c>
      <c r="E899" s="55" t="str">
        <f>E894*D894 + D895*#REF! + E895*E896 + D897*E897 + D898*E898</f>
        <v>#VALUE!</v>
      </c>
      <c r="F899" s="35" t="s">
        <v>25</v>
      </c>
      <c r="G899" s="56" t="str">
        <f>G894*F894 + F895*G895 + F896*G896 + F897*G897 + F898*G898</f>
        <v>#VALUE!</v>
      </c>
      <c r="H899" s="35" t="s">
        <v>25</v>
      </c>
      <c r="I899" s="56" t="str">
        <f>I894*H894 + H895*I895 + H896*I896 + H897*I897 + H898*I898</f>
        <v>#VALUE!</v>
      </c>
      <c r="J899" s="35" t="s">
        <v>25</v>
      </c>
      <c r="K899" s="58">
        <f>K894*J894 + J895*K895 + J896*K896 + J897*K897 + J898*K898</f>
        <v>990</v>
      </c>
      <c r="L899" s="35" t="s">
        <v>25</v>
      </c>
      <c r="M899" s="36" t="str">
        <f>M894*L894 + L895*M895 + L896*M896 + L897*M897 + L898*M898</f>
        <v>#VALUE!</v>
      </c>
      <c r="N899" s="30"/>
      <c r="O899" s="30"/>
    </row>
    <row r="900" ht="14.25" customHeight="1">
      <c r="A900" s="37"/>
      <c r="B900" s="39" t="s">
        <v>26</v>
      </c>
      <c r="C900" s="116">
        <f>(B894*C894 + B895*C895 + B896*C896 + B897*C897 + B898*C898)/SUM(C894:C898)</f>
        <v>130</v>
      </c>
      <c r="D900" s="31" t="s">
        <v>26</v>
      </c>
      <c r="E900" s="74" t="str">
        <f>(D894*E894 + D895*#REF! + E895*E896 + D897*E897 + D898*E898)/SUM(E894:E898)</f>
        <v>#VALUE!</v>
      </c>
      <c r="F900" s="13" t="s">
        <v>26</v>
      </c>
      <c r="G900" s="117" t="str">
        <f>(F894*G894 + F895*G895 + F896*G896 + F897*G897 + F898*G898)/SUM(G894:G898)</f>
        <v>#VALUE!</v>
      </c>
      <c r="H900" s="13" t="s">
        <v>26</v>
      </c>
      <c r="I900" s="74" t="str">
        <f>(H894*I894 + H895*I895 + H896*I896 + H897*I897 + H898*I898)/SUM(I894:I898)</f>
        <v>#VALUE!</v>
      </c>
      <c r="J900" s="39" t="s">
        <v>26</v>
      </c>
      <c r="K900" s="116">
        <f>(J894*K894 + J895*K895 + J896*K896 + J897*K897 + J898*K898)/SUM(K894:K898)</f>
        <v>55</v>
      </c>
      <c r="L900" s="13" t="s">
        <v>26</v>
      </c>
      <c r="M900" s="75" t="str">
        <f>(L894*M894 + L895*M895 + L896*M896 + L897*M897 + L898*M898)/SUM(M894:M898)</f>
        <v>#VALUE!</v>
      </c>
      <c r="N900" s="30"/>
      <c r="O900" s="30"/>
    </row>
    <row r="901" ht="14.25" customHeight="1">
      <c r="A901" s="28" t="s">
        <v>27</v>
      </c>
      <c r="B901" s="11" t="s">
        <v>10</v>
      </c>
      <c r="C901" s="12" t="s">
        <v>11</v>
      </c>
      <c r="D901" s="11" t="s">
        <v>10</v>
      </c>
      <c r="E901" s="12" t="s">
        <v>11</v>
      </c>
      <c r="F901" s="11" t="s">
        <v>10</v>
      </c>
      <c r="G901" s="12" t="s">
        <v>11</v>
      </c>
      <c r="H901" s="11" t="s">
        <v>10</v>
      </c>
      <c r="I901" s="12" t="s">
        <v>11</v>
      </c>
      <c r="J901" s="11" t="s">
        <v>10</v>
      </c>
      <c r="K901" s="12" t="s">
        <v>11</v>
      </c>
      <c r="L901" s="11" t="s">
        <v>10</v>
      </c>
      <c r="M901" s="12" t="s">
        <v>11</v>
      </c>
      <c r="N901" s="30"/>
      <c r="O901" s="30"/>
    </row>
    <row r="902" ht="14.25" customHeight="1">
      <c r="A902" s="41" t="s">
        <v>28</v>
      </c>
      <c r="B902" s="20" t="s">
        <v>224</v>
      </c>
      <c r="C902" s="17"/>
      <c r="D902" s="45" t="s">
        <v>91</v>
      </c>
      <c r="E902" s="76" t="s">
        <v>49</v>
      </c>
      <c r="F902" s="68" t="s">
        <v>248</v>
      </c>
      <c r="G902" s="17"/>
      <c r="H902" s="42" t="s">
        <v>91</v>
      </c>
      <c r="I902" s="44" t="s">
        <v>49</v>
      </c>
      <c r="J902" s="68"/>
      <c r="K902" s="17"/>
      <c r="L902" s="42" t="s">
        <v>91</v>
      </c>
      <c r="M902" s="44" t="s">
        <v>90</v>
      </c>
      <c r="N902" s="30"/>
      <c r="O902" s="30"/>
    </row>
    <row r="903" ht="14.25" customHeight="1">
      <c r="A903" s="28"/>
      <c r="B903" s="46">
        <v>200.0</v>
      </c>
      <c r="C903" s="48">
        <v>5.0</v>
      </c>
      <c r="D903" s="46"/>
      <c r="E903" s="26"/>
      <c r="F903" s="46">
        <v>100.0</v>
      </c>
      <c r="G903" s="48">
        <v>4.0</v>
      </c>
      <c r="H903" s="21">
        <v>30.0</v>
      </c>
      <c r="I903" s="24"/>
      <c r="J903" s="46"/>
      <c r="K903" s="48"/>
      <c r="L903" s="46">
        <v>30.0</v>
      </c>
      <c r="M903" s="26"/>
      <c r="N903" s="30"/>
      <c r="O903" s="30"/>
    </row>
    <row r="904" ht="14.25" customHeight="1">
      <c r="A904" s="28" t="s">
        <v>37</v>
      </c>
      <c r="B904" s="46">
        <v>210.0</v>
      </c>
      <c r="C904" s="48">
        <v>5.0</v>
      </c>
      <c r="D904" s="46"/>
      <c r="E904" s="26"/>
      <c r="F904" s="46">
        <v>110.0</v>
      </c>
      <c r="G904" s="48">
        <v>4.0</v>
      </c>
      <c r="H904" s="46">
        <v>60.0</v>
      </c>
      <c r="I904" s="54" t="s">
        <v>253</v>
      </c>
      <c r="J904" s="46"/>
      <c r="K904" s="48"/>
      <c r="L904" s="46">
        <v>40.0</v>
      </c>
      <c r="M904" s="26"/>
      <c r="N904" s="30"/>
      <c r="O904" s="30"/>
    </row>
    <row r="905" ht="14.25" customHeight="1">
      <c r="A905" s="28" t="s">
        <v>39</v>
      </c>
      <c r="B905" s="46">
        <v>215.0</v>
      </c>
      <c r="C905" s="48">
        <v>5.0</v>
      </c>
      <c r="D905" s="21"/>
      <c r="E905" s="54"/>
      <c r="F905" s="46"/>
      <c r="G905" s="48"/>
      <c r="H905" s="21">
        <v>30.0</v>
      </c>
      <c r="I905" s="24"/>
      <c r="J905" s="46"/>
      <c r="K905" s="48"/>
      <c r="L905" s="21"/>
      <c r="M905" s="26"/>
      <c r="N905" s="30"/>
      <c r="O905" s="30"/>
    </row>
    <row r="906" ht="14.25" customHeight="1">
      <c r="A906" s="28"/>
      <c r="B906" s="46"/>
      <c r="C906" s="48"/>
      <c r="D906" s="21"/>
      <c r="E906" s="54"/>
      <c r="F906" s="46"/>
      <c r="G906" s="48"/>
      <c r="H906" s="46"/>
      <c r="I906" s="24"/>
      <c r="J906" s="46"/>
      <c r="K906" s="48"/>
      <c r="L906" s="46"/>
      <c r="M906" s="26"/>
      <c r="N906" s="30"/>
      <c r="O906" s="30"/>
    </row>
    <row r="907" ht="14.25" customHeight="1">
      <c r="A907" s="28" t="s">
        <v>41</v>
      </c>
      <c r="B907" s="13"/>
      <c r="C907" s="24"/>
      <c r="D907" s="32"/>
      <c r="E907" s="24"/>
      <c r="F907" s="31"/>
      <c r="G907" s="24"/>
      <c r="H907" s="32"/>
      <c r="I907" s="24"/>
      <c r="J907" s="31"/>
      <c r="K907" s="24"/>
      <c r="L907" s="32"/>
      <c r="M907" s="24"/>
      <c r="N907" s="30"/>
      <c r="O907" s="30"/>
    </row>
    <row r="908" ht="14.25" customHeight="1">
      <c r="A908" s="28" t="s">
        <v>43</v>
      </c>
      <c r="B908" s="13"/>
      <c r="C908" s="34"/>
      <c r="D908" s="32" t="s">
        <v>140</v>
      </c>
      <c r="E908" s="26"/>
      <c r="F908" s="13"/>
      <c r="G908" s="34"/>
      <c r="H908" s="32" t="s">
        <v>140</v>
      </c>
      <c r="I908" s="24"/>
      <c r="J908" s="13"/>
      <c r="K908" s="24"/>
      <c r="L908" s="32" t="s">
        <v>140</v>
      </c>
      <c r="M908" s="26"/>
      <c r="N908" s="30"/>
      <c r="O908" s="30"/>
    </row>
    <row r="909" ht="14.25" customHeight="1">
      <c r="A909" s="28"/>
      <c r="B909" s="35" t="s">
        <v>25</v>
      </c>
      <c r="C909" s="55">
        <f>C903*B903 + B904*C904 + B905*C905 + B906*C906 + B908*C908</f>
        <v>3125</v>
      </c>
      <c r="D909" s="35" t="s">
        <v>25</v>
      </c>
      <c r="E909" s="36" t="str">
        <f>E903*D903 + D904*E904 + D905*E905 + D906*E906 + D908*E908</f>
        <v>#VALUE!</v>
      </c>
      <c r="F909" s="35" t="s">
        <v>25</v>
      </c>
      <c r="G909" s="55">
        <f>G903*F903 + F904*G904 + F905*G905 + F906*G906 + F908*G908</f>
        <v>840</v>
      </c>
      <c r="H909" s="35" t="s">
        <v>25</v>
      </c>
      <c r="I909" s="36" t="str">
        <f>I903*H903 + H904*I904 + H905*I905 + H906*I906 + H908*I908</f>
        <v>#VALUE!</v>
      </c>
      <c r="J909" s="35" t="s">
        <v>25</v>
      </c>
      <c r="K909" s="36">
        <f>K903*J903 + J904*K904 + J905*K905 + J906*K906 + J908*K908</f>
        <v>0</v>
      </c>
      <c r="L909" s="35" t="s">
        <v>25</v>
      </c>
      <c r="M909" s="36" t="str">
        <f>M903*L903 + L904*M904 + L905*M905 + L906*M906 + L908*M908</f>
        <v>#VALUE!</v>
      </c>
      <c r="N909" s="30"/>
      <c r="O909" s="30"/>
    </row>
    <row r="910" ht="14.25" customHeight="1">
      <c r="A910" s="28" t="s">
        <v>116</v>
      </c>
      <c r="B910" s="39" t="s">
        <v>26</v>
      </c>
      <c r="C910" s="77">
        <f>(B903*C903 + B904*C904 + B905*C905 + B906*C906 + B908*C908)/SUM(C903:C908)</f>
        <v>208.3333333</v>
      </c>
      <c r="D910" s="39" t="s">
        <v>26</v>
      </c>
      <c r="E910" s="40" t="str">
        <f>(D903*E903 + D904*E904 + D905*E905 + D906*E906 + D908*E908)/SUM(E903:E908)</f>
        <v>#VALUE!</v>
      </c>
      <c r="F910" s="39" t="s">
        <v>26</v>
      </c>
      <c r="G910" s="77">
        <f>(F903*G903 + F904*G904 + F905*G905 + F906*G906 + F908*G908)/SUM(G903:G908)</f>
        <v>105</v>
      </c>
      <c r="H910" s="39" t="s">
        <v>26</v>
      </c>
      <c r="I910" s="40" t="str">
        <f>(H903*I903 + H904*I904 + H905*I905 + H906*I906 + H908*I908)/SUM(I903:I908)</f>
        <v>#VALUE!</v>
      </c>
      <c r="J910" s="39" t="s">
        <v>26</v>
      </c>
      <c r="K910" s="40" t="str">
        <f>(J903*K903 + J904*K904 + J905*K905 + J906*K906 + J908*K908)/SUM(K903:K908)</f>
        <v>#DIV/0!</v>
      </c>
      <c r="L910" s="39" t="s">
        <v>26</v>
      </c>
      <c r="M910" s="40" t="str">
        <f>(L903*M903 + L904*M904 + L905*M905 + L906*M906 + L908*M908)/SUM(M903:M908)</f>
        <v>#VALUE!</v>
      </c>
      <c r="N910" s="30"/>
      <c r="O910" s="30"/>
    </row>
    <row r="911" ht="14.25" customHeight="1">
      <c r="A911" s="28" t="s">
        <v>117</v>
      </c>
      <c r="B911" s="70" t="s">
        <v>226</v>
      </c>
      <c r="C911" s="17"/>
      <c r="D911" s="113" t="s">
        <v>105</v>
      </c>
      <c r="E911" s="50" t="s">
        <v>49</v>
      </c>
      <c r="F911" s="70"/>
      <c r="G911" s="17"/>
      <c r="H911" s="113"/>
      <c r="I911" s="125"/>
      <c r="J911" s="70" t="s">
        <v>249</v>
      </c>
      <c r="K911" s="17"/>
      <c r="L911" s="113" t="s">
        <v>105</v>
      </c>
      <c r="M911" s="50" t="s">
        <v>49</v>
      </c>
      <c r="N911" s="30"/>
      <c r="O911" s="30"/>
    </row>
    <row r="912" ht="14.25" customHeight="1">
      <c r="A912" s="28" t="s">
        <v>120</v>
      </c>
      <c r="B912" s="28" t="s">
        <v>227</v>
      </c>
      <c r="C912" s="54" t="s">
        <v>238</v>
      </c>
      <c r="D912" s="46" t="s">
        <v>250</v>
      </c>
      <c r="E912" s="24"/>
      <c r="F912" s="28"/>
      <c r="G912" s="54"/>
      <c r="H912" s="21"/>
      <c r="I912" s="24"/>
      <c r="J912" s="28"/>
      <c r="K912" s="54">
        <v>8.0</v>
      </c>
      <c r="L912" s="21"/>
      <c r="M912" s="24"/>
      <c r="N912" s="30"/>
      <c r="O912" s="30"/>
    </row>
    <row r="913" ht="14.25" customHeight="1">
      <c r="A913" s="28"/>
      <c r="B913" s="27" t="s">
        <v>228</v>
      </c>
      <c r="C913" s="54" t="s">
        <v>239</v>
      </c>
      <c r="D913" s="46" t="s">
        <v>251</v>
      </c>
      <c r="E913" s="54"/>
      <c r="F913" s="27"/>
      <c r="G913" s="54"/>
      <c r="H913" s="46"/>
      <c r="I913" s="54"/>
      <c r="J913" s="27"/>
      <c r="K913" s="54">
        <v>8.0</v>
      </c>
      <c r="L913" s="21"/>
      <c r="M913" s="26"/>
      <c r="N913" s="30"/>
      <c r="O913" s="30"/>
    </row>
    <row r="914" ht="14.25" customHeight="1">
      <c r="A914" s="28"/>
      <c r="B914" s="27"/>
      <c r="C914" s="54"/>
      <c r="D914" s="46" t="s">
        <v>252</v>
      </c>
      <c r="E914" s="24"/>
      <c r="F914" s="27"/>
      <c r="G914" s="54"/>
      <c r="H914" s="21"/>
      <c r="I914" s="24"/>
      <c r="J914" s="27"/>
      <c r="K914" s="54">
        <v>8.0</v>
      </c>
      <c r="L914" s="46"/>
      <c r="M914" s="24"/>
      <c r="N914" s="30"/>
      <c r="O914" s="30"/>
    </row>
    <row r="915" ht="14.25" customHeight="1">
      <c r="A915" s="28"/>
      <c r="B915" s="28"/>
      <c r="C915" s="79"/>
      <c r="D915" s="21"/>
      <c r="E915" s="24"/>
      <c r="F915" s="28"/>
      <c r="G915" s="34"/>
      <c r="H915" s="21"/>
      <c r="I915" s="24"/>
      <c r="J915" s="28"/>
      <c r="K915" s="54"/>
      <c r="L915" s="21"/>
      <c r="M915" s="24"/>
      <c r="N915" s="30"/>
      <c r="O915" s="30"/>
    </row>
    <row r="916" ht="14.25" customHeight="1">
      <c r="A916" s="28"/>
      <c r="B916" s="13"/>
      <c r="C916" s="34"/>
      <c r="D916" s="21"/>
      <c r="E916" s="34"/>
      <c r="F916" s="13"/>
      <c r="G916" s="34"/>
      <c r="H916" s="28"/>
      <c r="I916" s="34"/>
      <c r="J916" s="13"/>
      <c r="K916" s="24"/>
      <c r="L916" s="31"/>
      <c r="M916" s="24"/>
      <c r="N916" s="30"/>
      <c r="O916" s="30"/>
    </row>
    <row r="917" ht="14.25" customHeight="1">
      <c r="A917" s="28"/>
      <c r="B917" s="35" t="s">
        <v>25</v>
      </c>
      <c r="C917" s="55" t="str">
        <f>C912*B912 + B913*C913 + B914*C914 + B915*C915 + B916*C916</f>
        <v>#VALUE!</v>
      </c>
      <c r="D917" s="35" t="s">
        <v>25</v>
      </c>
      <c r="E917" s="55" t="str">
        <f>E912*D912 + D913*E913 + D914*E914 + D915*E915 + D916*E916</f>
        <v>#VALUE!</v>
      </c>
      <c r="F917" s="35" t="s">
        <v>25</v>
      </c>
      <c r="G917" s="55">
        <f>G912*F912 + F913*G913 + F914*G914 + F915*G915 + F916*G916</f>
        <v>0</v>
      </c>
      <c r="H917" s="35" t="s">
        <v>25</v>
      </c>
      <c r="I917" s="56">
        <f>I912*H912 + H913*I913 + H914*I914 + H915*I915 + H916*I916</f>
        <v>0</v>
      </c>
      <c r="J917" s="35" t="s">
        <v>25</v>
      </c>
      <c r="K917" s="36">
        <f>K912*J912 + J913*K913 + J914*K914 + J915*K915 + J916*K916</f>
        <v>0</v>
      </c>
      <c r="L917" s="57" t="s">
        <v>25</v>
      </c>
      <c r="M917" s="58">
        <f>M912*L912 + L913*M913 + L914*M914 + L915*M915 + L916*M916</f>
        <v>0</v>
      </c>
      <c r="N917" s="30"/>
      <c r="O917" s="30"/>
    </row>
    <row r="918" ht="14.25" customHeight="1">
      <c r="A918" s="28"/>
      <c r="B918" s="39" t="s">
        <v>26</v>
      </c>
      <c r="C918" s="40" t="str">
        <f>(B912*C912 + B913*C913 + B914*C914 + B915*C915 + B916*C916)/SUM(C912:C916)</f>
        <v>#VALUE!</v>
      </c>
      <c r="D918" s="59" t="s">
        <v>26</v>
      </c>
      <c r="E918" s="40" t="str">
        <f>(D912*E912 + D913*E913 + D914*E914 + D915*E915 + D916*E916)/SUM(E912:E916)</f>
        <v>#VALUE!</v>
      </c>
      <c r="F918" s="31" t="s">
        <v>26</v>
      </c>
      <c r="G918" s="75" t="str">
        <f>(F912*G912 + F913*G913 + F914*G914 + F915*G915 + F916*G916)/SUM(G912:G916)</f>
        <v>#DIV/0!</v>
      </c>
      <c r="H918" s="59" t="s">
        <v>26</v>
      </c>
      <c r="I918" s="40" t="str">
        <f>(H912*I912 + H913*I913 + H914*I914 + H915*I915 + H916*I916)/SUM(I912:I916)</f>
        <v>#DIV/0!</v>
      </c>
      <c r="J918" s="39" t="s">
        <v>26</v>
      </c>
      <c r="K918" s="40">
        <f>(J912*K912 + J913*K913 + J914*K914 + J915*K915 + J916*K916)/SUM(K912:K916)</f>
        <v>0</v>
      </c>
      <c r="L918" s="59" t="s">
        <v>26</v>
      </c>
      <c r="M918" s="40" t="str">
        <f>(L912*M912 + L913*M913 + L914*M914 + L915*M915 + L916*M916)/SUM(M916)</f>
        <v>#DIV/0!</v>
      </c>
      <c r="N918" s="30"/>
      <c r="O918" s="30"/>
    </row>
    <row r="919" ht="14.25" customHeight="1">
      <c r="A919" s="28"/>
      <c r="B919" s="28" t="s">
        <v>91</v>
      </c>
      <c r="C919" s="30" t="s">
        <v>49</v>
      </c>
      <c r="D919" s="28" t="s">
        <v>50</v>
      </c>
      <c r="E919" s="30" t="s">
        <v>49</v>
      </c>
      <c r="F919" s="120" t="s">
        <v>91</v>
      </c>
      <c r="G919" s="121" t="s">
        <v>49</v>
      </c>
      <c r="H919" s="122" t="s">
        <v>33</v>
      </c>
      <c r="I919" s="30"/>
      <c r="J919" s="28" t="s">
        <v>91</v>
      </c>
      <c r="K919" s="60" t="s">
        <v>49</v>
      </c>
      <c r="L919" s="30"/>
      <c r="M919" s="60" t="s">
        <v>49</v>
      </c>
      <c r="N919" s="30"/>
      <c r="O919" s="30"/>
    </row>
    <row r="920" ht="14.25" customHeight="1">
      <c r="A920" s="28"/>
      <c r="B920" s="27">
        <v>30.0</v>
      </c>
      <c r="C920" s="60"/>
      <c r="D920" s="27" t="s">
        <v>241</v>
      </c>
      <c r="E920" s="60"/>
      <c r="F920" s="27">
        <v>30.0</v>
      </c>
      <c r="G920" s="61"/>
      <c r="H920" s="30"/>
      <c r="I920" s="60"/>
      <c r="J920" s="27"/>
      <c r="K920" s="60"/>
      <c r="L920" s="62"/>
      <c r="M920" s="60"/>
      <c r="N920" s="30"/>
      <c r="O920" s="30"/>
    </row>
    <row r="921" ht="14.25" customHeight="1">
      <c r="A921" s="28"/>
      <c r="B921" s="27">
        <v>30.0</v>
      </c>
      <c r="C921" s="60"/>
      <c r="D921" s="28" t="s">
        <v>243</v>
      </c>
      <c r="E921" s="60"/>
      <c r="F921" s="69">
        <v>20.0</v>
      </c>
      <c r="G921" s="60"/>
      <c r="H921" s="30"/>
      <c r="I921" s="60"/>
      <c r="J921" s="69"/>
      <c r="K921" s="60"/>
      <c r="L921" s="30"/>
      <c r="M921" s="60"/>
      <c r="N921" s="30"/>
      <c r="O921" s="30"/>
    </row>
    <row r="922" ht="14.25" customHeight="1">
      <c r="A922" s="37"/>
      <c r="B922" s="28">
        <v>40.0</v>
      </c>
      <c r="C922" s="60"/>
      <c r="D922" s="28"/>
      <c r="E922" s="60"/>
      <c r="F922" s="1">
        <v>40.0</v>
      </c>
      <c r="G922" s="60"/>
      <c r="H922" s="30"/>
      <c r="I922" s="60"/>
      <c r="J922" s="1"/>
      <c r="K922" s="60"/>
      <c r="L922" s="30"/>
      <c r="M922" s="60"/>
      <c r="N922" s="30"/>
      <c r="O922" s="30"/>
    </row>
    <row r="923" ht="14.25" customHeight="1">
      <c r="A923" s="37"/>
      <c r="B923" s="28">
        <v>20.0</v>
      </c>
      <c r="C923" s="1"/>
      <c r="D923" s="28"/>
      <c r="E923" s="1"/>
      <c r="F923" s="28"/>
      <c r="G923" s="60"/>
      <c r="H923" s="30"/>
      <c r="I923" s="30"/>
      <c r="J923" s="28"/>
      <c r="K923" s="60"/>
      <c r="L923" s="30"/>
      <c r="M923" s="60"/>
      <c r="N923" s="30"/>
      <c r="O923" s="30"/>
    </row>
    <row r="924" ht="14.25" customHeight="1">
      <c r="A924" s="37"/>
      <c r="B924" s="28"/>
      <c r="C924" s="1"/>
      <c r="D924" s="28"/>
      <c r="E924" s="1"/>
      <c r="F924" s="28"/>
      <c r="G924" s="60"/>
      <c r="H924" s="30"/>
      <c r="I924" s="30"/>
      <c r="J924" s="28"/>
      <c r="K924" s="60"/>
      <c r="L924" s="30"/>
      <c r="M924" s="60"/>
      <c r="N924" s="30"/>
      <c r="O924" s="30"/>
    </row>
    <row r="925" ht="14.25" customHeight="1">
      <c r="A925" s="37"/>
      <c r="B925" s="28"/>
      <c r="C925" s="1"/>
      <c r="D925" s="28"/>
      <c r="E925" s="1"/>
      <c r="F925" s="28"/>
      <c r="G925" s="60"/>
      <c r="H925" s="30"/>
      <c r="I925" s="30"/>
      <c r="J925" s="37"/>
      <c r="K925" s="60"/>
      <c r="L925" s="30"/>
      <c r="M925" s="60"/>
      <c r="N925" s="30"/>
      <c r="O925" s="30"/>
    </row>
    <row r="926" ht="14.25" customHeight="1">
      <c r="A926" s="64"/>
      <c r="B926" s="65"/>
      <c r="C926" s="66"/>
      <c r="D926" s="65"/>
      <c r="E926" s="66"/>
      <c r="F926" s="64"/>
      <c r="G926" s="67"/>
      <c r="H926" s="66"/>
      <c r="I926" s="66"/>
      <c r="J926" s="64"/>
      <c r="K926" s="67"/>
      <c r="L926" s="66"/>
      <c r="M926" s="67"/>
      <c r="N926" s="30"/>
      <c r="O926" s="30"/>
    </row>
    <row r="927" ht="14.25" customHeight="1">
      <c r="A927" s="30"/>
      <c r="B927" s="30"/>
      <c r="C927" s="30"/>
      <c r="D927" s="23"/>
      <c r="E927" s="30"/>
      <c r="F927" s="30"/>
      <c r="G927" s="30"/>
      <c r="H927" s="23"/>
      <c r="I927" s="30"/>
      <c r="J927" s="30"/>
      <c r="K927" s="30"/>
      <c r="L927" s="30"/>
      <c r="M927" s="30"/>
      <c r="N927" s="30"/>
      <c r="O927" s="30"/>
    </row>
    <row r="928" ht="14.25" customHeight="1">
      <c r="A928" s="2" t="s">
        <v>2</v>
      </c>
      <c r="B928" s="3" t="s">
        <v>3</v>
      </c>
      <c r="C928" s="4">
        <f>M891+2</f>
        <v>45530</v>
      </c>
      <c r="D928" s="5" t="s">
        <v>4</v>
      </c>
      <c r="E928" s="6">
        <f>C928+1</f>
        <v>45531</v>
      </c>
      <c r="F928" s="3" t="s">
        <v>5</v>
      </c>
      <c r="G928" s="6">
        <f>E928+1</f>
        <v>45532</v>
      </c>
      <c r="H928" s="3" t="s">
        <v>6</v>
      </c>
      <c r="I928" s="6">
        <f>G928+1</f>
        <v>45533</v>
      </c>
      <c r="J928" s="3" t="s">
        <v>7</v>
      </c>
      <c r="K928" s="6">
        <f>I928+1</f>
        <v>45534</v>
      </c>
      <c r="L928" s="7" t="s">
        <v>8</v>
      </c>
      <c r="M928" s="8">
        <f>K928+1</f>
        <v>45535</v>
      </c>
      <c r="N928" s="30"/>
      <c r="O928" s="30"/>
    </row>
    <row r="929" ht="14.25" customHeight="1">
      <c r="A929" s="10">
        <f>A892+1</f>
        <v>26</v>
      </c>
      <c r="B929" s="11" t="s">
        <v>10</v>
      </c>
      <c r="C929" s="12" t="s">
        <v>11</v>
      </c>
      <c r="D929" s="11" t="s">
        <v>10</v>
      </c>
      <c r="E929" s="12" t="s">
        <v>11</v>
      </c>
      <c r="F929" s="11" t="s">
        <v>10</v>
      </c>
      <c r="G929" s="12" t="s">
        <v>11</v>
      </c>
      <c r="H929" s="11" t="s">
        <v>10</v>
      </c>
      <c r="I929" s="12" t="s">
        <v>11</v>
      </c>
      <c r="J929" s="11" t="s">
        <v>10</v>
      </c>
      <c r="K929" s="12" t="s">
        <v>11</v>
      </c>
      <c r="L929" s="11" t="s">
        <v>10</v>
      </c>
      <c r="M929" s="12" t="s">
        <v>11</v>
      </c>
      <c r="N929" s="30"/>
      <c r="O929" s="30"/>
    </row>
    <row r="930" ht="14.25" customHeight="1">
      <c r="A930" s="13" t="s">
        <v>12</v>
      </c>
      <c r="B930" s="20" t="s">
        <v>254</v>
      </c>
      <c r="C930" s="17"/>
      <c r="D930" s="45" t="s">
        <v>255</v>
      </c>
      <c r="E930" s="17"/>
      <c r="F930" s="20" t="s">
        <v>256</v>
      </c>
      <c r="G930" s="17"/>
      <c r="H930" s="42"/>
      <c r="I930" s="17"/>
      <c r="J930" s="20"/>
      <c r="K930" s="17"/>
      <c r="L930" s="72"/>
      <c r="M930" s="17"/>
      <c r="N930" s="30"/>
      <c r="O930" s="30"/>
    </row>
    <row r="931" ht="14.25" customHeight="1">
      <c r="A931" s="13"/>
      <c r="B931" s="46"/>
      <c r="C931" s="48"/>
      <c r="D931" s="1" t="s">
        <v>257</v>
      </c>
      <c r="E931" s="54"/>
      <c r="F931" s="46"/>
      <c r="G931" s="48"/>
      <c r="H931" s="27"/>
      <c r="I931" s="26"/>
      <c r="J931" s="46"/>
      <c r="K931" s="48"/>
      <c r="L931" s="27"/>
      <c r="M931" s="24"/>
      <c r="N931" s="30"/>
      <c r="O931" s="30"/>
    </row>
    <row r="932" ht="14.25" customHeight="1">
      <c r="A932" s="28" t="s">
        <v>20</v>
      </c>
      <c r="B932" s="46"/>
      <c r="C932" s="48"/>
      <c r="D932" s="1"/>
      <c r="E932" s="26"/>
      <c r="F932" s="46"/>
      <c r="G932" s="48"/>
      <c r="H932" s="28"/>
      <c r="I932" s="54"/>
      <c r="J932" s="46"/>
      <c r="K932" s="48"/>
      <c r="L932" s="28"/>
      <c r="M932" s="24"/>
      <c r="N932" s="30"/>
      <c r="O932" s="30"/>
    </row>
    <row r="933" ht="14.25" customHeight="1">
      <c r="A933" s="29" t="s">
        <v>22</v>
      </c>
      <c r="B933" s="46"/>
      <c r="C933" s="48"/>
      <c r="D933" s="1"/>
      <c r="E933" s="26"/>
      <c r="F933" s="46"/>
      <c r="G933" s="48"/>
      <c r="H933" s="28"/>
      <c r="I933" s="26"/>
      <c r="J933" s="46"/>
      <c r="K933" s="48"/>
      <c r="L933" s="23"/>
      <c r="M933" s="24"/>
      <c r="N933" s="30"/>
      <c r="O933" s="30"/>
    </row>
    <row r="934" ht="14.25" customHeight="1">
      <c r="A934" s="28" t="s">
        <v>23</v>
      </c>
      <c r="B934" s="46"/>
      <c r="C934" s="48"/>
      <c r="D934" s="1"/>
      <c r="E934" s="26"/>
      <c r="F934" s="46"/>
      <c r="G934" s="48"/>
      <c r="H934" s="1"/>
      <c r="I934" s="24"/>
      <c r="J934" s="46"/>
      <c r="K934" s="48"/>
      <c r="L934" s="32"/>
      <c r="M934" s="26"/>
      <c r="N934" s="30"/>
      <c r="O934" s="30"/>
    </row>
    <row r="935" ht="14.25" customHeight="1">
      <c r="A935" s="13"/>
      <c r="B935" s="13"/>
      <c r="C935" s="24"/>
      <c r="D935" s="33"/>
      <c r="E935" s="26"/>
      <c r="F935" s="13"/>
      <c r="G935" s="34"/>
      <c r="H935" s="13"/>
      <c r="I935" s="34"/>
      <c r="J935" s="13"/>
      <c r="K935" s="24"/>
      <c r="L935" s="13"/>
      <c r="M935" s="24"/>
      <c r="N935" s="30"/>
      <c r="O935" s="30"/>
    </row>
    <row r="936" ht="14.25" customHeight="1">
      <c r="A936" s="28" t="s">
        <v>24</v>
      </c>
      <c r="B936" s="35" t="s">
        <v>25</v>
      </c>
      <c r="C936" s="58">
        <f>C931*B931 + B932*C932 + B933*C933 + B934*C934 + B935*C935</f>
        <v>0</v>
      </c>
      <c r="D936" s="57" t="s">
        <v>25</v>
      </c>
      <c r="E936" s="55" t="str">
        <f>E931*D931 + D932*#REF! + E932*E933 + D934*E934 + D935*E935</f>
        <v>#VALUE!</v>
      </c>
      <c r="F936" s="35" t="s">
        <v>25</v>
      </c>
      <c r="G936" s="56">
        <f>G931*F931 + F932*G932 + F933*G933 + F934*G934 + F935*G935</f>
        <v>0</v>
      </c>
      <c r="H936" s="35" t="s">
        <v>25</v>
      </c>
      <c r="I936" s="56">
        <f>I931*H931 + H932*I932 + H933*I933 + H934*I934 + H935*I935</f>
        <v>0</v>
      </c>
      <c r="J936" s="35" t="s">
        <v>25</v>
      </c>
      <c r="K936" s="58">
        <f>K931*J931 + J932*K932 + J933*K933 + J934*K934 + J935*K935</f>
        <v>0</v>
      </c>
      <c r="L936" s="35" t="s">
        <v>25</v>
      </c>
      <c r="M936" s="36">
        <f>M931*L931 + L932*M932 + L933*M933 + L934*M934 + L935*M935</f>
        <v>0</v>
      </c>
      <c r="N936" s="30"/>
      <c r="O936" s="30"/>
    </row>
    <row r="937" ht="14.25" customHeight="1">
      <c r="A937" s="37"/>
      <c r="B937" s="39" t="s">
        <v>26</v>
      </c>
      <c r="C937" s="116" t="str">
        <f>(B931*C931 + B932*C932 + B933*C933 + B934*C934 + B935*C935)/SUM(C931:C935)</f>
        <v>#DIV/0!</v>
      </c>
      <c r="D937" s="31" t="s">
        <v>26</v>
      </c>
      <c r="E937" s="74" t="str">
        <f>(D931*E931 + D932*#REF! + E932*E933 + D934*E934 + D935*E935)/SUM(E931:E935)</f>
        <v>#VALUE!</v>
      </c>
      <c r="F937" s="13" t="s">
        <v>26</v>
      </c>
      <c r="G937" s="117" t="str">
        <f>(F931*G931 + F932*G932 + F933*G933 + F934*G934 + F935*G935)/SUM(G931:G935)</f>
        <v>#DIV/0!</v>
      </c>
      <c r="H937" s="13" t="s">
        <v>26</v>
      </c>
      <c r="I937" s="74" t="str">
        <f>(H931*I931 + H932*I932 + H933*I933 + H934*I934 + H935*I935)/SUM(I931:I935)</f>
        <v>#DIV/0!</v>
      </c>
      <c r="J937" s="39" t="s">
        <v>26</v>
      </c>
      <c r="K937" s="116" t="str">
        <f>(J931*K931 + J932*K932 + J933*K933 + J934*K934 + J935*K935)/SUM(K931:K935)</f>
        <v>#DIV/0!</v>
      </c>
      <c r="L937" s="13" t="s">
        <v>26</v>
      </c>
      <c r="M937" s="75" t="str">
        <f>(L931*M931 + L932*M932 + L933*M933 + L934*M934 + L935*M935)/SUM(M931:M935)</f>
        <v>#DIV/0!</v>
      </c>
      <c r="N937" s="30"/>
      <c r="O937" s="30"/>
    </row>
    <row r="938" ht="14.25" customHeight="1">
      <c r="A938" s="28" t="s">
        <v>27</v>
      </c>
      <c r="B938" s="11" t="s">
        <v>10</v>
      </c>
      <c r="C938" s="12" t="s">
        <v>11</v>
      </c>
      <c r="D938" s="11" t="s">
        <v>10</v>
      </c>
      <c r="E938" s="12" t="s">
        <v>11</v>
      </c>
      <c r="F938" s="11" t="s">
        <v>10</v>
      </c>
      <c r="G938" s="12" t="s">
        <v>11</v>
      </c>
      <c r="H938" s="11" t="s">
        <v>10</v>
      </c>
      <c r="I938" s="12" t="s">
        <v>11</v>
      </c>
      <c r="J938" s="11" t="s">
        <v>10</v>
      </c>
      <c r="K938" s="12" t="s">
        <v>11</v>
      </c>
      <c r="L938" s="11" t="s">
        <v>10</v>
      </c>
      <c r="M938" s="12" t="s">
        <v>11</v>
      </c>
      <c r="N938" s="30"/>
      <c r="O938" s="30"/>
    </row>
    <row r="939" ht="14.25" customHeight="1">
      <c r="A939" s="41" t="s">
        <v>28</v>
      </c>
      <c r="B939" s="20"/>
      <c r="C939" s="17"/>
      <c r="D939" s="45" t="s">
        <v>91</v>
      </c>
      <c r="E939" s="76" t="s">
        <v>49</v>
      </c>
      <c r="F939" s="68"/>
      <c r="G939" s="17"/>
      <c r="H939" s="42"/>
      <c r="I939" s="44"/>
      <c r="J939" s="68"/>
      <c r="K939" s="17"/>
      <c r="L939" s="42" t="s">
        <v>91</v>
      </c>
      <c r="M939" s="44" t="s">
        <v>90</v>
      </c>
      <c r="N939" s="30"/>
      <c r="O939" s="30"/>
    </row>
    <row r="940" ht="14.25" customHeight="1">
      <c r="A940" s="28"/>
      <c r="B940" s="46"/>
      <c r="C940" s="48"/>
      <c r="D940" s="46"/>
      <c r="E940" s="26"/>
      <c r="F940" s="46"/>
      <c r="G940" s="48"/>
      <c r="H940" s="21"/>
      <c r="I940" s="24"/>
      <c r="J940" s="46"/>
      <c r="K940" s="48"/>
      <c r="L940" s="46"/>
      <c r="M940" s="26"/>
      <c r="N940" s="30"/>
      <c r="O940" s="30"/>
    </row>
    <row r="941" ht="14.25" customHeight="1">
      <c r="A941" s="28" t="s">
        <v>37</v>
      </c>
      <c r="B941" s="46"/>
      <c r="C941" s="48"/>
      <c r="D941" s="46" t="s">
        <v>258</v>
      </c>
      <c r="E941" s="26"/>
      <c r="F941" s="46"/>
      <c r="G941" s="48"/>
      <c r="H941" s="46"/>
      <c r="I941" s="54"/>
      <c r="J941" s="46"/>
      <c r="K941" s="48"/>
      <c r="L941" s="46"/>
      <c r="M941" s="26"/>
      <c r="N941" s="30"/>
      <c r="O941" s="30"/>
    </row>
    <row r="942" ht="14.25" customHeight="1">
      <c r="A942" s="28" t="s">
        <v>39</v>
      </c>
      <c r="B942" s="46"/>
      <c r="C942" s="48"/>
      <c r="D942" s="46" t="s">
        <v>259</v>
      </c>
      <c r="E942" s="54"/>
      <c r="F942" s="46"/>
      <c r="G942" s="48"/>
      <c r="H942" s="21"/>
      <c r="I942" s="24"/>
      <c r="J942" s="46"/>
      <c r="K942" s="48"/>
      <c r="L942" s="21"/>
      <c r="M942" s="26"/>
      <c r="N942" s="30"/>
      <c r="O942" s="30"/>
    </row>
    <row r="943" ht="14.25" customHeight="1">
      <c r="A943" s="28"/>
      <c r="B943" s="46"/>
      <c r="C943" s="48"/>
      <c r="D943" s="21"/>
      <c r="E943" s="54"/>
      <c r="F943" s="46"/>
      <c r="G943" s="48"/>
      <c r="H943" s="46"/>
      <c r="I943" s="24"/>
      <c r="J943" s="46"/>
      <c r="K943" s="48"/>
      <c r="L943" s="46"/>
      <c r="M943" s="26"/>
      <c r="N943" s="30"/>
      <c r="O943" s="30"/>
    </row>
    <row r="944" ht="14.25" customHeight="1">
      <c r="A944" s="28" t="s">
        <v>41</v>
      </c>
      <c r="B944" s="13"/>
      <c r="C944" s="24"/>
      <c r="D944" s="32"/>
      <c r="E944" s="24"/>
      <c r="F944" s="31"/>
      <c r="G944" s="24"/>
      <c r="H944" s="32"/>
      <c r="I944" s="24"/>
      <c r="J944" s="31"/>
      <c r="K944" s="24"/>
      <c r="L944" s="32"/>
      <c r="M944" s="24"/>
      <c r="N944" s="30"/>
      <c r="O944" s="30"/>
    </row>
    <row r="945" ht="14.25" customHeight="1">
      <c r="A945" s="28" t="s">
        <v>43</v>
      </c>
      <c r="B945" s="13"/>
      <c r="C945" s="34"/>
      <c r="D945" s="32"/>
      <c r="E945" s="26"/>
      <c r="F945" s="13"/>
      <c r="G945" s="34"/>
      <c r="H945" s="32" t="s">
        <v>140</v>
      </c>
      <c r="I945" s="24"/>
      <c r="J945" s="13"/>
      <c r="K945" s="24"/>
      <c r="L945" s="32"/>
      <c r="M945" s="26"/>
      <c r="N945" s="30"/>
      <c r="O945" s="30"/>
    </row>
    <row r="946" ht="14.25" customHeight="1">
      <c r="A946" s="28"/>
      <c r="B946" s="35" t="s">
        <v>25</v>
      </c>
      <c r="C946" s="55">
        <f>C940*B940 + B941*C941 + B942*C942 + B943*C943 + B945*C945</f>
        <v>0</v>
      </c>
      <c r="D946" s="35" t="s">
        <v>25</v>
      </c>
      <c r="E946" s="36" t="str">
        <f>E940*D940 + D941*E941 + D942*E942 + D943*E943 + D945*E945</f>
        <v>#VALUE!</v>
      </c>
      <c r="F946" s="35" t="s">
        <v>25</v>
      </c>
      <c r="G946" s="55">
        <f>G940*F940 + F941*G941 + F942*G942 + F943*G943 + F945*G945</f>
        <v>0</v>
      </c>
      <c r="H946" s="35" t="s">
        <v>25</v>
      </c>
      <c r="I946" s="36" t="str">
        <f>I940*H940 + H941*I941 + H942*I942 + H943*I943 + H945*I945</f>
        <v>#VALUE!</v>
      </c>
      <c r="J946" s="35" t="s">
        <v>25</v>
      </c>
      <c r="K946" s="36">
        <f>K940*J940 + J941*K941 + J942*K942 + J943*K943 + J945*K945</f>
        <v>0</v>
      </c>
      <c r="L946" s="35" t="s">
        <v>25</v>
      </c>
      <c r="M946" s="36">
        <f>M940*L940 + L941*M941 + L942*M942 + L943*M943 + L945*M945</f>
        <v>0</v>
      </c>
      <c r="N946" s="30"/>
      <c r="O946" s="30"/>
    </row>
    <row r="947" ht="14.25" customHeight="1">
      <c r="A947" s="28" t="s">
        <v>116</v>
      </c>
      <c r="B947" s="39" t="s">
        <v>26</v>
      </c>
      <c r="C947" s="77" t="str">
        <f>(B940*C940 + B941*C941 + B942*C942 + B943*C943 + B945*C945)/SUM(C940:C945)</f>
        <v>#DIV/0!</v>
      </c>
      <c r="D947" s="39" t="s">
        <v>26</v>
      </c>
      <c r="E947" s="40" t="str">
        <f>(D940*E940 + D941*E941 + D942*E942 + D943*E943 + D945*E945)/SUM(E940:E945)</f>
        <v>#VALUE!</v>
      </c>
      <c r="F947" s="39" t="s">
        <v>26</v>
      </c>
      <c r="G947" s="77" t="str">
        <f>(F940*G940 + F941*G941 + F942*G942 + F943*G943 + F945*G945)/SUM(G940:G945)</f>
        <v>#DIV/0!</v>
      </c>
      <c r="H947" s="39" t="s">
        <v>26</v>
      </c>
      <c r="I947" s="40" t="str">
        <f>(H940*I940 + H941*I941 + H942*I942 + H943*I943 + H945*I945)/SUM(I940:I945)</f>
        <v>#VALUE!</v>
      </c>
      <c r="J947" s="39" t="s">
        <v>26</v>
      </c>
      <c r="K947" s="40" t="str">
        <f>(J940*K940 + J941*K941 + J942*K942 + J943*K943 + J945*K945)/SUM(K940:K945)</f>
        <v>#DIV/0!</v>
      </c>
      <c r="L947" s="39" t="s">
        <v>26</v>
      </c>
      <c r="M947" s="40" t="str">
        <f>(L940*M940 + L941*M941 + L942*M942 + L943*M943 + L945*M945)/SUM(M940:M945)</f>
        <v>#DIV/0!</v>
      </c>
      <c r="N947" s="30"/>
      <c r="O947" s="30"/>
    </row>
    <row r="948" ht="14.25" customHeight="1">
      <c r="A948" s="28" t="s">
        <v>117</v>
      </c>
      <c r="B948" s="70"/>
      <c r="C948" s="17"/>
      <c r="D948" s="113" t="s">
        <v>105</v>
      </c>
      <c r="E948" s="50" t="s">
        <v>49</v>
      </c>
      <c r="F948" s="70"/>
      <c r="G948" s="17"/>
      <c r="H948" s="113"/>
      <c r="I948" s="125"/>
      <c r="J948" s="70" t="s">
        <v>249</v>
      </c>
      <c r="K948" s="17"/>
      <c r="L948" s="113" t="s">
        <v>105</v>
      </c>
      <c r="M948" s="50" t="s">
        <v>49</v>
      </c>
      <c r="N948" s="30"/>
      <c r="O948" s="30"/>
    </row>
    <row r="949" ht="14.25" customHeight="1">
      <c r="A949" s="28" t="s">
        <v>120</v>
      </c>
      <c r="B949" s="28"/>
      <c r="C949" s="54"/>
      <c r="D949" s="46"/>
      <c r="E949" s="24"/>
      <c r="F949" s="28"/>
      <c r="G949" s="54"/>
      <c r="H949" s="21"/>
      <c r="I949" s="24"/>
      <c r="J949" s="28"/>
      <c r="K949" s="54">
        <v>8.0</v>
      </c>
      <c r="L949" s="21"/>
      <c r="M949" s="24"/>
      <c r="N949" s="30"/>
      <c r="O949" s="30"/>
    </row>
    <row r="950" ht="14.25" customHeight="1">
      <c r="A950" s="28"/>
      <c r="B950" s="27"/>
      <c r="C950" s="54"/>
      <c r="D950" s="46"/>
      <c r="E950" s="54"/>
      <c r="F950" s="27"/>
      <c r="G950" s="54"/>
      <c r="H950" s="46"/>
      <c r="I950" s="54"/>
      <c r="J950" s="27"/>
      <c r="K950" s="54">
        <v>8.0</v>
      </c>
      <c r="L950" s="21"/>
      <c r="M950" s="26"/>
      <c r="N950" s="30"/>
      <c r="O950" s="30"/>
    </row>
    <row r="951" ht="14.25" customHeight="1">
      <c r="A951" s="28"/>
      <c r="B951" s="27"/>
      <c r="C951" s="54"/>
      <c r="D951" s="46"/>
      <c r="E951" s="24"/>
      <c r="F951" s="27"/>
      <c r="G951" s="54"/>
      <c r="H951" s="21"/>
      <c r="I951" s="24"/>
      <c r="J951" s="27"/>
      <c r="K951" s="54">
        <v>8.0</v>
      </c>
      <c r="L951" s="46"/>
      <c r="M951" s="24"/>
      <c r="N951" s="30"/>
      <c r="O951" s="30"/>
    </row>
    <row r="952" ht="14.25" customHeight="1">
      <c r="A952" s="28"/>
      <c r="B952" s="28"/>
      <c r="C952" s="79"/>
      <c r="D952" s="21"/>
      <c r="E952" s="24"/>
      <c r="F952" s="28"/>
      <c r="G952" s="34"/>
      <c r="H952" s="21"/>
      <c r="I952" s="24"/>
      <c r="J952" s="28"/>
      <c r="K952" s="54"/>
      <c r="L952" s="21"/>
      <c r="M952" s="24"/>
      <c r="N952" s="30"/>
      <c r="O952" s="30"/>
    </row>
    <row r="953" ht="14.25" customHeight="1">
      <c r="A953" s="28"/>
      <c r="B953" s="13"/>
      <c r="C953" s="34"/>
      <c r="D953" s="21"/>
      <c r="E953" s="34"/>
      <c r="F953" s="13"/>
      <c r="G953" s="34"/>
      <c r="H953" s="28"/>
      <c r="I953" s="34"/>
      <c r="J953" s="13"/>
      <c r="K953" s="24"/>
      <c r="L953" s="31"/>
      <c r="M953" s="24"/>
      <c r="N953" s="30"/>
      <c r="O953" s="30"/>
    </row>
    <row r="954" ht="14.25" customHeight="1">
      <c r="A954" s="28"/>
      <c r="B954" s="35" t="s">
        <v>25</v>
      </c>
      <c r="C954" s="55">
        <f>C949*B949 + B950*C950 + B951*C951 + B952*C952 + B953*C953</f>
        <v>0</v>
      </c>
      <c r="D954" s="35" t="s">
        <v>25</v>
      </c>
      <c r="E954" s="55">
        <f>E949*D949 + D950*E950 + D951*E951 + D952*E952 + D953*E953</f>
        <v>0</v>
      </c>
      <c r="F954" s="35" t="s">
        <v>25</v>
      </c>
      <c r="G954" s="55">
        <f>G949*F949 + F950*G950 + F951*G951 + F952*G952 + F953*G953</f>
        <v>0</v>
      </c>
      <c r="H954" s="35" t="s">
        <v>25</v>
      </c>
      <c r="I954" s="56">
        <f>I949*H949 + H950*I950 + H951*I951 + H952*I952 + H953*I953</f>
        <v>0</v>
      </c>
      <c r="J954" s="35" t="s">
        <v>25</v>
      </c>
      <c r="K954" s="36">
        <f>K949*J949 + J950*K950 + J951*K951 + J952*K952 + J953*K953</f>
        <v>0</v>
      </c>
      <c r="L954" s="57" t="s">
        <v>25</v>
      </c>
      <c r="M954" s="58">
        <f>M949*L949 + L950*M950 + L951*M951 + L952*M952 + L953*M953</f>
        <v>0</v>
      </c>
      <c r="N954" s="30"/>
      <c r="O954" s="30"/>
    </row>
    <row r="955" ht="14.25" customHeight="1">
      <c r="A955" s="28"/>
      <c r="B955" s="39" t="s">
        <v>26</v>
      </c>
      <c r="C955" s="40" t="str">
        <f>(B949*C949 + B950*C950 + B951*C951 + B952*C952 + B953*C953)/SUM(C949:C953)</f>
        <v>#DIV/0!</v>
      </c>
      <c r="D955" s="59" t="s">
        <v>26</v>
      </c>
      <c r="E955" s="40" t="str">
        <f>(D949*E949 + D950*E950 + D951*E951 + D952*E952 + D953*E953)/SUM(E949:E953)</f>
        <v>#DIV/0!</v>
      </c>
      <c r="F955" s="31" t="s">
        <v>26</v>
      </c>
      <c r="G955" s="75" t="str">
        <f>(F949*G949 + F950*G950 + F951*G951 + F952*G952 + F953*G953)/SUM(G949:G953)</f>
        <v>#DIV/0!</v>
      </c>
      <c r="H955" s="59" t="s">
        <v>26</v>
      </c>
      <c r="I955" s="40" t="str">
        <f>(H949*I949 + H950*I950 + H951*I951 + H952*I952 + H953*I953)/SUM(I949:I953)</f>
        <v>#DIV/0!</v>
      </c>
      <c r="J955" s="39" t="s">
        <v>26</v>
      </c>
      <c r="K955" s="40">
        <f>(J949*K949 + J950*K950 + J951*K951 + J952*K952 + J953*K953)/SUM(K949:K953)</f>
        <v>0</v>
      </c>
      <c r="L955" s="59" t="s">
        <v>26</v>
      </c>
      <c r="M955" s="40" t="str">
        <f>(L949*M949 + L950*M950 + L951*M951 + L952*M952 + L953*M953)/SUM(M953)</f>
        <v>#DIV/0!</v>
      </c>
      <c r="N955" s="30"/>
      <c r="O955" s="30"/>
    </row>
    <row r="956" ht="14.25" customHeight="1">
      <c r="A956" s="28"/>
      <c r="B956" s="28" t="s">
        <v>91</v>
      </c>
      <c r="C956" s="30" t="s">
        <v>49</v>
      </c>
      <c r="D956" s="28" t="s">
        <v>50</v>
      </c>
      <c r="E956" s="30" t="s">
        <v>49</v>
      </c>
      <c r="F956" s="120" t="s">
        <v>91</v>
      </c>
      <c r="G956" s="121" t="s">
        <v>49</v>
      </c>
      <c r="H956" s="122" t="s">
        <v>33</v>
      </c>
      <c r="I956" s="30"/>
      <c r="J956" s="28" t="s">
        <v>91</v>
      </c>
      <c r="K956" s="60" t="s">
        <v>49</v>
      </c>
      <c r="L956" s="30"/>
      <c r="M956" s="60" t="s">
        <v>49</v>
      </c>
      <c r="N956" s="30"/>
      <c r="O956" s="30"/>
    </row>
    <row r="957" ht="14.25" customHeight="1">
      <c r="A957" s="28"/>
      <c r="B957" s="27"/>
      <c r="C957" s="60"/>
      <c r="D957" s="27"/>
      <c r="E957" s="60"/>
      <c r="F957" s="27"/>
      <c r="G957" s="61"/>
      <c r="H957" s="30"/>
      <c r="I957" s="60"/>
      <c r="J957" s="27"/>
      <c r="K957" s="60"/>
      <c r="L957" s="62"/>
      <c r="M957" s="60"/>
      <c r="N957" s="30"/>
      <c r="O957" s="30"/>
    </row>
    <row r="958" ht="14.25" customHeight="1">
      <c r="A958" s="28"/>
      <c r="B958" s="27"/>
      <c r="C958" s="60"/>
      <c r="D958" s="28"/>
      <c r="E958" s="60"/>
      <c r="F958" s="69"/>
      <c r="G958" s="60"/>
      <c r="H958" s="30"/>
      <c r="I958" s="60"/>
      <c r="J958" s="69"/>
      <c r="K958" s="60"/>
      <c r="L958" s="30"/>
      <c r="M958" s="60"/>
      <c r="N958" s="30"/>
      <c r="O958" s="30"/>
    </row>
    <row r="959" ht="14.25" customHeight="1">
      <c r="A959" s="37"/>
      <c r="B959" s="28"/>
      <c r="C959" s="60"/>
      <c r="D959" s="28"/>
      <c r="E959" s="60"/>
      <c r="F959" s="1"/>
      <c r="G959" s="60"/>
      <c r="H959" s="30"/>
      <c r="I959" s="60"/>
      <c r="J959" s="1"/>
      <c r="K959" s="60"/>
      <c r="L959" s="30"/>
      <c r="M959" s="60"/>
      <c r="N959" s="30"/>
      <c r="O959" s="30"/>
    </row>
    <row r="960" ht="14.25" customHeight="1">
      <c r="A960" s="37"/>
      <c r="B960" s="28"/>
      <c r="C960" s="1"/>
      <c r="D960" s="28"/>
      <c r="E960" s="1"/>
      <c r="F960" s="28"/>
      <c r="G960" s="60"/>
      <c r="H960" s="30"/>
      <c r="I960" s="30"/>
      <c r="J960" s="28"/>
      <c r="K960" s="60"/>
      <c r="L960" s="30"/>
      <c r="M960" s="60"/>
      <c r="N960" s="30"/>
      <c r="O960" s="30"/>
    </row>
    <row r="961" ht="14.25" customHeight="1">
      <c r="A961" s="37"/>
      <c r="B961" s="28"/>
      <c r="C961" s="1"/>
      <c r="D961" s="28"/>
      <c r="E961" s="1"/>
      <c r="F961" s="28"/>
      <c r="G961" s="60"/>
      <c r="H961" s="30"/>
      <c r="I961" s="30"/>
      <c r="J961" s="28"/>
      <c r="K961" s="60"/>
      <c r="L961" s="30"/>
      <c r="M961" s="60"/>
      <c r="N961" s="30"/>
      <c r="O961" s="30"/>
    </row>
    <row r="962" ht="14.25" customHeight="1">
      <c r="A962" s="37"/>
      <c r="B962" s="28"/>
      <c r="C962" s="1"/>
      <c r="D962" s="28"/>
      <c r="E962" s="1"/>
      <c r="F962" s="28"/>
      <c r="G962" s="60"/>
      <c r="H962" s="30"/>
      <c r="I962" s="30"/>
      <c r="J962" s="37"/>
      <c r="K962" s="60"/>
      <c r="L962" s="30"/>
      <c r="M962" s="60"/>
      <c r="N962" s="30"/>
      <c r="O962" s="30"/>
    </row>
    <row r="963" ht="14.25" customHeight="1">
      <c r="A963" s="64"/>
      <c r="B963" s="65"/>
      <c r="C963" s="66"/>
      <c r="D963" s="65"/>
      <c r="E963" s="66"/>
      <c r="F963" s="64"/>
      <c r="G963" s="67"/>
      <c r="H963" s="66"/>
      <c r="I963" s="66"/>
      <c r="J963" s="64"/>
      <c r="K963" s="67"/>
      <c r="L963" s="66"/>
      <c r="M963" s="67"/>
      <c r="N963" s="30"/>
      <c r="O963" s="30"/>
    </row>
    <row r="964" ht="14.25" customHeight="1">
      <c r="A964" s="30"/>
      <c r="B964" s="30"/>
      <c r="C964" s="30"/>
      <c r="D964" s="23"/>
      <c r="E964" s="30"/>
      <c r="F964" s="30"/>
      <c r="G964" s="30"/>
      <c r="H964" s="23"/>
      <c r="I964" s="30"/>
      <c r="J964" s="30"/>
      <c r="K964" s="30"/>
      <c r="L964" s="30"/>
      <c r="M964" s="30"/>
      <c r="N964" s="30"/>
      <c r="O964" s="30"/>
    </row>
    <row r="965" ht="14.25" customHeight="1">
      <c r="A965" s="2" t="s">
        <v>2</v>
      </c>
      <c r="B965" s="3" t="s">
        <v>3</v>
      </c>
      <c r="C965" s="4">
        <f>M928+2</f>
        <v>45537</v>
      </c>
      <c r="D965" s="5" t="s">
        <v>4</v>
      </c>
      <c r="E965" s="6">
        <f>C965+1</f>
        <v>45538</v>
      </c>
      <c r="F965" s="3" t="s">
        <v>5</v>
      </c>
      <c r="G965" s="6">
        <f>E965+1</f>
        <v>45539</v>
      </c>
      <c r="H965" s="3" t="s">
        <v>6</v>
      </c>
      <c r="I965" s="6">
        <f>G965+1</f>
        <v>45540</v>
      </c>
      <c r="J965" s="3" t="s">
        <v>7</v>
      </c>
      <c r="K965" s="6">
        <f>I965+1</f>
        <v>45541</v>
      </c>
      <c r="L965" s="7" t="s">
        <v>8</v>
      </c>
      <c r="M965" s="8">
        <f>K965+1</f>
        <v>45542</v>
      </c>
      <c r="N965" s="30"/>
      <c r="O965" s="30"/>
    </row>
    <row r="966" ht="14.25" customHeight="1">
      <c r="A966" s="10">
        <f>A929+1</f>
        <v>27</v>
      </c>
      <c r="B966" s="11" t="s">
        <v>10</v>
      </c>
      <c r="C966" s="12" t="s">
        <v>11</v>
      </c>
      <c r="D966" s="11" t="s">
        <v>10</v>
      </c>
      <c r="E966" s="12" t="s">
        <v>11</v>
      </c>
      <c r="F966" s="11" t="s">
        <v>10</v>
      </c>
      <c r="G966" s="12" t="s">
        <v>11</v>
      </c>
      <c r="H966" s="11" t="s">
        <v>10</v>
      </c>
      <c r="I966" s="12" t="s">
        <v>11</v>
      </c>
      <c r="J966" s="11" t="s">
        <v>10</v>
      </c>
      <c r="K966" s="12" t="s">
        <v>11</v>
      </c>
      <c r="L966" s="11" t="s">
        <v>10</v>
      </c>
      <c r="M966" s="12" t="s">
        <v>11</v>
      </c>
      <c r="N966" s="30"/>
      <c r="O966" s="30"/>
    </row>
    <row r="967" ht="14.25" customHeight="1">
      <c r="A967" s="13" t="s">
        <v>12</v>
      </c>
      <c r="B967" s="20" t="s">
        <v>142</v>
      </c>
      <c r="C967" s="17"/>
      <c r="D967" s="18" t="s">
        <v>14</v>
      </c>
      <c r="E967" s="17"/>
      <c r="F967" s="20" t="s">
        <v>145</v>
      </c>
      <c r="G967" s="17"/>
      <c r="H967" s="42" t="s">
        <v>15</v>
      </c>
      <c r="I967" s="17"/>
      <c r="J967" s="20" t="s">
        <v>245</v>
      </c>
      <c r="K967" s="17"/>
      <c r="L967" s="72" t="s">
        <v>14</v>
      </c>
      <c r="M967" s="17"/>
      <c r="N967" s="30"/>
      <c r="O967" s="30"/>
    </row>
    <row r="968" ht="14.25" customHeight="1">
      <c r="A968" s="13"/>
      <c r="B968" s="46">
        <v>130.0</v>
      </c>
      <c r="C968" s="48">
        <v>4.0</v>
      </c>
      <c r="D968" s="1" t="s">
        <v>246</v>
      </c>
      <c r="E968" s="54" t="s">
        <v>222</v>
      </c>
      <c r="F968" s="46">
        <v>95.0</v>
      </c>
      <c r="G968" s="48">
        <v>3.0</v>
      </c>
      <c r="H968" s="27" t="s">
        <v>130</v>
      </c>
      <c r="I968" s="26"/>
      <c r="J968" s="46">
        <v>50.0</v>
      </c>
      <c r="K968" s="48">
        <v>6.0</v>
      </c>
      <c r="L968" s="27" t="s">
        <v>231</v>
      </c>
      <c r="M968" s="24"/>
      <c r="N968" s="30"/>
      <c r="O968" s="30"/>
    </row>
    <row r="969" ht="14.25" customHeight="1">
      <c r="A969" s="28" t="s">
        <v>20</v>
      </c>
      <c r="B969" s="46">
        <v>140.0</v>
      </c>
      <c r="C969" s="48">
        <v>2.0</v>
      </c>
      <c r="D969" s="1"/>
      <c r="E969" s="26"/>
      <c r="F969" s="46">
        <v>97.5</v>
      </c>
      <c r="G969" s="48">
        <v>2.0</v>
      </c>
      <c r="H969" s="28" t="s">
        <v>247</v>
      </c>
      <c r="I969" s="54" t="s">
        <v>222</v>
      </c>
      <c r="J969" s="46">
        <v>55.0</v>
      </c>
      <c r="K969" s="48">
        <v>6.0</v>
      </c>
      <c r="L969" s="28" t="s">
        <v>233</v>
      </c>
      <c r="M969" s="24"/>
      <c r="N969" s="30"/>
      <c r="O969" s="30"/>
    </row>
    <row r="970" ht="14.25" customHeight="1">
      <c r="A970" s="29" t="s">
        <v>22</v>
      </c>
      <c r="B970" s="46">
        <v>145.0</v>
      </c>
      <c r="C970" s="48">
        <v>2.0</v>
      </c>
      <c r="D970" s="1"/>
      <c r="E970" s="26"/>
      <c r="F970" s="46">
        <v>100.0</v>
      </c>
      <c r="G970" s="48">
        <v>2.0</v>
      </c>
      <c r="H970" s="28"/>
      <c r="I970" s="26"/>
      <c r="J970" s="46">
        <v>60.0</v>
      </c>
      <c r="K970" s="48">
        <v>6.0</v>
      </c>
      <c r="L970" s="23"/>
      <c r="M970" s="24"/>
      <c r="N970" s="30"/>
      <c r="O970" s="30"/>
    </row>
    <row r="971" ht="14.25" customHeight="1">
      <c r="A971" s="28" t="s">
        <v>23</v>
      </c>
      <c r="B971" s="46"/>
      <c r="C971" s="48"/>
      <c r="D971" s="1"/>
      <c r="E971" s="26"/>
      <c r="F971" s="46"/>
      <c r="G971" s="48"/>
      <c r="H971" s="1"/>
      <c r="I971" s="24"/>
      <c r="J971" s="46"/>
      <c r="K971" s="48"/>
      <c r="L971" s="32" t="s">
        <v>82</v>
      </c>
      <c r="M971" s="26"/>
      <c r="N971" s="30"/>
      <c r="O971" s="30"/>
    </row>
    <row r="972" ht="14.25" customHeight="1">
      <c r="A972" s="13"/>
      <c r="B972" s="13"/>
      <c r="C972" s="24"/>
      <c r="D972" s="33"/>
      <c r="E972" s="26"/>
      <c r="F972" s="13"/>
      <c r="G972" s="34"/>
      <c r="H972" s="13"/>
      <c r="I972" s="34"/>
      <c r="J972" s="13"/>
      <c r="K972" s="24"/>
      <c r="L972" s="13"/>
      <c r="M972" s="24"/>
      <c r="N972" s="30"/>
      <c r="O972" s="30"/>
    </row>
    <row r="973" ht="14.25" customHeight="1">
      <c r="A973" s="28" t="s">
        <v>24</v>
      </c>
      <c r="B973" s="35" t="s">
        <v>25</v>
      </c>
      <c r="C973" s="58">
        <f>C968*B968 + B969*C969 + B970*C970 + B971*C971 + B972*C972</f>
        <v>1090</v>
      </c>
      <c r="D973" s="57" t="s">
        <v>25</v>
      </c>
      <c r="E973" s="55" t="str">
        <f>E968*D968 + D969*#REF! + E969*E970 + D971*E971 + D972*E972</f>
        <v>#VALUE!</v>
      </c>
      <c r="F973" s="35" t="s">
        <v>25</v>
      </c>
      <c r="G973" s="56">
        <f>G968*F968 + F969*G969 + F970*G970 + F971*G971 + F972*G972</f>
        <v>680</v>
      </c>
      <c r="H973" s="35" t="s">
        <v>25</v>
      </c>
      <c r="I973" s="56" t="str">
        <f>I968*H968 + H969*I969 + H970*I970 + H971*I971 + H972*I972</f>
        <v>#VALUE!</v>
      </c>
      <c r="J973" s="35" t="s">
        <v>25</v>
      </c>
      <c r="K973" s="58">
        <f>K968*J968 + J969*K969 + J970*K970 + J971*K971 + J972*K972</f>
        <v>990</v>
      </c>
      <c r="L973" s="35" t="s">
        <v>25</v>
      </c>
      <c r="M973" s="36" t="str">
        <f>M968*L968 + L969*M969 + L970*M970 + L971*M971 + L972*M972</f>
        <v>#VALUE!</v>
      </c>
      <c r="N973" s="30"/>
      <c r="O973" s="30"/>
    </row>
    <row r="974" ht="14.25" customHeight="1">
      <c r="A974" s="37"/>
      <c r="B974" s="39" t="s">
        <v>26</v>
      </c>
      <c r="C974" s="116">
        <f>(B968*C968 + B969*C969 + B970*C970 + B971*C971 + B972*C972)/SUM(C968:C972)</f>
        <v>136.25</v>
      </c>
      <c r="D974" s="31" t="s">
        <v>26</v>
      </c>
      <c r="E974" s="74" t="str">
        <f>(D968*E968 + D969*#REF! + E969*E970 + D971*E971 + D972*E972)/SUM(E968:E972)</f>
        <v>#VALUE!</v>
      </c>
      <c r="F974" s="13" t="s">
        <v>26</v>
      </c>
      <c r="G974" s="117">
        <f>(F968*G968 + F969*G969 + F970*G970 + F971*G971 + F972*G972)/SUM(G968:G972)</f>
        <v>97.14285714</v>
      </c>
      <c r="H974" s="13" t="s">
        <v>26</v>
      </c>
      <c r="I974" s="74" t="str">
        <f>(H968*I968 + H969*I969 + H970*I970 + H971*I971 + H972*I972)/SUM(I968:I972)</f>
        <v>#VALUE!</v>
      </c>
      <c r="J974" s="39" t="s">
        <v>26</v>
      </c>
      <c r="K974" s="116">
        <f>(J968*K968 + J969*K969 + J970*K970 + J971*K971 + J972*K972)/SUM(K968:K972)</f>
        <v>55</v>
      </c>
      <c r="L974" s="13" t="s">
        <v>26</v>
      </c>
      <c r="M974" s="75" t="str">
        <f>(L968*M968 + L969*M969 + L970*M970 + L971*M971 + L972*M972)/SUM(M968:M972)</f>
        <v>#VALUE!</v>
      </c>
      <c r="N974" s="30"/>
      <c r="O974" s="30"/>
    </row>
    <row r="975" ht="14.25" customHeight="1">
      <c r="A975" s="28" t="s">
        <v>27</v>
      </c>
      <c r="B975" s="11" t="s">
        <v>10</v>
      </c>
      <c r="C975" s="12" t="s">
        <v>11</v>
      </c>
      <c r="D975" s="11" t="s">
        <v>10</v>
      </c>
      <c r="E975" s="12" t="s">
        <v>11</v>
      </c>
      <c r="F975" s="11" t="s">
        <v>10</v>
      </c>
      <c r="G975" s="12" t="s">
        <v>11</v>
      </c>
      <c r="H975" s="11" t="s">
        <v>10</v>
      </c>
      <c r="I975" s="12" t="s">
        <v>11</v>
      </c>
      <c r="J975" s="11" t="s">
        <v>10</v>
      </c>
      <c r="K975" s="12" t="s">
        <v>11</v>
      </c>
      <c r="L975" s="11" t="s">
        <v>10</v>
      </c>
      <c r="M975" s="12" t="s">
        <v>11</v>
      </c>
      <c r="N975" s="30"/>
      <c r="O975" s="30"/>
    </row>
    <row r="976" ht="14.25" customHeight="1">
      <c r="A976" s="41" t="s">
        <v>28</v>
      </c>
      <c r="B976" s="20" t="s">
        <v>224</v>
      </c>
      <c r="C976" s="17"/>
      <c r="D976" s="45" t="s">
        <v>91</v>
      </c>
      <c r="E976" s="76" t="s">
        <v>49</v>
      </c>
      <c r="F976" s="68" t="s">
        <v>248</v>
      </c>
      <c r="G976" s="17"/>
      <c r="H976" s="42" t="s">
        <v>91</v>
      </c>
      <c r="I976" s="44" t="s">
        <v>49</v>
      </c>
      <c r="J976" s="68" t="s">
        <v>225</v>
      </c>
      <c r="K976" s="17"/>
      <c r="L976" s="42" t="s">
        <v>91</v>
      </c>
      <c r="M976" s="44" t="s">
        <v>90</v>
      </c>
      <c r="N976" s="30"/>
      <c r="O976" s="30"/>
    </row>
    <row r="977" ht="14.25" customHeight="1">
      <c r="A977" s="28"/>
      <c r="B977" s="46">
        <v>190.0</v>
      </c>
      <c r="C977" s="48">
        <v>5.0</v>
      </c>
      <c r="D977" s="46"/>
      <c r="E977" s="26"/>
      <c r="F977" s="46">
        <v>100.0</v>
      </c>
      <c r="G977" s="48">
        <v>4.0</v>
      </c>
      <c r="H977" s="21">
        <v>30.0</v>
      </c>
      <c r="I977" s="24"/>
      <c r="J977" s="46">
        <v>110.0</v>
      </c>
      <c r="K977" s="48">
        <v>5.0</v>
      </c>
      <c r="L977" s="46">
        <v>30.0</v>
      </c>
      <c r="M977" s="26"/>
      <c r="N977" s="30"/>
      <c r="O977" s="30"/>
    </row>
    <row r="978" ht="14.25" customHeight="1">
      <c r="A978" s="28" t="s">
        <v>37</v>
      </c>
      <c r="B978" s="46">
        <v>200.0</v>
      </c>
      <c r="C978" s="48">
        <v>5.0</v>
      </c>
      <c r="D978" s="46"/>
      <c r="E978" s="26"/>
      <c r="F978" s="46">
        <v>110.0</v>
      </c>
      <c r="G978" s="48">
        <v>4.0</v>
      </c>
      <c r="H978" s="46">
        <v>60.0</v>
      </c>
      <c r="I978" s="54" t="s">
        <v>237</v>
      </c>
      <c r="J978" s="46">
        <v>120.0</v>
      </c>
      <c r="K978" s="48">
        <v>5.0</v>
      </c>
      <c r="L978" s="46">
        <v>40.0</v>
      </c>
      <c r="M978" s="26"/>
      <c r="N978" s="30"/>
      <c r="O978" s="30"/>
    </row>
    <row r="979" ht="14.25" customHeight="1">
      <c r="A979" s="28" t="s">
        <v>39</v>
      </c>
      <c r="B979" s="46">
        <v>205.0</v>
      </c>
      <c r="C979" s="48">
        <v>5.0</v>
      </c>
      <c r="D979" s="21"/>
      <c r="E979" s="54"/>
      <c r="F979" s="46">
        <v>120.0</v>
      </c>
      <c r="G979" s="48">
        <v>4.0</v>
      </c>
      <c r="H979" s="21">
        <v>30.0</v>
      </c>
      <c r="I979" s="24"/>
      <c r="J979" s="46">
        <v>130.0</v>
      </c>
      <c r="K979" s="48">
        <v>5.0</v>
      </c>
      <c r="L979" s="21">
        <v>60.0</v>
      </c>
      <c r="M979" s="26"/>
      <c r="N979" s="30"/>
      <c r="O979" s="30"/>
    </row>
    <row r="980" ht="14.25" customHeight="1">
      <c r="A980" s="28"/>
      <c r="B980" s="46"/>
      <c r="C980" s="48"/>
      <c r="D980" s="21"/>
      <c r="E980" s="54"/>
      <c r="F980" s="46"/>
      <c r="G980" s="48"/>
      <c r="H980" s="46">
        <v>60.0</v>
      </c>
      <c r="I980" s="24"/>
      <c r="J980" s="46"/>
      <c r="K980" s="48"/>
      <c r="L980" s="46">
        <v>20.0</v>
      </c>
      <c r="M980" s="26"/>
      <c r="N980" s="30"/>
      <c r="O980" s="30"/>
    </row>
    <row r="981" ht="14.25" customHeight="1">
      <c r="A981" s="28" t="s">
        <v>41</v>
      </c>
      <c r="B981" s="13"/>
      <c r="C981" s="24"/>
      <c r="D981" s="32"/>
      <c r="E981" s="24"/>
      <c r="F981" s="31"/>
      <c r="G981" s="24"/>
      <c r="H981" s="32"/>
      <c r="I981" s="24"/>
      <c r="J981" s="31"/>
      <c r="K981" s="24"/>
      <c r="L981" s="32"/>
      <c r="M981" s="24"/>
      <c r="N981" s="30"/>
      <c r="O981" s="30"/>
    </row>
    <row r="982" ht="14.25" customHeight="1">
      <c r="A982" s="28" t="s">
        <v>43</v>
      </c>
      <c r="B982" s="13"/>
      <c r="C982" s="34"/>
      <c r="D982" s="32" t="s">
        <v>140</v>
      </c>
      <c r="E982" s="26"/>
      <c r="F982" s="13"/>
      <c r="G982" s="34"/>
      <c r="H982" s="32" t="s">
        <v>140</v>
      </c>
      <c r="I982" s="24"/>
      <c r="J982" s="13"/>
      <c r="K982" s="24"/>
      <c r="L982" s="32" t="s">
        <v>140</v>
      </c>
      <c r="M982" s="26"/>
      <c r="N982" s="30"/>
      <c r="O982" s="30"/>
    </row>
    <row r="983" ht="14.25" customHeight="1">
      <c r="A983" s="28"/>
      <c r="B983" s="35" t="s">
        <v>25</v>
      </c>
      <c r="C983" s="55">
        <f>C977*B977 + B978*C978 + B979*C979 + B980*C980 + B982*C982</f>
        <v>2975</v>
      </c>
      <c r="D983" s="35" t="s">
        <v>25</v>
      </c>
      <c r="E983" s="36" t="str">
        <f>E977*D977 + D978*E978 + D979*E979 + D980*E980 + D982*E982</f>
        <v>#VALUE!</v>
      </c>
      <c r="F983" s="35" t="s">
        <v>25</v>
      </c>
      <c r="G983" s="55">
        <f>G977*F977 + F978*G978 + F979*G979 + F980*G980 + F982*G982</f>
        <v>1320</v>
      </c>
      <c r="H983" s="35" t="s">
        <v>25</v>
      </c>
      <c r="I983" s="36" t="str">
        <f>I977*H977 + H978*I978 + H979*I979 + H980*I980 + H982*I982</f>
        <v>#VALUE!</v>
      </c>
      <c r="J983" s="35" t="s">
        <v>25</v>
      </c>
      <c r="K983" s="36">
        <f>K977*J977 + J978*K978 + J979*K979 + J980*K980 + J982*K982</f>
        <v>1800</v>
      </c>
      <c r="L983" s="35" t="s">
        <v>25</v>
      </c>
      <c r="M983" s="36" t="str">
        <f>M977*L977 + L978*M978 + L979*M979 + L980*M980 + L982*M982</f>
        <v>#VALUE!</v>
      </c>
      <c r="N983" s="30"/>
      <c r="O983" s="30"/>
    </row>
    <row r="984" ht="14.25" customHeight="1">
      <c r="A984" s="28" t="s">
        <v>116</v>
      </c>
      <c r="B984" s="39" t="s">
        <v>26</v>
      </c>
      <c r="C984" s="77">
        <f>(B977*C977 + B978*C978 + B979*C979 + B980*C980 + B982*C982)/SUM(C977:C982)</f>
        <v>198.3333333</v>
      </c>
      <c r="D984" s="39" t="s">
        <v>26</v>
      </c>
      <c r="E984" s="40" t="str">
        <f>(D977*E977 + D978*E978 + D979*E979 + D980*E980 + D982*E982)/SUM(E977:E982)</f>
        <v>#VALUE!</v>
      </c>
      <c r="F984" s="39" t="s">
        <v>26</v>
      </c>
      <c r="G984" s="77">
        <f>(F977*G977 + F978*G978 + F979*G979 + F980*G980 + F982*G982)/SUM(G977:G982)</f>
        <v>110</v>
      </c>
      <c r="H984" s="39" t="s">
        <v>26</v>
      </c>
      <c r="I984" s="40" t="str">
        <f>(H977*I977 + H978*I978 + H979*I979 + H980*I980 + H982*I982)/SUM(I977:I982)</f>
        <v>#VALUE!</v>
      </c>
      <c r="J984" s="39" t="s">
        <v>26</v>
      </c>
      <c r="K984" s="40">
        <f>(J977*K977 + J978*K978 + J979*K979 + J980*K980 + J982*K982)/SUM(K977:K982)</f>
        <v>120</v>
      </c>
      <c r="L984" s="39" t="s">
        <v>26</v>
      </c>
      <c r="M984" s="40" t="str">
        <f>(L977*M977 + L978*M978 + L979*M979 + L980*M980 + L982*M982)/SUM(M977:M982)</f>
        <v>#VALUE!</v>
      </c>
      <c r="N984" s="30"/>
      <c r="O984" s="30"/>
    </row>
    <row r="985" ht="14.25" customHeight="1">
      <c r="A985" s="28" t="s">
        <v>117</v>
      </c>
      <c r="B985" s="70" t="s">
        <v>226</v>
      </c>
      <c r="C985" s="17"/>
      <c r="D985" s="113" t="s">
        <v>105</v>
      </c>
      <c r="E985" s="50" t="s">
        <v>49</v>
      </c>
      <c r="F985" s="70" t="s">
        <v>213</v>
      </c>
      <c r="G985" s="17"/>
      <c r="H985" s="113"/>
      <c r="I985" s="125"/>
      <c r="J985" s="70" t="s">
        <v>249</v>
      </c>
      <c r="K985" s="17"/>
      <c r="L985" s="113" t="s">
        <v>105</v>
      </c>
      <c r="M985" s="50" t="s">
        <v>49</v>
      </c>
      <c r="N985" s="30"/>
      <c r="O985" s="30"/>
    </row>
    <row r="986" ht="14.25" customHeight="1">
      <c r="A986" s="28" t="s">
        <v>120</v>
      </c>
      <c r="B986" s="28" t="s">
        <v>227</v>
      </c>
      <c r="C986" s="54" t="s">
        <v>238</v>
      </c>
      <c r="D986" s="46" t="s">
        <v>250</v>
      </c>
      <c r="E986" s="24"/>
      <c r="F986" s="28" t="s">
        <v>214</v>
      </c>
      <c r="G986" s="54">
        <v>8.0</v>
      </c>
      <c r="H986" s="21">
        <v>30.0</v>
      </c>
      <c r="I986" s="24"/>
      <c r="J986" s="28"/>
      <c r="K986" s="54">
        <v>8.0</v>
      </c>
      <c r="L986" s="21"/>
      <c r="M986" s="24"/>
      <c r="N986" s="30"/>
      <c r="O986" s="30"/>
    </row>
    <row r="987" ht="14.25" customHeight="1">
      <c r="A987" s="28"/>
      <c r="B987" s="27" t="s">
        <v>228</v>
      </c>
      <c r="C987" s="54" t="s">
        <v>239</v>
      </c>
      <c r="D987" s="46" t="s">
        <v>260</v>
      </c>
      <c r="E987" s="54" t="s">
        <v>261</v>
      </c>
      <c r="F987" s="27" t="s">
        <v>214</v>
      </c>
      <c r="G987" s="54">
        <v>8.0</v>
      </c>
      <c r="H987" s="46">
        <v>60.0</v>
      </c>
      <c r="I987" s="54" t="s">
        <v>237</v>
      </c>
      <c r="J987" s="27"/>
      <c r="K987" s="54">
        <v>8.0</v>
      </c>
      <c r="L987" s="21"/>
      <c r="M987" s="26"/>
      <c r="N987" s="30"/>
      <c r="O987" s="30"/>
    </row>
    <row r="988" ht="14.25" customHeight="1">
      <c r="A988" s="28"/>
      <c r="B988" s="27"/>
      <c r="C988" s="54"/>
      <c r="D988" s="46"/>
      <c r="E988" s="24"/>
      <c r="F988" s="27" t="s">
        <v>215</v>
      </c>
      <c r="G988" s="54">
        <v>8.0</v>
      </c>
      <c r="H988" s="21">
        <v>30.0</v>
      </c>
      <c r="I988" s="24"/>
      <c r="J988" s="27"/>
      <c r="K988" s="54">
        <v>8.0</v>
      </c>
      <c r="L988" s="46"/>
      <c r="M988" s="24"/>
      <c r="N988" s="30"/>
      <c r="O988" s="30"/>
    </row>
    <row r="989" ht="14.25" customHeight="1">
      <c r="A989" s="28"/>
      <c r="B989" s="28"/>
      <c r="C989" s="79"/>
      <c r="D989" s="21"/>
      <c r="E989" s="24"/>
      <c r="F989" s="28"/>
      <c r="G989" s="34"/>
      <c r="H989" s="21"/>
      <c r="I989" s="24"/>
      <c r="J989" s="28"/>
      <c r="K989" s="54"/>
      <c r="L989" s="21"/>
      <c r="M989" s="24"/>
      <c r="N989" s="30"/>
      <c r="O989" s="30"/>
    </row>
    <row r="990" ht="14.25" customHeight="1">
      <c r="A990" s="28"/>
      <c r="B990" s="13"/>
      <c r="C990" s="34"/>
      <c r="D990" s="21"/>
      <c r="E990" s="34"/>
      <c r="F990" s="13"/>
      <c r="G990" s="34"/>
      <c r="H990" s="28"/>
      <c r="I990" s="34"/>
      <c r="J990" s="13"/>
      <c r="K990" s="24"/>
      <c r="L990" s="31"/>
      <c r="M990" s="24"/>
      <c r="N990" s="30"/>
      <c r="O990" s="30"/>
    </row>
    <row r="991" ht="14.25" customHeight="1">
      <c r="A991" s="28"/>
      <c r="B991" s="35" t="s">
        <v>25</v>
      </c>
      <c r="C991" s="55" t="str">
        <f>C986*B986 + B987*C987 + B988*C988 + B989*C989 + B990*C990</f>
        <v>#VALUE!</v>
      </c>
      <c r="D991" s="35" t="s">
        <v>25</v>
      </c>
      <c r="E991" s="55" t="str">
        <f>E986*D986 + D987*E987 + D988*E988 + D989*E989 + D990*E990</f>
        <v>#VALUE!</v>
      </c>
      <c r="F991" s="35" t="s">
        <v>25</v>
      </c>
      <c r="G991" s="55" t="str">
        <f>G986*F986 + F987*G987 + F988*G988 + F989*G989 + F990*G990</f>
        <v>#VALUE!</v>
      </c>
      <c r="H991" s="35" t="s">
        <v>25</v>
      </c>
      <c r="I991" s="56" t="str">
        <f>I986*H986 + H987*I987 + H988*I988 + H989*I989 + H990*I990</f>
        <v>#VALUE!</v>
      </c>
      <c r="J991" s="35" t="s">
        <v>25</v>
      </c>
      <c r="K991" s="36">
        <f>K986*J986 + J987*K987 + J988*K988 + J989*K989 + J990*K990</f>
        <v>0</v>
      </c>
      <c r="L991" s="57" t="s">
        <v>25</v>
      </c>
      <c r="M991" s="58">
        <f>M986*L986 + L987*M987 + L988*M988 + L989*M989 + L990*M990</f>
        <v>0</v>
      </c>
      <c r="N991" s="30"/>
      <c r="O991" s="30"/>
    </row>
    <row r="992" ht="14.25" customHeight="1">
      <c r="A992" s="28"/>
      <c r="B992" s="39" t="s">
        <v>26</v>
      </c>
      <c r="C992" s="40" t="str">
        <f>(B986*C986 + B987*C987 + B988*C988 + B989*C989 + B990*C990)/SUM(C986:C990)</f>
        <v>#VALUE!</v>
      </c>
      <c r="D992" s="59" t="s">
        <v>26</v>
      </c>
      <c r="E992" s="40" t="str">
        <f>(D986*E986 + D987*E987 + D988*E988 + D989*E989 + D990*E990)/SUM(E986:E990)</f>
        <v>#VALUE!</v>
      </c>
      <c r="F992" s="31" t="s">
        <v>26</v>
      </c>
      <c r="G992" s="75" t="str">
        <f>(F986*G986 + F987*G987 + F988*G988 + F989*G989 + F990*G990)/SUM(G986:G990)</f>
        <v>#VALUE!</v>
      </c>
      <c r="H992" s="59" t="s">
        <v>26</v>
      </c>
      <c r="I992" s="40" t="str">
        <f>(H986*I986 + H987*I987 + H988*I988 + H989*I989 + H990*I990)/SUM(I986:I990)</f>
        <v>#VALUE!</v>
      </c>
      <c r="J992" s="39" t="s">
        <v>26</v>
      </c>
      <c r="K992" s="40">
        <f>(J986*K986 + J987*K987 + J988*K988 + J989*K989 + J990*K990)/SUM(K986:K990)</f>
        <v>0</v>
      </c>
      <c r="L992" s="59" t="s">
        <v>26</v>
      </c>
      <c r="M992" s="40" t="str">
        <f>(L986*M986 + L987*M987 + L988*M988 + L989*M989 + L990*M990)/SUM(M990)</f>
        <v>#DIV/0!</v>
      </c>
      <c r="N992" s="30"/>
      <c r="O992" s="30"/>
    </row>
    <row r="993" ht="14.25" customHeight="1">
      <c r="A993" s="28"/>
      <c r="B993" s="28" t="s">
        <v>91</v>
      </c>
      <c r="C993" s="30" t="s">
        <v>49</v>
      </c>
      <c r="D993" s="28" t="s">
        <v>50</v>
      </c>
      <c r="E993" s="30" t="s">
        <v>49</v>
      </c>
      <c r="F993" s="120" t="s">
        <v>91</v>
      </c>
      <c r="G993" s="121" t="s">
        <v>49</v>
      </c>
      <c r="H993" s="122" t="s">
        <v>33</v>
      </c>
      <c r="I993" s="30"/>
      <c r="J993" s="28" t="s">
        <v>91</v>
      </c>
      <c r="K993" s="60" t="s">
        <v>49</v>
      </c>
      <c r="L993" s="30"/>
      <c r="M993" s="60" t="s">
        <v>49</v>
      </c>
      <c r="N993" s="30"/>
      <c r="O993" s="30"/>
    </row>
    <row r="994" ht="14.25" customHeight="1">
      <c r="A994" s="28"/>
      <c r="B994" s="27">
        <v>30.0</v>
      </c>
      <c r="C994" s="60"/>
      <c r="D994" s="27" t="s">
        <v>241</v>
      </c>
      <c r="E994" s="60"/>
      <c r="F994" s="27">
        <v>30.0</v>
      </c>
      <c r="G994" s="61"/>
      <c r="H994" s="30"/>
      <c r="I994" s="60"/>
      <c r="J994" s="27">
        <v>40.0</v>
      </c>
      <c r="K994" s="60"/>
      <c r="L994" s="62"/>
      <c r="M994" s="60"/>
      <c r="N994" s="30"/>
      <c r="O994" s="30"/>
    </row>
    <row r="995" ht="14.25" customHeight="1">
      <c r="A995" s="28"/>
      <c r="B995" s="27">
        <v>30.0</v>
      </c>
      <c r="C995" s="60"/>
      <c r="D995" s="27" t="s">
        <v>242</v>
      </c>
      <c r="E995" s="60"/>
      <c r="F995" s="69">
        <v>20.0</v>
      </c>
      <c r="G995" s="60"/>
      <c r="H995" s="30"/>
      <c r="I995" s="60"/>
      <c r="J995" s="69">
        <v>50.0</v>
      </c>
      <c r="K995" s="60"/>
      <c r="L995" s="30"/>
      <c r="M995" s="60"/>
      <c r="N995" s="30"/>
      <c r="O995" s="30"/>
    </row>
    <row r="996" ht="14.25" customHeight="1">
      <c r="A996" s="37"/>
      <c r="B996" s="28">
        <v>40.0</v>
      </c>
      <c r="C996" s="60"/>
      <c r="D996" s="28" t="s">
        <v>156</v>
      </c>
      <c r="E996" s="60"/>
      <c r="F996" s="1">
        <v>40.0</v>
      </c>
      <c r="G996" s="60"/>
      <c r="H996" s="30"/>
      <c r="I996" s="60"/>
      <c r="J996" s="1">
        <v>20.0</v>
      </c>
      <c r="K996" s="60"/>
      <c r="L996" s="30"/>
      <c r="M996" s="60"/>
      <c r="N996" s="30"/>
      <c r="O996" s="30"/>
    </row>
    <row r="997" ht="14.25" customHeight="1">
      <c r="A997" s="37"/>
      <c r="B997" s="28">
        <v>20.0</v>
      </c>
      <c r="C997" s="1"/>
      <c r="D997" s="28" t="s">
        <v>243</v>
      </c>
      <c r="E997" s="1"/>
      <c r="F997" s="28">
        <v>60.0</v>
      </c>
      <c r="G997" s="60"/>
      <c r="H997" s="30"/>
      <c r="I997" s="30"/>
      <c r="J997" s="28">
        <v>30.0</v>
      </c>
      <c r="K997" s="60"/>
      <c r="L997" s="30"/>
      <c r="M997" s="60"/>
      <c r="N997" s="30"/>
      <c r="O997" s="30"/>
    </row>
    <row r="998" ht="14.25" customHeight="1">
      <c r="A998" s="37"/>
      <c r="B998" s="28"/>
      <c r="C998" s="1"/>
      <c r="D998" s="28"/>
      <c r="E998" s="1"/>
      <c r="F998" s="28"/>
      <c r="G998" s="60"/>
      <c r="H998" s="30"/>
      <c r="I998" s="30"/>
      <c r="J998" s="28"/>
      <c r="K998" s="60"/>
      <c r="L998" s="30"/>
      <c r="M998" s="60"/>
      <c r="N998" s="30"/>
      <c r="O998" s="30"/>
    </row>
    <row r="999" ht="14.25" customHeight="1">
      <c r="A999" s="37"/>
      <c r="B999" s="28"/>
      <c r="C999" s="1"/>
      <c r="D999" s="28"/>
      <c r="E999" s="1"/>
      <c r="F999" s="28"/>
      <c r="G999" s="60"/>
      <c r="H999" s="30"/>
      <c r="I999" s="30"/>
      <c r="J999" s="37"/>
      <c r="K999" s="60"/>
      <c r="L999" s="30"/>
      <c r="M999" s="60"/>
      <c r="N999" s="30"/>
      <c r="O999" s="30"/>
    </row>
    <row r="1000" ht="14.25" customHeight="1">
      <c r="A1000" s="64"/>
      <c r="B1000" s="65"/>
      <c r="C1000" s="66"/>
      <c r="D1000" s="65"/>
      <c r="E1000" s="66"/>
      <c r="F1000" s="64"/>
      <c r="G1000" s="67"/>
      <c r="H1000" s="66"/>
      <c r="I1000" s="66"/>
      <c r="J1000" s="64"/>
      <c r="K1000" s="67"/>
      <c r="L1000" s="66"/>
      <c r="M1000" s="67"/>
      <c r="N1000" s="30"/>
      <c r="O1000" s="30"/>
    </row>
    <row r="1001" ht="14.25" customHeight="1">
      <c r="A1001" s="30"/>
      <c r="B1001" s="30"/>
      <c r="C1001" s="30"/>
      <c r="D1001" s="23"/>
      <c r="E1001" s="30"/>
      <c r="F1001" s="30"/>
      <c r="G1001" s="30"/>
      <c r="H1001" s="23"/>
      <c r="I1001" s="30"/>
      <c r="J1001" s="30"/>
      <c r="K1001" s="30"/>
      <c r="L1001" s="30"/>
      <c r="M1001" s="30"/>
      <c r="N1001" s="30"/>
      <c r="O1001" s="30"/>
    </row>
    <row r="1002" ht="14.25" customHeight="1">
      <c r="A1002" s="2" t="s">
        <v>2</v>
      </c>
      <c r="B1002" s="3" t="s">
        <v>3</v>
      </c>
      <c r="C1002" s="4">
        <f>M965+2</f>
        <v>45544</v>
      </c>
      <c r="D1002" s="5" t="s">
        <v>4</v>
      </c>
      <c r="E1002" s="6">
        <f>C1002+1</f>
        <v>45545</v>
      </c>
      <c r="F1002" s="3" t="s">
        <v>5</v>
      </c>
      <c r="G1002" s="6">
        <f>E1002+1</f>
        <v>45546</v>
      </c>
      <c r="H1002" s="3" t="s">
        <v>6</v>
      </c>
      <c r="I1002" s="6">
        <f>G1002+1</f>
        <v>45547</v>
      </c>
      <c r="J1002" s="3" t="s">
        <v>7</v>
      </c>
      <c r="K1002" s="6">
        <f>I1002+1</f>
        <v>45548</v>
      </c>
      <c r="L1002" s="7" t="s">
        <v>8</v>
      </c>
      <c r="M1002" s="8">
        <f>K1002+1</f>
        <v>45549</v>
      </c>
      <c r="N1002" s="30"/>
      <c r="O1002" s="30"/>
    </row>
    <row r="1003" ht="14.25" customHeight="1">
      <c r="A1003" s="10">
        <f>A966+1</f>
        <v>28</v>
      </c>
      <c r="B1003" s="11" t="s">
        <v>10</v>
      </c>
      <c r="C1003" s="12" t="s">
        <v>11</v>
      </c>
      <c r="D1003" s="11" t="s">
        <v>10</v>
      </c>
      <c r="E1003" s="12" t="s">
        <v>11</v>
      </c>
      <c r="F1003" s="11" t="s">
        <v>10</v>
      </c>
      <c r="G1003" s="12" t="s">
        <v>11</v>
      </c>
      <c r="H1003" s="11" t="s">
        <v>10</v>
      </c>
      <c r="I1003" s="12" t="s">
        <v>11</v>
      </c>
      <c r="J1003" s="11" t="s">
        <v>10</v>
      </c>
      <c r="K1003" s="12" t="s">
        <v>11</v>
      </c>
      <c r="L1003" s="11" t="s">
        <v>10</v>
      </c>
      <c r="M1003" s="12" t="s">
        <v>11</v>
      </c>
      <c r="N1003" s="30"/>
      <c r="O1003" s="30"/>
    </row>
    <row r="1004" ht="14.25" customHeight="1">
      <c r="A1004" s="13" t="s">
        <v>12</v>
      </c>
      <c r="B1004" s="20" t="s">
        <v>142</v>
      </c>
      <c r="C1004" s="17"/>
      <c r="D1004" s="18" t="s">
        <v>14</v>
      </c>
      <c r="E1004" s="17"/>
      <c r="F1004" s="20" t="s">
        <v>145</v>
      </c>
      <c r="G1004" s="17"/>
      <c r="H1004" s="42" t="s">
        <v>15</v>
      </c>
      <c r="I1004" s="17"/>
      <c r="J1004" s="20" t="s">
        <v>245</v>
      </c>
      <c r="K1004" s="17"/>
      <c r="L1004" s="72" t="s">
        <v>14</v>
      </c>
      <c r="M1004" s="17"/>
      <c r="N1004" s="30"/>
      <c r="O1004" s="30"/>
    </row>
    <row r="1005" ht="14.25" customHeight="1">
      <c r="A1005" s="13"/>
      <c r="B1005" s="46">
        <v>140.0</v>
      </c>
      <c r="C1005" s="48">
        <v>3.0</v>
      </c>
      <c r="D1005" s="1" t="s">
        <v>262</v>
      </c>
      <c r="E1005" s="54" t="s">
        <v>222</v>
      </c>
      <c r="F1005" s="46">
        <v>95.0</v>
      </c>
      <c r="G1005" s="48">
        <v>3.0</v>
      </c>
      <c r="H1005" s="27" t="s">
        <v>130</v>
      </c>
      <c r="I1005" s="26"/>
      <c r="J1005" s="46">
        <v>50.0</v>
      </c>
      <c r="K1005" s="48">
        <v>6.0</v>
      </c>
      <c r="L1005" s="27" t="s">
        <v>231</v>
      </c>
      <c r="M1005" s="24"/>
      <c r="N1005" s="30"/>
      <c r="O1005" s="30"/>
    </row>
    <row r="1006" ht="14.25" customHeight="1">
      <c r="A1006" s="28" t="s">
        <v>20</v>
      </c>
      <c r="B1006" s="46">
        <v>145.0</v>
      </c>
      <c r="C1006" s="48">
        <v>2.0</v>
      </c>
      <c r="D1006" s="1" t="s">
        <v>263</v>
      </c>
      <c r="E1006" s="26"/>
      <c r="F1006" s="46">
        <v>97.5</v>
      </c>
      <c r="G1006" s="48">
        <v>2.0</v>
      </c>
      <c r="H1006" s="28" t="s">
        <v>247</v>
      </c>
      <c r="I1006" s="54" t="s">
        <v>222</v>
      </c>
      <c r="J1006" s="46">
        <v>55.0</v>
      </c>
      <c r="K1006" s="48">
        <v>6.0</v>
      </c>
      <c r="L1006" s="28" t="s">
        <v>233</v>
      </c>
      <c r="M1006" s="24"/>
      <c r="N1006" s="30"/>
      <c r="O1006" s="30"/>
    </row>
    <row r="1007" ht="14.25" customHeight="1">
      <c r="A1007" s="29" t="s">
        <v>22</v>
      </c>
      <c r="B1007" s="46">
        <v>150.0</v>
      </c>
      <c r="C1007" s="48">
        <v>2.0</v>
      </c>
      <c r="D1007" s="1"/>
      <c r="E1007" s="26"/>
      <c r="F1007" s="46">
        <v>100.0</v>
      </c>
      <c r="G1007" s="48">
        <v>2.0</v>
      </c>
      <c r="H1007" s="28"/>
      <c r="I1007" s="26"/>
      <c r="J1007" s="46">
        <v>60.0</v>
      </c>
      <c r="K1007" s="48">
        <v>6.0</v>
      </c>
      <c r="L1007" s="23"/>
      <c r="M1007" s="24"/>
      <c r="N1007" s="30"/>
      <c r="O1007" s="30"/>
    </row>
    <row r="1008" ht="14.25" customHeight="1">
      <c r="A1008" s="28" t="s">
        <v>23</v>
      </c>
      <c r="B1008" s="46"/>
      <c r="C1008" s="48"/>
      <c r="D1008" s="1"/>
      <c r="E1008" s="26"/>
      <c r="F1008" s="46"/>
      <c r="G1008" s="48"/>
      <c r="H1008" s="1"/>
      <c r="I1008" s="24"/>
      <c r="J1008" s="46"/>
      <c r="K1008" s="48"/>
      <c r="L1008" s="32" t="s">
        <v>82</v>
      </c>
      <c r="M1008" s="26"/>
      <c r="N1008" s="30"/>
      <c r="O1008" s="30"/>
    </row>
    <row r="1009" ht="14.25" customHeight="1">
      <c r="A1009" s="13"/>
      <c r="B1009" s="13"/>
      <c r="C1009" s="24"/>
      <c r="D1009" s="33"/>
      <c r="E1009" s="26"/>
      <c r="F1009" s="13"/>
      <c r="G1009" s="34"/>
      <c r="H1009" s="13"/>
      <c r="I1009" s="34"/>
      <c r="J1009" s="13"/>
      <c r="K1009" s="24"/>
      <c r="L1009" s="13"/>
      <c r="M1009" s="24"/>
      <c r="N1009" s="30"/>
      <c r="O1009" s="30"/>
    </row>
    <row r="1010" ht="14.25" customHeight="1">
      <c r="A1010" s="28" t="s">
        <v>24</v>
      </c>
      <c r="B1010" s="35" t="s">
        <v>25</v>
      </c>
      <c r="C1010" s="58">
        <f>C1005*B1005 + B1006*C1006 + B1007*C1007 + B1008*C1008 + B1009*C1009</f>
        <v>1010</v>
      </c>
      <c r="D1010" s="57" t="s">
        <v>25</v>
      </c>
      <c r="E1010" s="55" t="str">
        <f>E1005*D1005 + D1006*#REF! + E1006*E1007 + D1008*E1008 + D1009*E1009</f>
        <v>#VALUE!</v>
      </c>
      <c r="F1010" s="35" t="s">
        <v>25</v>
      </c>
      <c r="G1010" s="56">
        <f>G1005*F1005 + F1006*G1006 + F1007*G1007 + F1008*G1008 + F1009*G1009</f>
        <v>680</v>
      </c>
      <c r="H1010" s="35" t="s">
        <v>25</v>
      </c>
      <c r="I1010" s="56" t="str">
        <f>I1005*H1005 + H1006*I1006 + H1007*I1007 + H1008*I1008 + H1009*I1009</f>
        <v>#VALUE!</v>
      </c>
      <c r="J1010" s="35" t="s">
        <v>25</v>
      </c>
      <c r="K1010" s="58">
        <f>K1005*J1005 + J1006*K1006 + J1007*K1007 + J1008*K1008 + J1009*K1009</f>
        <v>990</v>
      </c>
      <c r="L1010" s="35" t="s">
        <v>25</v>
      </c>
      <c r="M1010" s="36" t="str">
        <f>M1005*L1005 + L1006*M1006 + L1007*M1007 + L1008*M1008 + L1009*M1009</f>
        <v>#VALUE!</v>
      </c>
      <c r="N1010" s="30"/>
      <c r="O1010" s="30"/>
    </row>
    <row r="1011" ht="14.25" customHeight="1">
      <c r="A1011" s="37"/>
      <c r="B1011" s="39" t="s">
        <v>26</v>
      </c>
      <c r="C1011" s="116">
        <f>(B1005*C1005 + B1006*C1006 + B1007*C1007 + B1008*C1008 + B1009*C1009)/SUM(C1005:C1009)</f>
        <v>144.2857143</v>
      </c>
      <c r="D1011" s="31" t="s">
        <v>26</v>
      </c>
      <c r="E1011" s="74" t="str">
        <f>(D1005*E1005 + D1006*#REF! + E1006*E1007 + D1008*E1008 + D1009*E1009)/SUM(E1005:E1009)</f>
        <v>#VALUE!</v>
      </c>
      <c r="F1011" s="13" t="s">
        <v>26</v>
      </c>
      <c r="G1011" s="117">
        <f>(F1005*G1005 + F1006*G1006 + F1007*G1007 + F1008*G1008 + F1009*G1009)/SUM(G1005:G1009)</f>
        <v>97.14285714</v>
      </c>
      <c r="H1011" s="13" t="s">
        <v>26</v>
      </c>
      <c r="I1011" s="74" t="str">
        <f>(H1005*I1005 + H1006*I1006 + H1007*I1007 + H1008*I1008 + H1009*I1009)/SUM(I1005:I1009)</f>
        <v>#VALUE!</v>
      </c>
      <c r="J1011" s="39" t="s">
        <v>26</v>
      </c>
      <c r="K1011" s="116">
        <f>(J1005*K1005 + J1006*K1006 + J1007*K1007 + J1008*K1008 + J1009*K1009)/SUM(K1005:K1009)</f>
        <v>55</v>
      </c>
      <c r="L1011" s="13" t="s">
        <v>26</v>
      </c>
      <c r="M1011" s="75" t="str">
        <f>(L1005*M1005 + L1006*M1006 + L1007*M1007 + L1008*M1008 + L1009*M1009)/SUM(M1005:M1009)</f>
        <v>#VALUE!</v>
      </c>
      <c r="N1011" s="30"/>
      <c r="O1011" s="30"/>
    </row>
    <row r="1012" ht="14.25" customHeight="1">
      <c r="A1012" s="28" t="s">
        <v>27</v>
      </c>
      <c r="B1012" s="11" t="s">
        <v>10</v>
      </c>
      <c r="C1012" s="12" t="s">
        <v>11</v>
      </c>
      <c r="D1012" s="11" t="s">
        <v>10</v>
      </c>
      <c r="E1012" s="12" t="s">
        <v>11</v>
      </c>
      <c r="F1012" s="11" t="s">
        <v>10</v>
      </c>
      <c r="G1012" s="12" t="s">
        <v>11</v>
      </c>
      <c r="H1012" s="11" t="s">
        <v>10</v>
      </c>
      <c r="I1012" s="12" t="s">
        <v>11</v>
      </c>
      <c r="J1012" s="11" t="s">
        <v>10</v>
      </c>
      <c r="K1012" s="12" t="s">
        <v>11</v>
      </c>
      <c r="L1012" s="11" t="s">
        <v>10</v>
      </c>
      <c r="M1012" s="12" t="s">
        <v>11</v>
      </c>
      <c r="N1012" s="30"/>
      <c r="O1012" s="30"/>
    </row>
    <row r="1013" ht="14.25" customHeight="1">
      <c r="A1013" s="41" t="s">
        <v>28</v>
      </c>
      <c r="B1013" s="20" t="s">
        <v>224</v>
      </c>
      <c r="C1013" s="17"/>
      <c r="D1013" s="45" t="s">
        <v>91</v>
      </c>
      <c r="E1013" s="76" t="s">
        <v>49</v>
      </c>
      <c r="F1013" s="68" t="s">
        <v>248</v>
      </c>
      <c r="G1013" s="17"/>
      <c r="H1013" s="42" t="s">
        <v>91</v>
      </c>
      <c r="I1013" s="44" t="s">
        <v>49</v>
      </c>
      <c r="J1013" s="68" t="s">
        <v>225</v>
      </c>
      <c r="K1013" s="17"/>
      <c r="L1013" s="42" t="s">
        <v>91</v>
      </c>
      <c r="M1013" s="44" t="s">
        <v>90</v>
      </c>
      <c r="N1013" s="30"/>
      <c r="O1013" s="30"/>
    </row>
    <row r="1014" ht="14.25" customHeight="1">
      <c r="A1014" s="28"/>
      <c r="B1014" s="46">
        <v>195.0</v>
      </c>
      <c r="C1014" s="48">
        <v>5.0</v>
      </c>
      <c r="D1014" s="46"/>
      <c r="E1014" s="26"/>
      <c r="F1014" s="46">
        <v>110.0</v>
      </c>
      <c r="G1014" s="48">
        <v>4.0</v>
      </c>
      <c r="H1014" s="21">
        <v>30.0</v>
      </c>
      <c r="I1014" s="24"/>
      <c r="J1014" s="46">
        <v>120.0</v>
      </c>
      <c r="K1014" s="48">
        <v>5.0</v>
      </c>
      <c r="L1014" s="46">
        <v>30.0</v>
      </c>
      <c r="M1014" s="26"/>
      <c r="N1014" s="30"/>
      <c r="O1014" s="30"/>
    </row>
    <row r="1015" ht="14.25" customHeight="1">
      <c r="A1015" s="28" t="s">
        <v>37</v>
      </c>
      <c r="B1015" s="46">
        <v>205.0</v>
      </c>
      <c r="C1015" s="48">
        <v>5.0</v>
      </c>
      <c r="D1015" s="46"/>
      <c r="E1015" s="26"/>
      <c r="F1015" s="46">
        <v>115.0</v>
      </c>
      <c r="G1015" s="48">
        <v>4.0</v>
      </c>
      <c r="H1015" s="46">
        <v>60.0</v>
      </c>
      <c r="I1015" s="54" t="s">
        <v>237</v>
      </c>
      <c r="J1015" s="46">
        <v>130.0</v>
      </c>
      <c r="K1015" s="48">
        <v>5.0</v>
      </c>
      <c r="L1015" s="46">
        <v>40.0</v>
      </c>
      <c r="M1015" s="26"/>
      <c r="N1015" s="30"/>
      <c r="O1015" s="30"/>
    </row>
    <row r="1016" ht="14.25" customHeight="1">
      <c r="A1016" s="28" t="s">
        <v>39</v>
      </c>
      <c r="B1016" s="46">
        <v>210.0</v>
      </c>
      <c r="C1016" s="48">
        <v>5.0</v>
      </c>
      <c r="D1016" s="21"/>
      <c r="E1016" s="54"/>
      <c r="F1016" s="46">
        <v>120.0</v>
      </c>
      <c r="G1016" s="48">
        <v>4.0</v>
      </c>
      <c r="H1016" s="21">
        <v>30.0</v>
      </c>
      <c r="I1016" s="24"/>
      <c r="J1016" s="46">
        <v>135.0</v>
      </c>
      <c r="K1016" s="48">
        <v>5.0</v>
      </c>
      <c r="L1016" s="21">
        <v>60.0</v>
      </c>
      <c r="M1016" s="26"/>
      <c r="N1016" s="30"/>
      <c r="O1016" s="30"/>
    </row>
    <row r="1017" ht="14.25" customHeight="1">
      <c r="A1017" s="28"/>
      <c r="B1017" s="46"/>
      <c r="C1017" s="48"/>
      <c r="D1017" s="21"/>
      <c r="E1017" s="54"/>
      <c r="F1017" s="46"/>
      <c r="G1017" s="48"/>
      <c r="H1017" s="46"/>
      <c r="I1017" s="24"/>
      <c r="J1017" s="46" t="s">
        <v>264</v>
      </c>
      <c r="K1017" s="48"/>
      <c r="L1017" s="46">
        <v>20.0</v>
      </c>
      <c r="M1017" s="26"/>
      <c r="N1017" s="30"/>
      <c r="O1017" s="30"/>
    </row>
    <row r="1018" ht="14.25" customHeight="1">
      <c r="A1018" s="28" t="s">
        <v>41</v>
      </c>
      <c r="B1018" s="13"/>
      <c r="C1018" s="24"/>
      <c r="D1018" s="32"/>
      <c r="E1018" s="24"/>
      <c r="F1018" s="31"/>
      <c r="G1018" s="24"/>
      <c r="H1018" s="32"/>
      <c r="I1018" s="24"/>
      <c r="J1018" s="31"/>
      <c r="K1018" s="24"/>
      <c r="L1018" s="32"/>
      <c r="M1018" s="24"/>
      <c r="N1018" s="30"/>
      <c r="O1018" s="30"/>
    </row>
    <row r="1019" ht="14.25" customHeight="1">
      <c r="A1019" s="28" t="s">
        <v>43</v>
      </c>
      <c r="B1019" s="13"/>
      <c r="C1019" s="34"/>
      <c r="D1019" s="32"/>
      <c r="E1019" s="26"/>
      <c r="F1019" s="13"/>
      <c r="G1019" s="34"/>
      <c r="H1019" s="32" t="s">
        <v>140</v>
      </c>
      <c r="I1019" s="24"/>
      <c r="J1019" s="13"/>
      <c r="K1019" s="24"/>
      <c r="L1019" s="32" t="s">
        <v>140</v>
      </c>
      <c r="M1019" s="26"/>
      <c r="N1019" s="30"/>
      <c r="O1019" s="30"/>
    </row>
    <row r="1020" ht="14.25" customHeight="1">
      <c r="A1020" s="28"/>
      <c r="B1020" s="35" t="s">
        <v>25</v>
      </c>
      <c r="C1020" s="55">
        <f>C1014*B1014 + B1015*C1015 + B1016*C1016 + B1017*C1017 + B1019*C1019</f>
        <v>3050</v>
      </c>
      <c r="D1020" s="35" t="s">
        <v>25</v>
      </c>
      <c r="E1020" s="36">
        <f>E1014*D1014 + D1015*E1015 + D1016*E1016 + D1017*E1017 + D1019*E1019</f>
        <v>0</v>
      </c>
      <c r="F1020" s="35" t="s">
        <v>25</v>
      </c>
      <c r="G1020" s="55">
        <f>G1014*F1014 + F1015*G1015 + F1016*G1016 + F1017*G1017 + F1019*G1019</f>
        <v>1380</v>
      </c>
      <c r="H1020" s="35" t="s">
        <v>25</v>
      </c>
      <c r="I1020" s="36" t="str">
        <f>I1014*H1014 + H1015*I1015 + H1016*I1016 + H1017*I1017 + H1019*I1019</f>
        <v>#VALUE!</v>
      </c>
      <c r="J1020" s="35" t="s">
        <v>25</v>
      </c>
      <c r="K1020" s="36" t="str">
        <f>K1014*J1014 + J1015*K1015 + J1016*K1016 + J1017*K1017 + J1019*K1019</f>
        <v>#VALUE!</v>
      </c>
      <c r="L1020" s="35" t="s">
        <v>25</v>
      </c>
      <c r="M1020" s="36" t="str">
        <f>M1014*L1014 + L1015*M1015 + L1016*M1016 + L1017*M1017 + L1019*M1019</f>
        <v>#VALUE!</v>
      </c>
      <c r="N1020" s="30"/>
      <c r="O1020" s="30"/>
    </row>
    <row r="1021" ht="14.25" customHeight="1">
      <c r="A1021" s="28" t="s">
        <v>116</v>
      </c>
      <c r="B1021" s="39" t="s">
        <v>26</v>
      </c>
      <c r="C1021" s="77">
        <f>(B1014*C1014 + B1015*C1015 + B1016*C1016 + B1017*C1017 + B1019*C1019)/SUM(C1014:C1019)</f>
        <v>203.3333333</v>
      </c>
      <c r="D1021" s="39" t="s">
        <v>26</v>
      </c>
      <c r="E1021" s="40" t="str">
        <f>(D1014*E1014 + D1015*E1015 + D1016*E1016 + D1017*E1017 + D1019*E1019)/SUM(E1014:E1019)</f>
        <v>#DIV/0!</v>
      </c>
      <c r="F1021" s="39" t="s">
        <v>26</v>
      </c>
      <c r="G1021" s="77">
        <f>(F1014*G1014 + F1015*G1015 + F1016*G1016 + F1017*G1017 + F1019*G1019)/SUM(G1014:G1019)</f>
        <v>115</v>
      </c>
      <c r="H1021" s="39" t="s">
        <v>26</v>
      </c>
      <c r="I1021" s="40" t="str">
        <f>(H1014*I1014 + H1015*I1015 + H1016*I1016 + H1017*I1017 + H1019*I1019)/SUM(I1014:I1019)</f>
        <v>#VALUE!</v>
      </c>
      <c r="J1021" s="39" t="s">
        <v>26</v>
      </c>
      <c r="K1021" s="40" t="str">
        <f>(J1014*K1014 + J1015*K1015 + J1016*K1016 + J1017*K1017 + J1019*K1019)/SUM(K1014:K1019)</f>
        <v>#VALUE!</v>
      </c>
      <c r="L1021" s="39" t="s">
        <v>26</v>
      </c>
      <c r="M1021" s="40" t="str">
        <f>(L1014*M1014 + L1015*M1015 + L1016*M1016 + L1017*M1017 + L1019*M1019)/SUM(M1014:M1019)</f>
        <v>#VALUE!</v>
      </c>
      <c r="N1021" s="30"/>
      <c r="O1021" s="30"/>
    </row>
    <row r="1022" ht="14.25" customHeight="1">
      <c r="A1022" s="28" t="s">
        <v>117</v>
      </c>
      <c r="B1022" s="70" t="s">
        <v>265</v>
      </c>
      <c r="C1022" s="17"/>
      <c r="D1022" s="113" t="s">
        <v>105</v>
      </c>
      <c r="E1022" s="50" t="s">
        <v>49</v>
      </c>
      <c r="F1022" s="70" t="s">
        <v>266</v>
      </c>
      <c r="G1022" s="17"/>
      <c r="H1022" s="113"/>
      <c r="I1022" s="125"/>
      <c r="J1022" s="70" t="s">
        <v>249</v>
      </c>
      <c r="K1022" s="17"/>
      <c r="L1022" s="113" t="s">
        <v>105</v>
      </c>
      <c r="M1022" s="50" t="s">
        <v>49</v>
      </c>
      <c r="N1022" s="30"/>
      <c r="O1022" s="30"/>
    </row>
    <row r="1023" ht="14.25" customHeight="1">
      <c r="A1023" s="28" t="s">
        <v>120</v>
      </c>
      <c r="B1023" s="28">
        <v>4.0</v>
      </c>
      <c r="C1023" s="54"/>
      <c r="D1023" s="46" t="s">
        <v>250</v>
      </c>
      <c r="E1023" s="24"/>
      <c r="F1023" s="28" t="s">
        <v>267</v>
      </c>
      <c r="G1023" s="54"/>
      <c r="H1023" s="21">
        <v>30.0</v>
      </c>
      <c r="I1023" s="24"/>
      <c r="J1023" s="28"/>
      <c r="K1023" s="54">
        <v>8.0</v>
      </c>
      <c r="L1023" s="21"/>
      <c r="M1023" s="24"/>
      <c r="N1023" s="30"/>
      <c r="O1023" s="30"/>
    </row>
    <row r="1024" ht="14.25" customHeight="1">
      <c r="A1024" s="28"/>
      <c r="B1024" s="27">
        <v>4.0</v>
      </c>
      <c r="C1024" s="54"/>
      <c r="D1024" s="46" t="s">
        <v>260</v>
      </c>
      <c r="E1024" s="54" t="s">
        <v>261</v>
      </c>
      <c r="F1024" s="27" t="s">
        <v>268</v>
      </c>
      <c r="G1024" s="54"/>
      <c r="H1024" s="46">
        <v>60.0</v>
      </c>
      <c r="I1024" s="54" t="s">
        <v>237</v>
      </c>
      <c r="J1024" s="27"/>
      <c r="K1024" s="54">
        <v>8.0</v>
      </c>
      <c r="L1024" s="21"/>
      <c r="M1024" s="26"/>
      <c r="N1024" s="30"/>
      <c r="O1024" s="30"/>
    </row>
    <row r="1025" ht="14.25" customHeight="1">
      <c r="A1025" s="28"/>
      <c r="B1025" s="27">
        <v>4.0</v>
      </c>
      <c r="C1025" s="54"/>
      <c r="D1025" s="46"/>
      <c r="E1025" s="24"/>
      <c r="F1025" s="27" t="s">
        <v>269</v>
      </c>
      <c r="G1025" s="54"/>
      <c r="H1025" s="21">
        <v>30.0</v>
      </c>
      <c r="I1025" s="24"/>
      <c r="J1025" s="27"/>
      <c r="K1025" s="54">
        <v>8.0</v>
      </c>
      <c r="L1025" s="46"/>
      <c r="M1025" s="24"/>
      <c r="N1025" s="30"/>
      <c r="O1025" s="30"/>
    </row>
    <row r="1026" ht="14.25" customHeight="1">
      <c r="A1026" s="28"/>
      <c r="B1026" s="28">
        <v>4.0</v>
      </c>
      <c r="C1026" s="79"/>
      <c r="D1026" s="21"/>
      <c r="E1026" s="24"/>
      <c r="F1026" s="28"/>
      <c r="G1026" s="34"/>
      <c r="H1026" s="21"/>
      <c r="I1026" s="24"/>
      <c r="J1026" s="28"/>
      <c r="K1026" s="54"/>
      <c r="L1026" s="21"/>
      <c r="M1026" s="24"/>
      <c r="N1026" s="30"/>
      <c r="O1026" s="30"/>
    </row>
    <row r="1027" ht="14.25" customHeight="1">
      <c r="A1027" s="28"/>
      <c r="B1027" s="13"/>
      <c r="C1027" s="34"/>
      <c r="D1027" s="21"/>
      <c r="E1027" s="34"/>
      <c r="F1027" s="13"/>
      <c r="G1027" s="34"/>
      <c r="H1027" s="28"/>
      <c r="I1027" s="34"/>
      <c r="J1027" s="13"/>
      <c r="K1027" s="24"/>
      <c r="L1027" s="31"/>
      <c r="M1027" s="24"/>
      <c r="N1027" s="30"/>
      <c r="O1027" s="30"/>
    </row>
    <row r="1028" ht="14.25" customHeight="1">
      <c r="A1028" s="28"/>
      <c r="B1028" s="35" t="s">
        <v>25</v>
      </c>
      <c r="C1028" s="55">
        <f>C1023*B1023 + B1024*C1024 + B1025*C1025 + B1026*C1026 + B1027*C1027</f>
        <v>0</v>
      </c>
      <c r="D1028" s="35" t="s">
        <v>25</v>
      </c>
      <c r="E1028" s="55" t="str">
        <f>E1023*D1023 + D1024*E1024 + D1025*E1025 + D1026*E1026 + D1027*E1027</f>
        <v>#VALUE!</v>
      </c>
      <c r="F1028" s="35" t="s">
        <v>25</v>
      </c>
      <c r="G1028" s="55" t="str">
        <f>G1023*F1023 + F1024*G1024 + F1025*G1025 + F1026*G1026 + F1027*G1027</f>
        <v>#VALUE!</v>
      </c>
      <c r="H1028" s="35" t="s">
        <v>25</v>
      </c>
      <c r="I1028" s="56" t="str">
        <f>I1023*H1023 + H1024*I1024 + H1025*I1025 + H1026*I1026 + H1027*I1027</f>
        <v>#VALUE!</v>
      </c>
      <c r="J1028" s="35" t="s">
        <v>25</v>
      </c>
      <c r="K1028" s="36">
        <f>K1023*J1023 + J1024*K1024 + J1025*K1025 + J1026*K1026 + J1027*K1027</f>
        <v>0</v>
      </c>
      <c r="L1028" s="57" t="s">
        <v>25</v>
      </c>
      <c r="M1028" s="58">
        <f>M1023*L1023 + L1024*M1024 + L1025*M1025 + L1026*M1026 + L1027*M1027</f>
        <v>0</v>
      </c>
      <c r="N1028" s="30"/>
      <c r="O1028" s="30"/>
    </row>
    <row r="1029" ht="14.25" customHeight="1">
      <c r="A1029" s="28"/>
      <c r="B1029" s="39" t="s">
        <v>26</v>
      </c>
      <c r="C1029" s="40" t="str">
        <f>(B1023*C1023 + B1024*C1024 + B1025*C1025 + B1026*C1026 + B1027*C1027)/SUM(C1023:C1027)</f>
        <v>#DIV/0!</v>
      </c>
      <c r="D1029" s="59" t="s">
        <v>26</v>
      </c>
      <c r="E1029" s="40" t="str">
        <f>(D1023*E1023 + D1024*E1024 + D1025*E1025 + D1026*E1026 + D1027*E1027)/SUM(E1023:E1027)</f>
        <v>#VALUE!</v>
      </c>
      <c r="F1029" s="31" t="s">
        <v>26</v>
      </c>
      <c r="G1029" s="75" t="str">
        <f>(F1023*G1023 + F1024*G1024 + F1025*G1025 + F1026*G1026 + F1027*G1027)/SUM(G1023:G1027)</f>
        <v>#VALUE!</v>
      </c>
      <c r="H1029" s="59" t="s">
        <v>26</v>
      </c>
      <c r="I1029" s="40" t="str">
        <f>(H1023*I1023 + H1024*I1024 + H1025*I1025 + H1026*I1026 + H1027*I1027)/SUM(I1023:I1027)</f>
        <v>#VALUE!</v>
      </c>
      <c r="J1029" s="39" t="s">
        <v>26</v>
      </c>
      <c r="K1029" s="40">
        <f>(J1023*K1023 + J1024*K1024 + J1025*K1025 + J1026*K1026 + J1027*K1027)/SUM(K1023:K1027)</f>
        <v>0</v>
      </c>
      <c r="L1029" s="59" t="s">
        <v>26</v>
      </c>
      <c r="M1029" s="40" t="str">
        <f>(L1023*M1023 + L1024*M1024 + L1025*M1025 + L1026*M1026 + L1027*M1027)/SUM(M1027)</f>
        <v>#DIV/0!</v>
      </c>
      <c r="N1029" s="30"/>
      <c r="O1029" s="30"/>
    </row>
    <row r="1030" ht="14.25" customHeight="1">
      <c r="A1030" s="28"/>
      <c r="B1030" s="28" t="s">
        <v>91</v>
      </c>
      <c r="C1030" s="30" t="s">
        <v>49</v>
      </c>
      <c r="D1030" s="28" t="s">
        <v>50</v>
      </c>
      <c r="E1030" s="30" t="s">
        <v>49</v>
      </c>
      <c r="F1030" s="120" t="s">
        <v>91</v>
      </c>
      <c r="G1030" s="121" t="s">
        <v>49</v>
      </c>
      <c r="H1030" s="122" t="s">
        <v>33</v>
      </c>
      <c r="I1030" s="30"/>
      <c r="J1030" s="28" t="s">
        <v>91</v>
      </c>
      <c r="K1030" s="60" t="s">
        <v>49</v>
      </c>
      <c r="L1030" s="30"/>
      <c r="M1030" s="60" t="s">
        <v>49</v>
      </c>
      <c r="N1030" s="30"/>
      <c r="O1030" s="30"/>
    </row>
    <row r="1031" ht="14.25" customHeight="1">
      <c r="A1031" s="28"/>
      <c r="B1031" s="27">
        <v>30.0</v>
      </c>
      <c r="C1031" s="60"/>
      <c r="D1031" s="27" t="s">
        <v>241</v>
      </c>
      <c r="E1031" s="60"/>
      <c r="F1031" s="27">
        <v>30.0</v>
      </c>
      <c r="G1031" s="61"/>
      <c r="H1031" s="30"/>
      <c r="I1031" s="60"/>
      <c r="J1031" s="27">
        <v>40.0</v>
      </c>
      <c r="K1031" s="60"/>
      <c r="L1031" s="62"/>
      <c r="M1031" s="60"/>
      <c r="N1031" s="30"/>
      <c r="O1031" s="30"/>
    </row>
    <row r="1032" ht="14.25" customHeight="1">
      <c r="A1032" s="28"/>
      <c r="B1032" s="27">
        <v>30.0</v>
      </c>
      <c r="C1032" s="60"/>
      <c r="D1032" s="27" t="s">
        <v>270</v>
      </c>
      <c r="E1032" s="60"/>
      <c r="F1032" s="69">
        <v>20.0</v>
      </c>
      <c r="G1032" s="60"/>
      <c r="H1032" s="30"/>
      <c r="I1032" s="60"/>
      <c r="J1032" s="69">
        <v>30.0</v>
      </c>
      <c r="K1032" s="60"/>
      <c r="L1032" s="30"/>
      <c r="M1032" s="60"/>
      <c r="N1032" s="30"/>
      <c r="O1032" s="30"/>
    </row>
    <row r="1033" ht="14.25" customHeight="1">
      <c r="A1033" s="37"/>
      <c r="B1033" s="28">
        <v>40.0</v>
      </c>
      <c r="C1033" s="60"/>
      <c r="D1033" s="28" t="s">
        <v>156</v>
      </c>
      <c r="E1033" s="60"/>
      <c r="F1033" s="1">
        <v>40.0</v>
      </c>
      <c r="G1033" s="60"/>
      <c r="H1033" s="30"/>
      <c r="I1033" s="60"/>
      <c r="J1033" s="1">
        <v>20.0</v>
      </c>
      <c r="K1033" s="60"/>
      <c r="L1033" s="30"/>
      <c r="M1033" s="60"/>
      <c r="N1033" s="30"/>
      <c r="O1033" s="30"/>
    </row>
    <row r="1034" ht="14.25" customHeight="1">
      <c r="A1034" s="37"/>
      <c r="B1034" s="28">
        <v>20.0</v>
      </c>
      <c r="C1034" s="1"/>
      <c r="D1034" s="28" t="s">
        <v>243</v>
      </c>
      <c r="E1034" s="1"/>
      <c r="F1034" s="28"/>
      <c r="G1034" s="60"/>
      <c r="H1034" s="30"/>
      <c r="I1034" s="30"/>
      <c r="J1034" s="28"/>
      <c r="K1034" s="60"/>
      <c r="L1034" s="30"/>
      <c r="M1034" s="60"/>
      <c r="N1034" s="30"/>
      <c r="O1034" s="30"/>
    </row>
    <row r="1035" ht="14.25" customHeight="1">
      <c r="A1035" s="37"/>
      <c r="B1035" s="28"/>
      <c r="C1035" s="1"/>
      <c r="D1035" s="28"/>
      <c r="E1035" s="1"/>
      <c r="F1035" s="28"/>
      <c r="G1035" s="60"/>
      <c r="H1035" s="30"/>
      <c r="I1035" s="30"/>
      <c r="J1035" s="28"/>
      <c r="K1035" s="60"/>
      <c r="L1035" s="30"/>
      <c r="M1035" s="60"/>
      <c r="N1035" s="30"/>
      <c r="O1035" s="30"/>
    </row>
    <row r="1036" ht="14.25" customHeight="1">
      <c r="A1036" s="37"/>
      <c r="B1036" s="28"/>
      <c r="C1036" s="1"/>
      <c r="D1036" s="28"/>
      <c r="E1036" s="1"/>
      <c r="F1036" s="28"/>
      <c r="G1036" s="60"/>
      <c r="H1036" s="30"/>
      <c r="I1036" s="30"/>
      <c r="J1036" s="37"/>
      <c r="K1036" s="60"/>
      <c r="L1036" s="30"/>
      <c r="M1036" s="60"/>
      <c r="N1036" s="30"/>
      <c r="O1036" s="30"/>
    </row>
    <row r="1037" ht="14.25" customHeight="1">
      <c r="A1037" s="64"/>
      <c r="B1037" s="65"/>
      <c r="C1037" s="66"/>
      <c r="D1037" s="65"/>
      <c r="E1037" s="66"/>
      <c r="F1037" s="64"/>
      <c r="G1037" s="67"/>
      <c r="H1037" s="66"/>
      <c r="I1037" s="66"/>
      <c r="J1037" s="64"/>
      <c r="K1037" s="67"/>
      <c r="L1037" s="66"/>
      <c r="M1037" s="67"/>
      <c r="N1037" s="30"/>
      <c r="O1037" s="30"/>
    </row>
    <row r="1038" ht="14.25" customHeight="1">
      <c r="A1038" s="30"/>
      <c r="B1038" s="30"/>
      <c r="C1038" s="30"/>
      <c r="D1038" s="23"/>
      <c r="E1038" s="30"/>
      <c r="F1038" s="30"/>
      <c r="G1038" s="30"/>
      <c r="H1038" s="23"/>
      <c r="I1038" s="30"/>
      <c r="J1038" s="30"/>
      <c r="K1038" s="30"/>
      <c r="L1038" s="30"/>
      <c r="M1038" s="30"/>
      <c r="N1038" s="30"/>
      <c r="O1038" s="30"/>
    </row>
    <row r="1039" ht="14.25" customHeight="1">
      <c r="A1039" s="2" t="s">
        <v>2</v>
      </c>
      <c r="B1039" s="3" t="s">
        <v>3</v>
      </c>
      <c r="C1039" s="4">
        <f>M1002+2</f>
        <v>45551</v>
      </c>
      <c r="D1039" s="5" t="s">
        <v>4</v>
      </c>
      <c r="E1039" s="6">
        <f>C1039+1</f>
        <v>45552</v>
      </c>
      <c r="F1039" s="3" t="s">
        <v>5</v>
      </c>
      <c r="G1039" s="6">
        <f>E1039+1</f>
        <v>45553</v>
      </c>
      <c r="H1039" s="3" t="s">
        <v>6</v>
      </c>
      <c r="I1039" s="6">
        <f>G1039+1</f>
        <v>45554</v>
      </c>
      <c r="J1039" s="3" t="s">
        <v>7</v>
      </c>
      <c r="K1039" s="6">
        <f>I1039+1</f>
        <v>45555</v>
      </c>
      <c r="L1039" s="7" t="s">
        <v>8</v>
      </c>
      <c r="M1039" s="8">
        <f>K1039+1</f>
        <v>45556</v>
      </c>
      <c r="N1039" s="30"/>
      <c r="O1039" s="30"/>
    </row>
    <row r="1040" ht="14.25" customHeight="1">
      <c r="A1040" s="10">
        <f>A1003+1</f>
        <v>29</v>
      </c>
      <c r="B1040" s="11" t="s">
        <v>10</v>
      </c>
      <c r="C1040" s="12" t="s">
        <v>11</v>
      </c>
      <c r="D1040" s="11" t="s">
        <v>10</v>
      </c>
      <c r="E1040" s="12" t="s">
        <v>11</v>
      </c>
      <c r="F1040" s="11" t="s">
        <v>10</v>
      </c>
      <c r="G1040" s="12" t="s">
        <v>11</v>
      </c>
      <c r="H1040" s="11" t="s">
        <v>10</v>
      </c>
      <c r="I1040" s="12" t="s">
        <v>11</v>
      </c>
      <c r="J1040" s="11" t="s">
        <v>10</v>
      </c>
      <c r="K1040" s="12" t="s">
        <v>11</v>
      </c>
      <c r="L1040" s="11" t="s">
        <v>10</v>
      </c>
      <c r="M1040" s="12" t="s">
        <v>11</v>
      </c>
      <c r="N1040" s="30"/>
      <c r="O1040" s="30"/>
    </row>
    <row r="1041" ht="14.25" customHeight="1">
      <c r="A1041" s="13" t="s">
        <v>12</v>
      </c>
      <c r="B1041" s="20" t="s">
        <v>143</v>
      </c>
      <c r="C1041" s="17"/>
      <c r="D1041" s="18" t="s">
        <v>14</v>
      </c>
      <c r="E1041" s="17"/>
      <c r="F1041" s="20" t="s">
        <v>229</v>
      </c>
      <c r="G1041" s="17"/>
      <c r="H1041" s="42" t="s">
        <v>15</v>
      </c>
      <c r="I1041" s="17"/>
      <c r="J1041" s="20" t="s">
        <v>245</v>
      </c>
      <c r="K1041" s="17"/>
      <c r="L1041" s="72" t="s">
        <v>14</v>
      </c>
      <c r="M1041" s="17"/>
      <c r="N1041" s="30"/>
      <c r="O1041" s="30"/>
    </row>
    <row r="1042" ht="14.25" customHeight="1">
      <c r="A1042" s="13"/>
      <c r="B1042" s="46">
        <v>100.0</v>
      </c>
      <c r="C1042" s="48">
        <v>3.0</v>
      </c>
      <c r="D1042" s="1" t="s">
        <v>262</v>
      </c>
      <c r="E1042" s="54" t="s">
        <v>222</v>
      </c>
      <c r="F1042" s="46">
        <v>80.0</v>
      </c>
      <c r="G1042" s="48">
        <v>3.0</v>
      </c>
      <c r="H1042" s="27" t="s">
        <v>130</v>
      </c>
      <c r="I1042" s="26"/>
      <c r="J1042" s="46">
        <v>50.0</v>
      </c>
      <c r="K1042" s="48">
        <v>6.0</v>
      </c>
      <c r="L1042" s="27" t="s">
        <v>231</v>
      </c>
      <c r="M1042" s="24"/>
      <c r="N1042" s="30"/>
      <c r="O1042" s="30"/>
    </row>
    <row r="1043" ht="14.25" customHeight="1">
      <c r="A1043" s="28" t="s">
        <v>20</v>
      </c>
      <c r="B1043" s="46">
        <v>105.0</v>
      </c>
      <c r="C1043" s="48">
        <v>2.0</v>
      </c>
      <c r="D1043" s="1" t="s">
        <v>263</v>
      </c>
      <c r="E1043" s="26"/>
      <c r="F1043" s="46">
        <v>85.0</v>
      </c>
      <c r="G1043" s="48">
        <v>2.0</v>
      </c>
      <c r="H1043" s="28" t="s">
        <v>247</v>
      </c>
      <c r="I1043" s="54" t="s">
        <v>222</v>
      </c>
      <c r="J1043" s="46">
        <v>55.0</v>
      </c>
      <c r="K1043" s="48">
        <v>6.0</v>
      </c>
      <c r="L1043" s="28" t="s">
        <v>233</v>
      </c>
      <c r="M1043" s="24"/>
      <c r="N1043" s="30"/>
      <c r="O1043" s="30"/>
    </row>
    <row r="1044" ht="14.25" customHeight="1">
      <c r="A1044" s="29" t="s">
        <v>22</v>
      </c>
      <c r="B1044" s="46">
        <v>110.0</v>
      </c>
      <c r="C1044" s="48">
        <v>2.0</v>
      </c>
      <c r="D1044" s="1"/>
      <c r="E1044" s="26"/>
      <c r="F1044" s="46">
        <v>90.0</v>
      </c>
      <c r="G1044" s="48">
        <v>2.0</v>
      </c>
      <c r="H1044" s="28"/>
      <c r="I1044" s="26"/>
      <c r="J1044" s="46">
        <v>60.0</v>
      </c>
      <c r="K1044" s="48">
        <v>6.0</v>
      </c>
      <c r="L1044" s="23"/>
      <c r="M1044" s="24"/>
      <c r="N1044" s="30"/>
      <c r="O1044" s="30"/>
    </row>
    <row r="1045" ht="14.25" customHeight="1">
      <c r="A1045" s="28" t="s">
        <v>23</v>
      </c>
      <c r="B1045" s="46"/>
      <c r="C1045" s="48"/>
      <c r="D1045" s="1"/>
      <c r="E1045" s="26"/>
      <c r="F1045" s="46"/>
      <c r="G1045" s="48"/>
      <c r="H1045" s="1"/>
      <c r="I1045" s="24"/>
      <c r="J1045" s="46"/>
      <c r="K1045" s="48"/>
      <c r="L1045" s="32" t="s">
        <v>82</v>
      </c>
      <c r="M1045" s="26"/>
      <c r="N1045" s="30"/>
      <c r="O1045" s="30"/>
    </row>
    <row r="1046" ht="14.25" customHeight="1">
      <c r="A1046" s="13"/>
      <c r="B1046" s="13"/>
      <c r="C1046" s="24"/>
      <c r="D1046" s="33"/>
      <c r="E1046" s="26"/>
      <c r="F1046" s="13"/>
      <c r="G1046" s="34"/>
      <c r="H1046" s="13"/>
      <c r="I1046" s="34"/>
      <c r="J1046" s="13"/>
      <c r="K1046" s="24"/>
      <c r="L1046" s="13"/>
      <c r="M1046" s="24"/>
      <c r="N1046" s="30"/>
      <c r="O1046" s="30"/>
    </row>
    <row r="1047" ht="14.25" customHeight="1">
      <c r="A1047" s="28" t="s">
        <v>24</v>
      </c>
      <c r="B1047" s="35" t="s">
        <v>25</v>
      </c>
      <c r="C1047" s="58">
        <f>C1042*B1042 + B1043*C1043 + B1044*C1044 + B1045*C1045 + B1046*C1046</f>
        <v>730</v>
      </c>
      <c r="D1047" s="57" t="s">
        <v>25</v>
      </c>
      <c r="E1047" s="55" t="str">
        <f>E1042*D1042 + D1043*#REF! + E1043*E1044 + D1045*E1045 + D1046*E1046</f>
        <v>#VALUE!</v>
      </c>
      <c r="F1047" s="35" t="s">
        <v>25</v>
      </c>
      <c r="G1047" s="56">
        <f>G1042*F1042 + F1043*G1043 + F1044*G1044 + F1045*G1045 + F1046*G1046</f>
        <v>590</v>
      </c>
      <c r="H1047" s="35" t="s">
        <v>25</v>
      </c>
      <c r="I1047" s="56" t="str">
        <f>I1042*H1042 + H1043*I1043 + H1044*I1044 + H1045*I1045 + H1046*I1046</f>
        <v>#VALUE!</v>
      </c>
      <c r="J1047" s="35" t="s">
        <v>25</v>
      </c>
      <c r="K1047" s="58">
        <f>K1042*J1042 + J1043*K1043 + J1044*K1044 + J1045*K1045 + J1046*K1046</f>
        <v>990</v>
      </c>
      <c r="L1047" s="35" t="s">
        <v>25</v>
      </c>
      <c r="M1047" s="36" t="str">
        <f>M1042*L1042 + L1043*M1043 + L1044*M1044 + L1045*M1045 + L1046*M1046</f>
        <v>#VALUE!</v>
      </c>
      <c r="N1047" s="30"/>
      <c r="O1047" s="30"/>
    </row>
    <row r="1048" ht="14.25" customHeight="1">
      <c r="A1048" s="37"/>
      <c r="B1048" s="39" t="s">
        <v>26</v>
      </c>
      <c r="C1048" s="116">
        <f>(B1042*C1042 + B1043*C1043 + B1044*C1044 + B1045*C1045 + B1046*C1046)/SUM(C1042:C1046)</f>
        <v>104.2857143</v>
      </c>
      <c r="D1048" s="31" t="s">
        <v>26</v>
      </c>
      <c r="E1048" s="74" t="str">
        <f>(D1042*E1042 + D1043*#REF! + E1043*E1044 + D1045*E1045 + D1046*E1046)/SUM(E1042:E1046)</f>
        <v>#VALUE!</v>
      </c>
      <c r="F1048" s="13" t="s">
        <v>26</v>
      </c>
      <c r="G1048" s="117">
        <f>(F1042*G1042 + F1043*G1043 + F1044*G1044 + F1045*G1045 + F1046*G1046)/SUM(G1042:G1046)</f>
        <v>84.28571429</v>
      </c>
      <c r="H1048" s="13" t="s">
        <v>26</v>
      </c>
      <c r="I1048" s="74" t="str">
        <f>(H1042*I1042 + H1043*I1043 + H1044*I1044 + H1045*I1045 + H1046*I1046)/SUM(I1042:I1046)</f>
        <v>#VALUE!</v>
      </c>
      <c r="J1048" s="39" t="s">
        <v>26</v>
      </c>
      <c r="K1048" s="116">
        <f>(J1042*K1042 + J1043*K1043 + J1044*K1044 + J1045*K1045 + J1046*K1046)/SUM(K1042:K1046)</f>
        <v>55</v>
      </c>
      <c r="L1048" s="13" t="s">
        <v>26</v>
      </c>
      <c r="M1048" s="75" t="str">
        <f>(L1042*M1042 + L1043*M1043 + L1044*M1044 + L1045*M1045 + L1046*M1046)/SUM(M1042:M1046)</f>
        <v>#VALUE!</v>
      </c>
      <c r="N1048" s="30"/>
      <c r="O1048" s="30"/>
    </row>
    <row r="1049" ht="14.25" customHeight="1">
      <c r="A1049" s="28" t="s">
        <v>27</v>
      </c>
      <c r="B1049" s="11" t="s">
        <v>10</v>
      </c>
      <c r="C1049" s="12" t="s">
        <v>11</v>
      </c>
      <c r="D1049" s="11" t="s">
        <v>10</v>
      </c>
      <c r="E1049" s="12" t="s">
        <v>11</v>
      </c>
      <c r="F1049" s="11" t="s">
        <v>10</v>
      </c>
      <c r="G1049" s="12" t="s">
        <v>11</v>
      </c>
      <c r="H1049" s="11" t="s">
        <v>10</v>
      </c>
      <c r="I1049" s="12" t="s">
        <v>11</v>
      </c>
      <c r="J1049" s="11" t="s">
        <v>10</v>
      </c>
      <c r="K1049" s="12" t="s">
        <v>11</v>
      </c>
      <c r="L1049" s="11" t="s">
        <v>10</v>
      </c>
      <c r="M1049" s="12" t="s">
        <v>11</v>
      </c>
      <c r="N1049" s="30"/>
      <c r="O1049" s="30"/>
    </row>
    <row r="1050" ht="14.25" customHeight="1">
      <c r="A1050" s="41" t="s">
        <v>28</v>
      </c>
      <c r="B1050" s="20" t="s">
        <v>224</v>
      </c>
      <c r="C1050" s="17"/>
      <c r="D1050" s="45" t="s">
        <v>91</v>
      </c>
      <c r="E1050" s="76" t="s">
        <v>49</v>
      </c>
      <c r="F1050" s="68" t="s">
        <v>248</v>
      </c>
      <c r="G1050" s="17"/>
      <c r="H1050" s="42" t="s">
        <v>91</v>
      </c>
      <c r="I1050" s="44" t="s">
        <v>49</v>
      </c>
      <c r="J1050" s="68" t="s">
        <v>271</v>
      </c>
      <c r="K1050" s="17"/>
      <c r="L1050" s="42" t="s">
        <v>91</v>
      </c>
      <c r="M1050" s="44" t="s">
        <v>90</v>
      </c>
      <c r="N1050" s="30"/>
      <c r="O1050" s="30"/>
    </row>
    <row r="1051" ht="14.25" customHeight="1">
      <c r="A1051" s="28"/>
      <c r="B1051" s="46">
        <v>200.0</v>
      </c>
      <c r="C1051" s="48">
        <v>5.0</v>
      </c>
      <c r="D1051" s="46"/>
      <c r="E1051" s="26"/>
      <c r="F1051" s="46">
        <v>120.0</v>
      </c>
      <c r="G1051" s="48">
        <v>4.0</v>
      </c>
      <c r="H1051" s="21">
        <v>30.0</v>
      </c>
      <c r="I1051" s="24"/>
      <c r="J1051" s="46"/>
      <c r="K1051" s="48"/>
      <c r="L1051" s="46">
        <v>30.0</v>
      </c>
      <c r="M1051" s="26"/>
      <c r="N1051" s="30"/>
      <c r="O1051" s="30"/>
    </row>
    <row r="1052" ht="14.25" customHeight="1">
      <c r="A1052" s="28" t="s">
        <v>37</v>
      </c>
      <c r="B1052" s="46">
        <v>205.0</v>
      </c>
      <c r="C1052" s="48">
        <v>4.0</v>
      </c>
      <c r="D1052" s="46"/>
      <c r="E1052" s="26"/>
      <c r="F1052" s="46">
        <v>125.0</v>
      </c>
      <c r="G1052" s="48">
        <v>4.0</v>
      </c>
      <c r="H1052" s="46">
        <v>60.0</v>
      </c>
      <c r="I1052" s="54" t="s">
        <v>237</v>
      </c>
      <c r="J1052" s="46"/>
      <c r="K1052" s="48"/>
      <c r="L1052" s="46">
        <v>40.0</v>
      </c>
      <c r="M1052" s="26"/>
      <c r="N1052" s="30"/>
      <c r="O1052" s="30"/>
    </row>
    <row r="1053" ht="14.25" customHeight="1">
      <c r="A1053" s="28" t="s">
        <v>39</v>
      </c>
      <c r="B1053" s="46">
        <v>210.0</v>
      </c>
      <c r="C1053" s="48">
        <v>3.0</v>
      </c>
      <c r="D1053" s="21"/>
      <c r="E1053" s="54"/>
      <c r="F1053" s="46">
        <v>130.0</v>
      </c>
      <c r="G1053" s="48">
        <v>4.0</v>
      </c>
      <c r="H1053" s="21">
        <v>30.0</v>
      </c>
      <c r="I1053" s="24"/>
      <c r="J1053" s="46"/>
      <c r="K1053" s="48"/>
      <c r="L1053" s="46">
        <v>30.0</v>
      </c>
      <c r="M1053" s="26"/>
      <c r="N1053" s="30"/>
      <c r="O1053" s="30"/>
    </row>
    <row r="1054" ht="14.25" customHeight="1">
      <c r="A1054" s="28"/>
      <c r="B1054" s="46"/>
      <c r="C1054" s="48"/>
      <c r="D1054" s="21"/>
      <c r="E1054" s="54"/>
      <c r="F1054" s="126" t="s">
        <v>272</v>
      </c>
      <c r="G1054" s="48"/>
      <c r="H1054" s="46"/>
      <c r="I1054" s="24"/>
      <c r="J1054" s="46"/>
      <c r="K1054" s="48"/>
      <c r="L1054" s="46">
        <v>20.0</v>
      </c>
      <c r="M1054" s="26"/>
      <c r="N1054" s="30"/>
      <c r="O1054" s="30"/>
    </row>
    <row r="1055" ht="14.25" customHeight="1">
      <c r="A1055" s="28" t="s">
        <v>41</v>
      </c>
      <c r="B1055" s="13"/>
      <c r="C1055" s="24"/>
      <c r="D1055" s="32"/>
      <c r="E1055" s="24"/>
      <c r="F1055" s="31"/>
      <c r="G1055" s="24"/>
      <c r="H1055" s="32"/>
      <c r="I1055" s="24"/>
      <c r="J1055" s="31"/>
      <c r="K1055" s="24"/>
      <c r="L1055" s="32"/>
      <c r="M1055" s="24"/>
      <c r="N1055" s="30"/>
      <c r="O1055" s="30"/>
    </row>
    <row r="1056" ht="14.25" customHeight="1">
      <c r="A1056" s="28" t="s">
        <v>43</v>
      </c>
      <c r="B1056" s="13"/>
      <c r="C1056" s="34"/>
      <c r="D1056" s="32"/>
      <c r="E1056" s="26"/>
      <c r="F1056" s="13"/>
      <c r="G1056" s="34"/>
      <c r="H1056" s="32" t="s">
        <v>140</v>
      </c>
      <c r="I1056" s="24"/>
      <c r="J1056" s="13"/>
      <c r="K1056" s="24"/>
      <c r="L1056" s="32" t="s">
        <v>140</v>
      </c>
      <c r="M1056" s="26"/>
      <c r="N1056" s="30"/>
      <c r="O1056" s="30"/>
    </row>
    <row r="1057" ht="14.25" customHeight="1">
      <c r="A1057" s="28"/>
      <c r="B1057" s="35" t="s">
        <v>25</v>
      </c>
      <c r="C1057" s="55">
        <f>C1051*B1051 + B1052*C1052 + B1053*C1053 + B1054*C1054 + B1056*C1056</f>
        <v>2450</v>
      </c>
      <c r="D1057" s="35" t="s">
        <v>25</v>
      </c>
      <c r="E1057" s="36">
        <f>E1051*D1051 + D1052*E1052 + D1053*E1053 + D1054*E1054 + D1056*E1056</f>
        <v>0</v>
      </c>
      <c r="F1057" s="35" t="s">
        <v>25</v>
      </c>
      <c r="G1057" s="55" t="str">
        <f>G1051*F1051 + F1052*G1052 + F1053*G1053 + F1054*G1054 + F1056*G1056</f>
        <v>#VALUE!</v>
      </c>
      <c r="H1057" s="35" t="s">
        <v>25</v>
      </c>
      <c r="I1057" s="36" t="str">
        <f>I1051*H1051 + H1052*I1052 + H1053*I1053 + H1054*I1054 + H1056*I1056</f>
        <v>#VALUE!</v>
      </c>
      <c r="J1057" s="35" t="s">
        <v>25</v>
      </c>
      <c r="K1057" s="36">
        <f>K1051*J1051 + J1052*K1052 + J1053*K1053 + J1054*K1054 + J1056*K1056</f>
        <v>0</v>
      </c>
      <c r="L1057" s="35" t="s">
        <v>25</v>
      </c>
      <c r="M1057" s="36" t="str">
        <f>M1051*L1051 + L1052*M1052 + L1053*M1053 + L1054*M1054 + L1056*M1056</f>
        <v>#VALUE!</v>
      </c>
      <c r="N1057" s="30"/>
      <c r="O1057" s="30"/>
    </row>
    <row r="1058" ht="14.25" customHeight="1">
      <c r="A1058" s="28" t="s">
        <v>116</v>
      </c>
      <c r="B1058" s="39" t="s">
        <v>26</v>
      </c>
      <c r="C1058" s="77">
        <f>(B1051*C1051 + B1052*C1052 + B1053*C1053 + B1054*C1054 + B1056*C1056)/SUM(C1051:C1056)</f>
        <v>204.1666667</v>
      </c>
      <c r="D1058" s="39" t="s">
        <v>26</v>
      </c>
      <c r="E1058" s="40" t="str">
        <f>(D1051*E1051 + D1052*E1052 + D1053*E1053 + D1054*E1054 + D1056*E1056)/SUM(E1051:E1056)</f>
        <v>#DIV/0!</v>
      </c>
      <c r="F1058" s="39" t="s">
        <v>26</v>
      </c>
      <c r="G1058" s="77" t="str">
        <f>(F1051*G1051 + F1052*G1052 + F1053*G1053 + F1054*G1054 + F1056*G1056)/SUM(G1051:G1056)</f>
        <v>#VALUE!</v>
      </c>
      <c r="H1058" s="39" t="s">
        <v>26</v>
      </c>
      <c r="I1058" s="40" t="str">
        <f>(H1051*I1051 + H1052*I1052 + H1053*I1053 + H1054*I1054 + H1056*I1056)/SUM(I1051:I1056)</f>
        <v>#VALUE!</v>
      </c>
      <c r="J1058" s="39" t="s">
        <v>26</v>
      </c>
      <c r="K1058" s="40" t="str">
        <f>(J1051*K1051 + J1052*K1052 + J1053*K1053 + J1054*K1054 + J1056*K1056)/SUM(K1051:K1056)</f>
        <v>#DIV/0!</v>
      </c>
      <c r="L1058" s="39" t="s">
        <v>26</v>
      </c>
      <c r="M1058" s="40" t="str">
        <f>(L1051*M1051 + L1052*M1052 + L1053*M1053 + L1054*M1054 + L1056*M1056)/SUM(M1051:M1056)</f>
        <v>#VALUE!</v>
      </c>
      <c r="N1058" s="30"/>
      <c r="O1058" s="30"/>
    </row>
    <row r="1059" ht="14.25" customHeight="1">
      <c r="A1059" s="28" t="s">
        <v>117</v>
      </c>
      <c r="B1059" s="70" t="s">
        <v>265</v>
      </c>
      <c r="C1059" s="17"/>
      <c r="D1059" s="113" t="s">
        <v>105</v>
      </c>
      <c r="E1059" s="50" t="s">
        <v>49</v>
      </c>
      <c r="F1059" s="70" t="s">
        <v>266</v>
      </c>
      <c r="G1059" s="17"/>
      <c r="H1059" s="113"/>
      <c r="I1059" s="125"/>
      <c r="J1059" s="70" t="s">
        <v>249</v>
      </c>
      <c r="K1059" s="17"/>
      <c r="L1059" s="113" t="s">
        <v>105</v>
      </c>
      <c r="M1059" s="50" t="s">
        <v>49</v>
      </c>
      <c r="N1059" s="30"/>
      <c r="O1059" s="30"/>
    </row>
    <row r="1060" ht="14.25" customHeight="1">
      <c r="A1060" s="28" t="s">
        <v>120</v>
      </c>
      <c r="B1060" s="28">
        <v>4.0</v>
      </c>
      <c r="C1060" s="54"/>
      <c r="D1060" s="46" t="s">
        <v>250</v>
      </c>
      <c r="E1060" s="24"/>
      <c r="F1060" s="28" t="s">
        <v>267</v>
      </c>
      <c r="G1060" s="54"/>
      <c r="H1060" s="21">
        <v>30.0</v>
      </c>
      <c r="I1060" s="24"/>
      <c r="J1060" s="28"/>
      <c r="K1060" s="54">
        <v>8.0</v>
      </c>
      <c r="L1060" s="21"/>
      <c r="M1060" s="24"/>
      <c r="N1060" s="30"/>
      <c r="O1060" s="30"/>
    </row>
    <row r="1061" ht="14.25" customHeight="1">
      <c r="A1061" s="28"/>
      <c r="B1061" s="27">
        <v>4.0</v>
      </c>
      <c r="C1061" s="54"/>
      <c r="D1061" s="46" t="s">
        <v>273</v>
      </c>
      <c r="E1061" s="54" t="s">
        <v>261</v>
      </c>
      <c r="F1061" s="27" t="s">
        <v>268</v>
      </c>
      <c r="G1061" s="54"/>
      <c r="H1061" s="46">
        <v>40.0</v>
      </c>
      <c r="I1061" s="54"/>
      <c r="J1061" s="27"/>
      <c r="K1061" s="54">
        <v>8.0</v>
      </c>
      <c r="L1061" s="46"/>
      <c r="M1061" s="54" t="s">
        <v>274</v>
      </c>
      <c r="N1061" s="30"/>
      <c r="O1061" s="30"/>
    </row>
    <row r="1062" ht="14.25" customHeight="1">
      <c r="A1062" s="28"/>
      <c r="B1062" s="27">
        <v>4.0</v>
      </c>
      <c r="C1062" s="54"/>
      <c r="D1062" s="46"/>
      <c r="E1062" s="24"/>
      <c r="F1062" s="27" t="s">
        <v>269</v>
      </c>
      <c r="G1062" s="54"/>
      <c r="H1062" s="21">
        <v>30.0</v>
      </c>
      <c r="I1062" s="24"/>
      <c r="J1062" s="27"/>
      <c r="K1062" s="54">
        <v>8.0</v>
      </c>
      <c r="L1062" s="46"/>
      <c r="M1062" s="24"/>
      <c r="N1062" s="30"/>
      <c r="O1062" s="30"/>
    </row>
    <row r="1063" ht="14.25" customHeight="1">
      <c r="A1063" s="28"/>
      <c r="B1063" s="28"/>
      <c r="C1063" s="79"/>
      <c r="D1063" s="21"/>
      <c r="E1063" s="24"/>
      <c r="F1063" s="28"/>
      <c r="G1063" s="34"/>
      <c r="H1063" s="21"/>
      <c r="I1063" s="24"/>
      <c r="J1063" s="28"/>
      <c r="K1063" s="54"/>
      <c r="L1063" s="21"/>
      <c r="M1063" s="24"/>
      <c r="N1063" s="30"/>
      <c r="O1063" s="30"/>
    </row>
    <row r="1064" ht="14.25" customHeight="1">
      <c r="A1064" s="28"/>
      <c r="B1064" s="13"/>
      <c r="C1064" s="34"/>
      <c r="D1064" s="21"/>
      <c r="E1064" s="34"/>
      <c r="F1064" s="13"/>
      <c r="G1064" s="34"/>
      <c r="H1064" s="28"/>
      <c r="I1064" s="34"/>
      <c r="J1064" s="13"/>
      <c r="K1064" s="24"/>
      <c r="L1064" s="31"/>
      <c r="M1064" s="24"/>
      <c r="N1064" s="30"/>
      <c r="O1064" s="30"/>
    </row>
    <row r="1065" ht="14.25" customHeight="1">
      <c r="A1065" s="28"/>
      <c r="B1065" s="35" t="s">
        <v>25</v>
      </c>
      <c r="C1065" s="55">
        <f>C1060*B1060 + B1061*C1061 + B1062*C1062 + B1063*C1063 + B1064*C1064</f>
        <v>0</v>
      </c>
      <c r="D1065" s="35" t="s">
        <v>25</v>
      </c>
      <c r="E1065" s="55" t="str">
        <f>E1060*D1060 + D1061*E1061 + D1062*E1062 + D1063*E1063 + D1064*E1064</f>
        <v>#VALUE!</v>
      </c>
      <c r="F1065" s="35" t="s">
        <v>25</v>
      </c>
      <c r="G1065" s="55" t="str">
        <f>G1060*F1060 + F1061*G1061 + F1062*G1062 + F1063*G1063 + F1064*G1064</f>
        <v>#VALUE!</v>
      </c>
      <c r="H1065" s="35" t="s">
        <v>25</v>
      </c>
      <c r="I1065" s="56">
        <f>I1060*H1060 + H1061*I1061 + H1062*I1062 + H1063*I1063 + H1064*I1064</f>
        <v>0</v>
      </c>
      <c r="J1065" s="35" t="s">
        <v>25</v>
      </c>
      <c r="K1065" s="36">
        <f>K1060*J1060 + J1061*K1061 + J1062*K1062 + J1063*K1063 + J1064*K1064</f>
        <v>0</v>
      </c>
      <c r="L1065" s="57" t="s">
        <v>25</v>
      </c>
      <c r="M1065" s="58" t="str">
        <f>M1060*L1060 + L1061*M1061 + L1062*M1062 + L1063*M1063 + L1064*M1064</f>
        <v>#VALUE!</v>
      </c>
      <c r="N1065" s="30"/>
      <c r="O1065" s="30"/>
    </row>
    <row r="1066" ht="14.25" customHeight="1">
      <c r="A1066" s="28"/>
      <c r="B1066" s="39" t="s">
        <v>26</v>
      </c>
      <c r="C1066" s="40" t="str">
        <f>(B1060*C1060 + B1061*C1061 + B1062*C1062 + B1063*C1063 + B1064*C1064)/SUM(C1060:C1064)</f>
        <v>#DIV/0!</v>
      </c>
      <c r="D1066" s="59" t="s">
        <v>26</v>
      </c>
      <c r="E1066" s="40" t="str">
        <f>(D1060*E1060 + D1061*E1061 + D1062*E1062 + D1063*E1063 + D1064*E1064)/SUM(E1060:E1064)</f>
        <v>#VALUE!</v>
      </c>
      <c r="F1066" s="31" t="s">
        <v>26</v>
      </c>
      <c r="G1066" s="75" t="str">
        <f>(F1060*G1060 + F1061*G1061 + F1062*G1062 + F1063*G1063 + F1064*G1064)/SUM(G1060:G1064)</f>
        <v>#VALUE!</v>
      </c>
      <c r="H1066" s="59" t="s">
        <v>26</v>
      </c>
      <c r="I1066" s="40" t="str">
        <f>(H1060*I1060 + H1061*I1061 + H1062*I1062 + H1063*I1063 + H1064*I1064)/SUM(I1060:I1064)</f>
        <v>#DIV/0!</v>
      </c>
      <c r="J1066" s="39" t="s">
        <v>26</v>
      </c>
      <c r="K1066" s="40">
        <f>(J1060*K1060 + J1061*K1061 + J1062*K1062 + J1063*K1063 + J1064*K1064)/SUM(K1060:K1064)</f>
        <v>0</v>
      </c>
      <c r="L1066" s="59" t="s">
        <v>26</v>
      </c>
      <c r="M1066" s="40" t="str">
        <f>(L1060*M1060 + L1061*M1061 + L1062*M1062 + L1063*M1063 + L1064*M1064)/SUM(M1064)</f>
        <v>#VALUE!</v>
      </c>
      <c r="N1066" s="30"/>
      <c r="O1066" s="30"/>
    </row>
    <row r="1067" ht="14.25" customHeight="1">
      <c r="A1067" s="28"/>
      <c r="B1067" s="28" t="s">
        <v>91</v>
      </c>
      <c r="C1067" s="30" t="s">
        <v>49</v>
      </c>
      <c r="D1067" s="28" t="s">
        <v>50</v>
      </c>
      <c r="E1067" s="30" t="s">
        <v>49</v>
      </c>
      <c r="F1067" s="120" t="s">
        <v>91</v>
      </c>
      <c r="G1067" s="121" t="s">
        <v>49</v>
      </c>
      <c r="H1067" s="122" t="s">
        <v>33</v>
      </c>
      <c r="I1067" s="30"/>
      <c r="J1067" s="28" t="s">
        <v>91</v>
      </c>
      <c r="K1067" s="60" t="s">
        <v>49</v>
      </c>
      <c r="L1067" s="30"/>
      <c r="M1067" s="60" t="s">
        <v>49</v>
      </c>
      <c r="N1067" s="30"/>
      <c r="O1067" s="30"/>
    </row>
    <row r="1068" ht="14.25" customHeight="1">
      <c r="A1068" s="28"/>
      <c r="B1068" s="27">
        <v>30.0</v>
      </c>
      <c r="C1068" s="60"/>
      <c r="D1068" s="27" t="s">
        <v>241</v>
      </c>
      <c r="E1068" s="60"/>
      <c r="F1068" s="27">
        <v>30.0</v>
      </c>
      <c r="G1068" s="61"/>
      <c r="H1068" s="30"/>
      <c r="I1068" s="60"/>
      <c r="J1068" s="27">
        <v>40.0</v>
      </c>
      <c r="K1068" s="60"/>
      <c r="L1068" s="62"/>
      <c r="M1068" s="60"/>
      <c r="N1068" s="30"/>
      <c r="O1068" s="30"/>
    </row>
    <row r="1069" ht="14.25" customHeight="1">
      <c r="A1069" s="28"/>
      <c r="B1069" s="27">
        <v>30.0</v>
      </c>
      <c r="C1069" s="60"/>
      <c r="D1069" s="27" t="s">
        <v>270</v>
      </c>
      <c r="E1069" s="60"/>
      <c r="F1069" s="69">
        <v>20.0</v>
      </c>
      <c r="G1069" s="60"/>
      <c r="H1069" s="30"/>
      <c r="I1069" s="60"/>
      <c r="J1069" s="69">
        <v>30.0</v>
      </c>
      <c r="K1069" s="60"/>
      <c r="L1069" s="30"/>
      <c r="M1069" s="60"/>
      <c r="N1069" s="30"/>
      <c r="O1069" s="30"/>
    </row>
    <row r="1070" ht="14.25" customHeight="1">
      <c r="A1070" s="37"/>
      <c r="B1070" s="28">
        <v>40.0</v>
      </c>
      <c r="C1070" s="60"/>
      <c r="D1070" s="28" t="s">
        <v>243</v>
      </c>
      <c r="E1070" s="60"/>
      <c r="F1070" s="1">
        <v>40.0</v>
      </c>
      <c r="G1070" s="60"/>
      <c r="H1070" s="30"/>
      <c r="I1070" s="60"/>
      <c r="J1070" s="1">
        <v>20.0</v>
      </c>
      <c r="K1070" s="60"/>
      <c r="L1070" s="30"/>
      <c r="M1070" s="60"/>
      <c r="N1070" s="30"/>
      <c r="O1070" s="30"/>
    </row>
    <row r="1071" ht="14.25" customHeight="1">
      <c r="A1071" s="37"/>
      <c r="B1071" s="28">
        <v>20.0</v>
      </c>
      <c r="C1071" s="1"/>
      <c r="D1071" s="28"/>
      <c r="E1071" s="1"/>
      <c r="F1071" s="28"/>
      <c r="G1071" s="60"/>
      <c r="H1071" s="30"/>
      <c r="I1071" s="30"/>
      <c r="J1071" s="28"/>
      <c r="K1071" s="60"/>
      <c r="L1071" s="30"/>
      <c r="M1071" s="60"/>
      <c r="N1071" s="30"/>
      <c r="O1071" s="30"/>
    </row>
    <row r="1072" ht="14.25" customHeight="1">
      <c r="A1072" s="37"/>
      <c r="B1072" s="28"/>
      <c r="C1072" s="1"/>
      <c r="D1072" s="28"/>
      <c r="E1072" s="1"/>
      <c r="F1072" s="28"/>
      <c r="G1072" s="60"/>
      <c r="H1072" s="30"/>
      <c r="I1072" s="30"/>
      <c r="J1072" s="28"/>
      <c r="K1072" s="60"/>
      <c r="L1072" s="30"/>
      <c r="M1072" s="60"/>
      <c r="N1072" s="30"/>
      <c r="O1072" s="30"/>
    </row>
    <row r="1073" ht="14.25" customHeight="1">
      <c r="A1073" s="37"/>
      <c r="B1073" s="28"/>
      <c r="C1073" s="1"/>
      <c r="D1073" s="28"/>
      <c r="E1073" s="1"/>
      <c r="F1073" s="28"/>
      <c r="G1073" s="60"/>
      <c r="H1073" s="30"/>
      <c r="I1073" s="30"/>
      <c r="J1073" s="37"/>
      <c r="K1073" s="60"/>
      <c r="L1073" s="30"/>
      <c r="M1073" s="60"/>
      <c r="N1073" s="30"/>
      <c r="O1073" s="30"/>
    </row>
    <row r="1074" ht="14.25" customHeight="1">
      <c r="A1074" s="64"/>
      <c r="B1074" s="65"/>
      <c r="C1074" s="66"/>
      <c r="D1074" s="65"/>
      <c r="E1074" s="66"/>
      <c r="F1074" s="64"/>
      <c r="G1074" s="67"/>
      <c r="H1074" s="66"/>
      <c r="I1074" s="66"/>
      <c r="J1074" s="64"/>
      <c r="K1074" s="67"/>
      <c r="L1074" s="66"/>
      <c r="M1074" s="67"/>
      <c r="N1074" s="30"/>
      <c r="O1074" s="30"/>
    </row>
    <row r="1075" ht="14.25" customHeight="1">
      <c r="A1075" s="30"/>
      <c r="B1075" s="30"/>
      <c r="C1075" s="30"/>
      <c r="D1075" s="23"/>
      <c r="E1075" s="30"/>
      <c r="F1075" s="30"/>
      <c r="G1075" s="30"/>
      <c r="H1075" s="23"/>
      <c r="I1075" s="30"/>
      <c r="J1075" s="30"/>
      <c r="K1075" s="30"/>
      <c r="L1075" s="30"/>
      <c r="M1075" s="30"/>
      <c r="N1075" s="30"/>
      <c r="O1075" s="30"/>
    </row>
    <row r="1076" ht="14.25" customHeight="1">
      <c r="A1076" s="2" t="s">
        <v>2</v>
      </c>
      <c r="B1076" s="3" t="s">
        <v>3</v>
      </c>
      <c r="C1076" s="4">
        <f>M1039+2</f>
        <v>45558</v>
      </c>
      <c r="D1076" s="5" t="s">
        <v>4</v>
      </c>
      <c r="E1076" s="6">
        <f>C1076+1</f>
        <v>45559</v>
      </c>
      <c r="F1076" s="3" t="s">
        <v>5</v>
      </c>
      <c r="G1076" s="6">
        <f>E1076+1</f>
        <v>45560</v>
      </c>
      <c r="H1076" s="3" t="s">
        <v>6</v>
      </c>
      <c r="I1076" s="6">
        <f>G1076+1</f>
        <v>45561</v>
      </c>
      <c r="J1076" s="3" t="s">
        <v>7</v>
      </c>
      <c r="K1076" s="6">
        <f>I1076+1</f>
        <v>45562</v>
      </c>
      <c r="L1076" s="7" t="s">
        <v>8</v>
      </c>
      <c r="M1076" s="8">
        <f>K1076+1</f>
        <v>45563</v>
      </c>
      <c r="N1076" s="30"/>
      <c r="O1076" s="30"/>
    </row>
    <row r="1077" ht="14.25" customHeight="1">
      <c r="A1077" s="10">
        <f>A1040+1</f>
        <v>30</v>
      </c>
      <c r="B1077" s="11" t="s">
        <v>10</v>
      </c>
      <c r="C1077" s="12" t="s">
        <v>11</v>
      </c>
      <c r="D1077" s="11" t="s">
        <v>10</v>
      </c>
      <c r="E1077" s="12" t="s">
        <v>11</v>
      </c>
      <c r="F1077" s="11" t="s">
        <v>10</v>
      </c>
      <c r="G1077" s="12" t="s">
        <v>11</v>
      </c>
      <c r="H1077" s="11" t="s">
        <v>10</v>
      </c>
      <c r="I1077" s="12" t="s">
        <v>11</v>
      </c>
      <c r="J1077" s="11" t="s">
        <v>10</v>
      </c>
      <c r="K1077" s="12" t="s">
        <v>11</v>
      </c>
      <c r="L1077" s="11" t="s">
        <v>10</v>
      </c>
      <c r="M1077" s="12" t="s">
        <v>11</v>
      </c>
      <c r="N1077" s="30"/>
      <c r="O1077" s="30"/>
    </row>
    <row r="1078" ht="14.25" customHeight="1">
      <c r="A1078" s="13" t="s">
        <v>12</v>
      </c>
      <c r="B1078" s="20" t="s">
        <v>275</v>
      </c>
      <c r="C1078" s="76" t="s">
        <v>276</v>
      </c>
      <c r="D1078" s="45" t="s">
        <v>255</v>
      </c>
      <c r="E1078" s="76" t="s">
        <v>277</v>
      </c>
      <c r="F1078" s="20" t="s">
        <v>278</v>
      </c>
      <c r="G1078" s="17"/>
      <c r="H1078" s="42"/>
      <c r="I1078" s="17"/>
      <c r="J1078" s="20" t="s">
        <v>279</v>
      </c>
      <c r="K1078" s="17"/>
      <c r="L1078" s="72"/>
      <c r="M1078" s="17"/>
      <c r="N1078" s="30"/>
      <c r="O1078" s="30"/>
    </row>
    <row r="1079" ht="14.25" customHeight="1">
      <c r="A1079" s="13"/>
      <c r="B1079" s="46">
        <v>60.0</v>
      </c>
      <c r="C1079" s="48">
        <v>1.0</v>
      </c>
      <c r="D1079" s="1" t="s">
        <v>280</v>
      </c>
      <c r="E1079" s="127" t="s">
        <v>281</v>
      </c>
      <c r="F1079" s="46"/>
      <c r="G1079" s="48"/>
      <c r="H1079" s="27"/>
      <c r="I1079" s="26"/>
      <c r="J1079" s="46"/>
      <c r="K1079" s="48"/>
      <c r="L1079" s="27"/>
      <c r="M1079" s="24"/>
      <c r="N1079" s="30"/>
      <c r="O1079" s="30"/>
    </row>
    <row r="1080" ht="14.25" customHeight="1">
      <c r="A1080" s="28" t="s">
        <v>20</v>
      </c>
      <c r="B1080" s="46">
        <v>100.0</v>
      </c>
      <c r="C1080" s="48">
        <v>1.0</v>
      </c>
      <c r="D1080" s="1" t="s">
        <v>282</v>
      </c>
      <c r="E1080" s="127" t="s">
        <v>283</v>
      </c>
      <c r="F1080" s="46"/>
      <c r="G1080" s="48"/>
      <c r="H1080" s="28"/>
      <c r="I1080" s="54"/>
      <c r="J1080" s="46"/>
      <c r="K1080" s="48"/>
      <c r="L1080" s="28"/>
      <c r="M1080" s="24"/>
      <c r="N1080" s="30"/>
      <c r="O1080" s="30"/>
    </row>
    <row r="1081" ht="14.25" customHeight="1">
      <c r="A1081" s="29" t="s">
        <v>22</v>
      </c>
      <c r="B1081" s="46">
        <v>100.0</v>
      </c>
      <c r="C1081" s="48">
        <v>2.0</v>
      </c>
      <c r="D1081" s="1" t="s">
        <v>284</v>
      </c>
      <c r="E1081" s="127" t="s">
        <v>285</v>
      </c>
      <c r="F1081" s="46"/>
      <c r="G1081" s="48"/>
      <c r="H1081" s="28"/>
      <c r="I1081" s="26"/>
      <c r="J1081" s="46"/>
      <c r="K1081" s="48"/>
      <c r="L1081" s="23"/>
      <c r="M1081" s="24"/>
      <c r="N1081" s="30"/>
      <c r="O1081" s="30"/>
    </row>
    <row r="1082" ht="14.25" customHeight="1">
      <c r="A1082" s="28" t="s">
        <v>23</v>
      </c>
      <c r="B1082" s="46">
        <v>100.0</v>
      </c>
      <c r="C1082" s="48">
        <v>1.0</v>
      </c>
      <c r="D1082" s="1"/>
      <c r="E1082" s="54" t="s">
        <v>286</v>
      </c>
      <c r="F1082" s="46"/>
      <c r="G1082" s="48"/>
      <c r="H1082" s="1"/>
      <c r="I1082" s="24"/>
      <c r="J1082" s="46"/>
      <c r="K1082" s="48"/>
      <c r="L1082" s="32"/>
      <c r="M1082" s="26"/>
      <c r="N1082" s="30"/>
      <c r="O1082" s="30"/>
    </row>
    <row r="1083" ht="14.25" customHeight="1">
      <c r="A1083" s="13"/>
      <c r="B1083" s="13"/>
      <c r="C1083" s="24"/>
      <c r="D1083" s="33"/>
      <c r="E1083" s="54" t="s">
        <v>287</v>
      </c>
      <c r="F1083" s="13"/>
      <c r="G1083" s="34"/>
      <c r="H1083" s="13"/>
      <c r="I1083" s="34"/>
      <c r="J1083" s="13"/>
      <c r="K1083" s="24"/>
      <c r="L1083" s="13"/>
      <c r="M1083" s="24"/>
      <c r="N1083" s="30"/>
      <c r="O1083" s="30"/>
    </row>
    <row r="1084" ht="14.25" customHeight="1">
      <c r="A1084" s="28" t="s">
        <v>24</v>
      </c>
      <c r="B1084" s="35" t="s">
        <v>25</v>
      </c>
      <c r="C1084" s="58">
        <f>C1079*B1079 + B1080*C1080 + B1081*C1081 + B1082*C1082 + B1083*C1083</f>
        <v>460</v>
      </c>
      <c r="D1084" s="57" t="s">
        <v>25</v>
      </c>
      <c r="E1084" s="55" t="str">
        <f>E1079*D1079 + D1080*#REF! + E1080*E1081 + D1082*E1082 + D1083*E1083</f>
        <v>#VALUE!</v>
      </c>
      <c r="F1084" s="35" t="s">
        <v>25</v>
      </c>
      <c r="G1084" s="56">
        <f>G1079*F1079 + F1080*G1080 + F1081*G1081 + F1082*G1082 + F1083*G1083</f>
        <v>0</v>
      </c>
      <c r="H1084" s="35" t="s">
        <v>25</v>
      </c>
      <c r="I1084" s="56">
        <f>I1079*H1079 + H1080*I1080 + H1081*I1081 + H1082*I1082 + H1083*I1083</f>
        <v>0</v>
      </c>
      <c r="J1084" s="35" t="s">
        <v>25</v>
      </c>
      <c r="K1084" s="58">
        <f>K1079*J1079 + J1080*K1080 + J1081*K1081 + J1082*K1082 + J1083*K1083</f>
        <v>0</v>
      </c>
      <c r="L1084" s="35" t="s">
        <v>25</v>
      </c>
      <c r="M1084" s="36">
        <f>M1079*L1079 + L1080*M1080 + L1081*M1081 + L1082*M1082 + L1083*M1083</f>
        <v>0</v>
      </c>
      <c r="N1084" s="30"/>
      <c r="O1084" s="30"/>
    </row>
    <row r="1085" ht="14.25" customHeight="1">
      <c r="A1085" s="37"/>
      <c r="B1085" s="39" t="s">
        <v>26</v>
      </c>
      <c r="C1085" s="116">
        <f>(B1079*C1079 + B1080*C1080 + B1081*C1081 + B1082*C1082 + B1083*C1083)/SUM(C1079:C1083)</f>
        <v>92</v>
      </c>
      <c r="D1085" s="31" t="s">
        <v>26</v>
      </c>
      <c r="E1085" s="74" t="str">
        <f>(D1079*E1079 + D1080*#REF! + E1080*E1081 + D1082*E1082 + D1083*E1083)/SUM(E1079:E1083)</f>
        <v>#VALUE!</v>
      </c>
      <c r="F1085" s="13" t="s">
        <v>26</v>
      </c>
      <c r="G1085" s="117" t="str">
        <f>(F1079*G1079 + F1080*G1080 + F1081*G1081 + F1082*G1082 + F1083*G1083)/SUM(G1079:G1083)</f>
        <v>#DIV/0!</v>
      </c>
      <c r="H1085" s="13" t="s">
        <v>26</v>
      </c>
      <c r="I1085" s="74" t="str">
        <f>(H1079*I1079 + H1080*I1080 + H1081*I1081 + H1082*I1082 + H1083*I1083)/SUM(I1079:I1083)</f>
        <v>#DIV/0!</v>
      </c>
      <c r="J1085" s="39" t="s">
        <v>26</v>
      </c>
      <c r="K1085" s="116" t="str">
        <f>(J1079*K1079 + J1080*K1080 + J1081*K1081 + J1082*K1082 + J1083*K1083)/SUM(K1079:K1083)</f>
        <v>#DIV/0!</v>
      </c>
      <c r="L1085" s="13" t="s">
        <v>26</v>
      </c>
      <c r="M1085" s="75" t="str">
        <f>(L1079*M1079 + L1080*M1080 + L1081*M1081 + L1082*M1082 + L1083*M1083)/SUM(M1079:M1083)</f>
        <v>#DIV/0!</v>
      </c>
      <c r="N1085" s="30"/>
      <c r="O1085" s="30"/>
    </row>
    <row r="1086" ht="14.25" customHeight="1">
      <c r="A1086" s="28" t="s">
        <v>27</v>
      </c>
      <c r="B1086" s="11" t="s">
        <v>10</v>
      </c>
      <c r="C1086" s="12" t="s">
        <v>11</v>
      </c>
      <c r="D1086" s="11" t="s">
        <v>10</v>
      </c>
      <c r="E1086" s="12" t="s">
        <v>11</v>
      </c>
      <c r="F1086" s="11" t="s">
        <v>10</v>
      </c>
      <c r="G1086" s="12" t="s">
        <v>11</v>
      </c>
      <c r="H1086" s="11" t="s">
        <v>10</v>
      </c>
      <c r="I1086" s="12" t="s">
        <v>11</v>
      </c>
      <c r="J1086" s="11" t="s">
        <v>10</v>
      </c>
      <c r="K1086" s="12" t="s">
        <v>11</v>
      </c>
      <c r="L1086" s="11" t="s">
        <v>10</v>
      </c>
      <c r="M1086" s="12" t="s">
        <v>11</v>
      </c>
      <c r="N1086" s="30"/>
      <c r="O1086" s="30"/>
    </row>
    <row r="1087" ht="14.25" customHeight="1">
      <c r="A1087" s="41" t="s">
        <v>28</v>
      </c>
      <c r="B1087" s="20"/>
      <c r="C1087" s="17"/>
      <c r="D1087" s="45" t="s">
        <v>91</v>
      </c>
      <c r="E1087" s="76" t="s">
        <v>49</v>
      </c>
      <c r="F1087" s="68"/>
      <c r="G1087" s="17"/>
      <c r="H1087" s="42"/>
      <c r="I1087" s="44"/>
      <c r="J1087" s="68"/>
      <c r="K1087" s="17"/>
      <c r="L1087" s="42"/>
      <c r="M1087" s="44"/>
      <c r="N1087" s="30"/>
      <c r="O1087" s="30"/>
    </row>
    <row r="1088" ht="14.25" customHeight="1">
      <c r="A1088" s="28"/>
      <c r="B1088" s="46"/>
      <c r="C1088" s="48"/>
      <c r="D1088" s="46"/>
      <c r="E1088" s="26"/>
      <c r="F1088" s="46"/>
      <c r="G1088" s="48"/>
      <c r="H1088" s="21"/>
      <c r="I1088" s="24"/>
      <c r="J1088" s="46"/>
      <c r="K1088" s="48"/>
      <c r="L1088" s="46"/>
      <c r="M1088" s="26"/>
      <c r="N1088" s="30"/>
      <c r="O1088" s="30"/>
    </row>
    <row r="1089" ht="14.25" customHeight="1">
      <c r="A1089" s="28" t="s">
        <v>37</v>
      </c>
      <c r="B1089" s="46"/>
      <c r="C1089" s="48"/>
      <c r="D1089" s="46"/>
      <c r="E1089" s="26"/>
      <c r="F1089" s="46"/>
      <c r="G1089" s="48"/>
      <c r="H1089" s="46"/>
      <c r="I1089" s="54"/>
      <c r="J1089" s="46"/>
      <c r="K1089" s="48"/>
      <c r="L1089" s="46"/>
      <c r="M1089" s="26"/>
      <c r="N1089" s="30"/>
      <c r="O1089" s="30"/>
    </row>
    <row r="1090" ht="14.25" customHeight="1">
      <c r="A1090" s="28" t="s">
        <v>39</v>
      </c>
      <c r="B1090" s="46"/>
      <c r="C1090" s="48"/>
      <c r="D1090" s="21"/>
      <c r="E1090" s="54"/>
      <c r="F1090" s="46"/>
      <c r="G1090" s="48"/>
      <c r="H1090" s="21"/>
      <c r="I1090" s="24"/>
      <c r="J1090" s="46"/>
      <c r="K1090" s="48"/>
      <c r="L1090" s="46"/>
      <c r="M1090" s="26"/>
      <c r="N1090" s="30"/>
      <c r="O1090" s="30"/>
    </row>
    <row r="1091" ht="14.25" customHeight="1">
      <c r="A1091" s="28"/>
      <c r="B1091" s="46"/>
      <c r="C1091" s="48"/>
      <c r="D1091" s="21"/>
      <c r="E1091" s="54"/>
      <c r="F1091" s="126"/>
      <c r="G1091" s="48"/>
      <c r="H1091" s="46"/>
      <c r="I1091" s="24"/>
      <c r="J1091" s="46"/>
      <c r="K1091" s="48"/>
      <c r="L1091" s="46"/>
      <c r="M1091" s="26"/>
      <c r="N1091" s="30"/>
      <c r="O1091" s="30"/>
    </row>
    <row r="1092" ht="14.25" customHeight="1">
      <c r="A1092" s="28" t="s">
        <v>41</v>
      </c>
      <c r="B1092" s="13"/>
      <c r="C1092" s="24"/>
      <c r="D1092" s="32"/>
      <c r="E1092" s="24"/>
      <c r="F1092" s="31"/>
      <c r="G1092" s="24"/>
      <c r="H1092" s="32"/>
      <c r="I1092" s="24"/>
      <c r="J1092" s="31"/>
      <c r="K1092" s="24"/>
      <c r="L1092" s="32"/>
      <c r="M1092" s="24"/>
      <c r="N1092" s="30"/>
      <c r="O1092" s="30"/>
    </row>
    <row r="1093" ht="14.25" customHeight="1">
      <c r="A1093" s="28" t="s">
        <v>43</v>
      </c>
      <c r="B1093" s="13"/>
      <c r="C1093" s="34"/>
      <c r="D1093" s="32"/>
      <c r="E1093" s="26"/>
      <c r="F1093" s="13"/>
      <c r="G1093" s="34"/>
      <c r="H1093" s="32"/>
      <c r="I1093" s="24"/>
      <c r="J1093" s="13"/>
      <c r="K1093" s="24"/>
      <c r="L1093" s="32"/>
      <c r="M1093" s="26"/>
      <c r="N1093" s="30"/>
      <c r="O1093" s="30"/>
    </row>
    <row r="1094" ht="14.25" customHeight="1">
      <c r="A1094" s="28"/>
      <c r="B1094" s="35" t="s">
        <v>25</v>
      </c>
      <c r="C1094" s="55">
        <f>C1088*B1088 + B1089*C1089 + B1090*C1090 + B1091*C1091 + B1093*C1093</f>
        <v>0</v>
      </c>
      <c r="D1094" s="35" t="s">
        <v>25</v>
      </c>
      <c r="E1094" s="36">
        <f>E1088*D1088 + D1089*E1089 + D1090*E1090 + D1091*E1091 + D1093*E1093</f>
        <v>0</v>
      </c>
      <c r="F1094" s="35" t="s">
        <v>25</v>
      </c>
      <c r="G1094" s="55">
        <f>G1088*F1088 + F1089*G1089 + F1090*G1090 + F1091*G1091 + F1093*G1093</f>
        <v>0</v>
      </c>
      <c r="H1094" s="35" t="s">
        <v>25</v>
      </c>
      <c r="I1094" s="36">
        <f>I1088*H1088 + H1089*I1089 + H1090*I1090 + H1091*I1091 + H1093*I1093</f>
        <v>0</v>
      </c>
      <c r="J1094" s="35" t="s">
        <v>25</v>
      </c>
      <c r="K1094" s="36">
        <f>K1088*J1088 + J1089*K1089 + J1090*K1090 + J1091*K1091 + J1093*K1093</f>
        <v>0</v>
      </c>
      <c r="L1094" s="35" t="s">
        <v>25</v>
      </c>
      <c r="M1094" s="36">
        <f>M1088*L1088 + L1089*M1089 + L1090*M1090 + L1091*M1091 + L1093*M1093</f>
        <v>0</v>
      </c>
      <c r="N1094" s="30"/>
      <c r="O1094" s="30"/>
    </row>
    <row r="1095" ht="14.25" customHeight="1">
      <c r="A1095" s="28" t="s">
        <v>116</v>
      </c>
      <c r="B1095" s="39" t="s">
        <v>26</v>
      </c>
      <c r="C1095" s="77" t="str">
        <f>(B1088*C1088 + B1089*C1089 + B1090*C1090 + B1091*C1091 + B1093*C1093)/SUM(C1088:C1093)</f>
        <v>#DIV/0!</v>
      </c>
      <c r="D1095" s="39" t="s">
        <v>26</v>
      </c>
      <c r="E1095" s="40" t="str">
        <f>(D1088*E1088 + D1089*E1089 + D1090*E1090 + D1091*E1091 + D1093*E1093)/SUM(E1088:E1093)</f>
        <v>#DIV/0!</v>
      </c>
      <c r="F1095" s="39" t="s">
        <v>26</v>
      </c>
      <c r="G1095" s="77" t="str">
        <f>(F1088*G1088 + F1089*G1089 + F1090*G1090 + F1091*G1091 + F1093*G1093)/SUM(G1088:G1093)</f>
        <v>#DIV/0!</v>
      </c>
      <c r="H1095" s="39" t="s">
        <v>26</v>
      </c>
      <c r="I1095" s="40" t="str">
        <f>(H1088*I1088 + H1089*I1089 + H1090*I1090 + H1091*I1091 + H1093*I1093)/SUM(I1088:I1093)</f>
        <v>#DIV/0!</v>
      </c>
      <c r="J1095" s="39" t="s">
        <v>26</v>
      </c>
      <c r="K1095" s="40" t="str">
        <f>(J1088*K1088 + J1089*K1089 + J1090*K1090 + J1091*K1091 + J1093*K1093)/SUM(K1088:K1093)</f>
        <v>#DIV/0!</v>
      </c>
      <c r="L1095" s="39" t="s">
        <v>26</v>
      </c>
      <c r="M1095" s="40" t="str">
        <f>(L1088*M1088 + L1089*M1089 + L1090*M1090 + L1091*M1091 + L1093*M1093)/SUM(M1088:M1093)</f>
        <v>#DIV/0!</v>
      </c>
      <c r="N1095" s="30"/>
      <c r="O1095" s="30"/>
    </row>
    <row r="1096" ht="14.25" customHeight="1">
      <c r="A1096" s="28" t="s">
        <v>117</v>
      </c>
      <c r="B1096" s="70"/>
      <c r="C1096" s="17"/>
      <c r="D1096" s="113" t="s">
        <v>105</v>
      </c>
      <c r="E1096" s="50" t="s">
        <v>49</v>
      </c>
      <c r="F1096" s="70"/>
      <c r="G1096" s="17"/>
      <c r="H1096" s="113"/>
      <c r="I1096" s="125"/>
      <c r="J1096" s="70"/>
      <c r="K1096" s="17"/>
      <c r="L1096" s="113" t="s">
        <v>105</v>
      </c>
      <c r="M1096" s="50" t="s">
        <v>49</v>
      </c>
      <c r="N1096" s="30"/>
      <c r="O1096" s="30"/>
    </row>
    <row r="1097" ht="14.25" customHeight="1">
      <c r="A1097" s="28" t="s">
        <v>120</v>
      </c>
      <c r="B1097" s="28"/>
      <c r="C1097" s="54"/>
      <c r="D1097" s="46"/>
      <c r="E1097" s="24"/>
      <c r="F1097" s="28"/>
      <c r="G1097" s="54"/>
      <c r="H1097" s="21"/>
      <c r="I1097" s="24"/>
      <c r="J1097" s="28"/>
      <c r="K1097" s="54"/>
      <c r="L1097" s="21"/>
      <c r="M1097" s="24"/>
      <c r="N1097" s="30"/>
      <c r="O1097" s="30"/>
    </row>
    <row r="1098" ht="14.25" customHeight="1">
      <c r="A1098" s="28"/>
      <c r="B1098" s="27"/>
      <c r="C1098" s="54"/>
      <c r="D1098" s="46"/>
      <c r="E1098" s="54"/>
      <c r="F1098" s="27"/>
      <c r="G1098" s="54"/>
      <c r="H1098" s="46"/>
      <c r="I1098" s="54"/>
      <c r="J1098" s="27"/>
      <c r="K1098" s="54"/>
      <c r="L1098" s="21"/>
      <c r="M1098" s="26"/>
      <c r="N1098" s="30"/>
      <c r="O1098" s="30"/>
    </row>
    <row r="1099" ht="14.25" customHeight="1">
      <c r="A1099" s="28"/>
      <c r="B1099" s="27"/>
      <c r="C1099" s="54"/>
      <c r="D1099" s="46"/>
      <c r="E1099" s="24"/>
      <c r="F1099" s="27"/>
      <c r="G1099" s="54"/>
      <c r="H1099" s="21"/>
      <c r="I1099" s="24"/>
      <c r="J1099" s="27"/>
      <c r="K1099" s="54"/>
      <c r="L1099" s="46"/>
      <c r="M1099" s="24"/>
      <c r="N1099" s="30"/>
      <c r="O1099" s="30"/>
    </row>
    <row r="1100" ht="14.25" customHeight="1">
      <c r="A1100" s="28"/>
      <c r="B1100" s="28"/>
      <c r="C1100" s="79"/>
      <c r="D1100" s="21"/>
      <c r="E1100" s="24"/>
      <c r="F1100" s="28"/>
      <c r="G1100" s="34"/>
      <c r="H1100" s="21"/>
      <c r="I1100" s="24"/>
      <c r="J1100" s="28"/>
      <c r="K1100" s="54"/>
      <c r="L1100" s="21"/>
      <c r="M1100" s="24"/>
      <c r="N1100" s="30"/>
      <c r="O1100" s="30"/>
    </row>
    <row r="1101" ht="14.25" customHeight="1">
      <c r="A1101" s="28"/>
      <c r="B1101" s="13"/>
      <c r="C1101" s="34"/>
      <c r="D1101" s="21"/>
      <c r="E1101" s="34"/>
      <c r="F1101" s="13"/>
      <c r="G1101" s="34"/>
      <c r="H1101" s="28"/>
      <c r="I1101" s="34"/>
      <c r="J1101" s="13"/>
      <c r="K1101" s="24"/>
      <c r="L1101" s="31"/>
      <c r="M1101" s="24"/>
      <c r="N1101" s="30"/>
      <c r="O1101" s="30"/>
    </row>
    <row r="1102" ht="14.25" customHeight="1">
      <c r="A1102" s="28"/>
      <c r="B1102" s="35" t="s">
        <v>25</v>
      </c>
      <c r="C1102" s="55">
        <f>C1097*B1097 + B1098*C1098 + B1099*C1099 + B1100*C1100 + B1101*C1101</f>
        <v>0</v>
      </c>
      <c r="D1102" s="35" t="s">
        <v>25</v>
      </c>
      <c r="E1102" s="55">
        <f>E1097*D1097 + D1098*E1098 + D1099*E1099 + D1100*E1100 + D1101*E1101</f>
        <v>0</v>
      </c>
      <c r="F1102" s="35" t="s">
        <v>25</v>
      </c>
      <c r="G1102" s="55">
        <f>G1097*F1097 + F1098*G1098 + F1099*G1099 + F1100*G1100 + F1101*G1101</f>
        <v>0</v>
      </c>
      <c r="H1102" s="35" t="s">
        <v>25</v>
      </c>
      <c r="I1102" s="56">
        <f>I1097*H1097 + H1098*I1098 + H1099*I1099 + H1100*I1100 + H1101*I1101</f>
        <v>0</v>
      </c>
      <c r="J1102" s="35" t="s">
        <v>25</v>
      </c>
      <c r="K1102" s="36">
        <f>K1097*J1097 + J1098*K1098 + J1099*K1099 + J1100*K1100 + J1101*K1101</f>
        <v>0</v>
      </c>
      <c r="L1102" s="57" t="s">
        <v>25</v>
      </c>
      <c r="M1102" s="58">
        <f>M1097*L1097 + L1098*M1098 + L1099*M1099 + L1100*M1100 + L1101*M1101</f>
        <v>0</v>
      </c>
      <c r="N1102" s="30"/>
      <c r="O1102" s="30"/>
    </row>
    <row r="1103" ht="14.25" customHeight="1">
      <c r="A1103" s="28"/>
      <c r="B1103" s="39" t="s">
        <v>26</v>
      </c>
      <c r="C1103" s="40" t="str">
        <f>(B1097*C1097 + B1098*C1098 + B1099*C1099 + B1100*C1100 + B1101*C1101)/SUM(C1097:C1101)</f>
        <v>#DIV/0!</v>
      </c>
      <c r="D1103" s="59" t="s">
        <v>26</v>
      </c>
      <c r="E1103" s="40" t="str">
        <f>(D1097*E1097 + D1098*E1098 + D1099*E1099 + D1100*E1100 + D1101*E1101)/SUM(E1097:E1101)</f>
        <v>#DIV/0!</v>
      </c>
      <c r="F1103" s="31" t="s">
        <v>26</v>
      </c>
      <c r="G1103" s="75" t="str">
        <f>(F1097*G1097 + F1098*G1098 + F1099*G1099 + F1100*G1100 + F1101*G1101)/SUM(G1097:G1101)</f>
        <v>#DIV/0!</v>
      </c>
      <c r="H1103" s="59" t="s">
        <v>26</v>
      </c>
      <c r="I1103" s="40" t="str">
        <f>(H1097*I1097 + H1098*I1098 + H1099*I1099 + H1100*I1100 + H1101*I1101)/SUM(I1097:I1101)</f>
        <v>#DIV/0!</v>
      </c>
      <c r="J1103" s="39" t="s">
        <v>26</v>
      </c>
      <c r="K1103" s="40" t="str">
        <f>(J1097*K1097 + J1098*K1098 + J1099*K1099 + J1100*K1100 + J1101*K1101)/SUM(K1097:K1101)</f>
        <v>#DIV/0!</v>
      </c>
      <c r="L1103" s="59" t="s">
        <v>26</v>
      </c>
      <c r="M1103" s="40" t="str">
        <f>(L1097*M1097 + L1098*M1098 + L1099*M1099 + L1100*M1100 + L1101*M1101)/SUM(M1101)</f>
        <v>#DIV/0!</v>
      </c>
      <c r="N1103" s="30"/>
      <c r="O1103" s="30"/>
    </row>
    <row r="1104" ht="14.25" customHeight="1">
      <c r="A1104" s="28"/>
      <c r="B1104" s="28" t="s">
        <v>91</v>
      </c>
      <c r="C1104" s="30" t="s">
        <v>49</v>
      </c>
      <c r="D1104" s="28" t="s">
        <v>50</v>
      </c>
      <c r="E1104" s="30" t="s">
        <v>49</v>
      </c>
      <c r="F1104" s="120" t="s">
        <v>91</v>
      </c>
      <c r="G1104" s="121" t="s">
        <v>49</v>
      </c>
      <c r="H1104" s="122" t="s">
        <v>33</v>
      </c>
      <c r="I1104" s="30"/>
      <c r="J1104" s="28" t="s">
        <v>91</v>
      </c>
      <c r="K1104" s="60" t="s">
        <v>49</v>
      </c>
      <c r="L1104" s="30"/>
      <c r="M1104" s="60" t="s">
        <v>49</v>
      </c>
      <c r="N1104" s="30"/>
      <c r="O1104" s="30"/>
    </row>
    <row r="1105" ht="14.25" customHeight="1">
      <c r="A1105" s="28"/>
      <c r="B1105" s="27">
        <v>30.0</v>
      </c>
      <c r="C1105" s="60"/>
      <c r="D1105" s="27"/>
      <c r="E1105" s="60"/>
      <c r="F1105" s="27"/>
      <c r="G1105" s="61"/>
      <c r="H1105" s="30"/>
      <c r="I1105" s="60"/>
      <c r="J1105" s="27"/>
      <c r="K1105" s="60"/>
      <c r="L1105" s="62"/>
      <c r="M1105" s="60"/>
      <c r="N1105" s="30"/>
      <c r="O1105" s="30"/>
    </row>
    <row r="1106" ht="14.25" customHeight="1">
      <c r="A1106" s="28"/>
      <c r="B1106" s="27">
        <v>30.0</v>
      </c>
      <c r="C1106" s="60"/>
      <c r="D1106" s="27"/>
      <c r="E1106" s="60"/>
      <c r="F1106" s="69"/>
      <c r="G1106" s="60"/>
      <c r="H1106" s="30"/>
      <c r="I1106" s="60"/>
      <c r="J1106" s="69"/>
      <c r="K1106" s="60"/>
      <c r="L1106" s="30"/>
      <c r="M1106" s="60"/>
      <c r="N1106" s="30"/>
      <c r="O1106" s="30"/>
    </row>
    <row r="1107" ht="14.25" customHeight="1">
      <c r="A1107" s="37"/>
      <c r="B1107" s="28">
        <v>30.0</v>
      </c>
      <c r="C1107" s="60"/>
      <c r="D1107" s="28"/>
      <c r="E1107" s="60"/>
      <c r="F1107" s="1"/>
      <c r="G1107" s="60"/>
      <c r="H1107" s="30"/>
      <c r="I1107" s="60"/>
      <c r="J1107" s="1"/>
      <c r="K1107" s="60"/>
      <c r="L1107" s="30"/>
      <c r="M1107" s="60"/>
      <c r="N1107" s="30"/>
      <c r="O1107" s="30"/>
    </row>
    <row r="1108" ht="14.25" customHeight="1">
      <c r="A1108" s="37"/>
      <c r="B1108" s="28">
        <v>30.0</v>
      </c>
      <c r="C1108" s="1"/>
      <c r="D1108" s="28"/>
      <c r="E1108" s="1"/>
      <c r="F1108" s="28"/>
      <c r="G1108" s="60"/>
      <c r="H1108" s="30"/>
      <c r="I1108" s="30"/>
      <c r="J1108" s="28"/>
      <c r="K1108" s="60"/>
      <c r="L1108" s="30"/>
      <c r="M1108" s="60"/>
      <c r="N1108" s="30"/>
      <c r="O1108" s="30"/>
    </row>
    <row r="1109" ht="14.25" customHeight="1">
      <c r="A1109" s="37"/>
      <c r="B1109" s="28" t="s">
        <v>288</v>
      </c>
      <c r="C1109" s="1"/>
      <c r="D1109" s="28"/>
      <c r="E1109" s="1"/>
      <c r="F1109" s="28"/>
      <c r="G1109" s="60"/>
      <c r="H1109" s="30"/>
      <c r="I1109" s="30"/>
      <c r="J1109" s="28"/>
      <c r="K1109" s="60"/>
      <c r="L1109" s="30"/>
      <c r="M1109" s="60"/>
      <c r="N1109" s="30"/>
      <c r="O1109" s="30"/>
    </row>
    <row r="1110" ht="14.25" customHeight="1">
      <c r="A1110" s="37"/>
      <c r="B1110" s="28"/>
      <c r="C1110" s="1"/>
      <c r="D1110" s="28"/>
      <c r="E1110" s="1"/>
      <c r="F1110" s="28"/>
      <c r="G1110" s="60"/>
      <c r="H1110" s="30"/>
      <c r="I1110" s="30"/>
      <c r="J1110" s="37"/>
      <c r="K1110" s="60"/>
      <c r="L1110" s="30"/>
      <c r="M1110" s="60"/>
      <c r="N1110" s="30"/>
      <c r="O1110" s="30"/>
    </row>
    <row r="1111" ht="14.25" customHeight="1">
      <c r="A1111" s="64"/>
      <c r="B1111" s="65"/>
      <c r="C1111" s="66"/>
      <c r="D1111" s="65"/>
      <c r="E1111" s="66"/>
      <c r="F1111" s="64"/>
      <c r="G1111" s="67"/>
      <c r="H1111" s="66"/>
      <c r="I1111" s="66"/>
      <c r="J1111" s="64"/>
      <c r="K1111" s="67"/>
      <c r="L1111" s="66"/>
      <c r="M1111" s="67"/>
      <c r="N1111" s="30"/>
      <c r="O1111" s="30"/>
    </row>
    <row r="1112" ht="14.25" customHeight="1">
      <c r="A1112" s="30"/>
      <c r="B1112" s="30"/>
      <c r="C1112" s="30"/>
      <c r="D1112" s="23"/>
      <c r="E1112" s="30"/>
      <c r="F1112" s="30"/>
      <c r="G1112" s="30"/>
      <c r="H1112" s="23"/>
      <c r="I1112" s="30"/>
      <c r="J1112" s="30"/>
      <c r="K1112" s="30"/>
      <c r="L1112" s="30"/>
      <c r="M1112" s="30"/>
      <c r="N1112" s="30"/>
      <c r="O1112" s="30"/>
    </row>
    <row r="1113" ht="14.25" customHeight="1">
      <c r="A1113" s="2" t="s">
        <v>2</v>
      </c>
      <c r="B1113" s="3" t="s">
        <v>3</v>
      </c>
      <c r="C1113" s="4">
        <f>M1076+2</f>
        <v>45565</v>
      </c>
      <c r="D1113" s="5" t="s">
        <v>4</v>
      </c>
      <c r="E1113" s="6">
        <f>C1113+1</f>
        <v>45566</v>
      </c>
      <c r="F1113" s="3" t="s">
        <v>5</v>
      </c>
      <c r="G1113" s="6">
        <f>E1113+1</f>
        <v>45567</v>
      </c>
      <c r="H1113" s="3" t="s">
        <v>6</v>
      </c>
      <c r="I1113" s="6">
        <f>G1113+1</f>
        <v>45568</v>
      </c>
      <c r="J1113" s="3" t="s">
        <v>7</v>
      </c>
      <c r="K1113" s="6">
        <f>I1113+1</f>
        <v>45569</v>
      </c>
      <c r="L1113" s="7" t="s">
        <v>8</v>
      </c>
      <c r="M1113" s="8">
        <f>K1113+1</f>
        <v>45570</v>
      </c>
      <c r="N1113" s="30"/>
      <c r="O1113" s="30"/>
    </row>
    <row r="1114" ht="14.25" customHeight="1">
      <c r="A1114" s="10">
        <f>A1077+1</f>
        <v>31</v>
      </c>
      <c r="B1114" s="11" t="s">
        <v>10</v>
      </c>
      <c r="C1114" s="12" t="s">
        <v>11</v>
      </c>
      <c r="D1114" s="11" t="s">
        <v>10</v>
      </c>
      <c r="E1114" s="12" t="s">
        <v>11</v>
      </c>
      <c r="F1114" s="11" t="s">
        <v>10</v>
      </c>
      <c r="G1114" s="12" t="s">
        <v>11</v>
      </c>
      <c r="H1114" s="11" t="s">
        <v>10</v>
      </c>
      <c r="I1114" s="12" t="s">
        <v>11</v>
      </c>
      <c r="J1114" s="11" t="s">
        <v>10</v>
      </c>
      <c r="K1114" s="12" t="s">
        <v>11</v>
      </c>
      <c r="L1114" s="11" t="s">
        <v>10</v>
      </c>
      <c r="M1114" s="12" t="s">
        <v>11</v>
      </c>
      <c r="N1114" s="30"/>
      <c r="O1114" s="30"/>
    </row>
    <row r="1115" ht="14.25" customHeight="1">
      <c r="A1115" s="13" t="s">
        <v>12</v>
      </c>
      <c r="B1115" s="20" t="s">
        <v>289</v>
      </c>
      <c r="C1115" s="17"/>
      <c r="D1115" s="45" t="s">
        <v>290</v>
      </c>
      <c r="E1115" s="17"/>
      <c r="F1115" s="20" t="s">
        <v>291</v>
      </c>
      <c r="G1115" s="17"/>
      <c r="H1115" s="70" t="s">
        <v>292</v>
      </c>
      <c r="I1115" s="17"/>
      <c r="J1115" s="20" t="s">
        <v>289</v>
      </c>
      <c r="K1115" s="17"/>
      <c r="L1115" s="72"/>
      <c r="M1115" s="17"/>
      <c r="N1115" s="30"/>
      <c r="O1115" s="30"/>
    </row>
    <row r="1116" ht="14.25" customHeight="1">
      <c r="A1116" s="13"/>
      <c r="B1116" s="46">
        <v>60.0</v>
      </c>
      <c r="C1116" s="48">
        <v>5.0</v>
      </c>
      <c r="D1116" s="1" t="s">
        <v>293</v>
      </c>
      <c r="E1116" s="54" t="s">
        <v>294</v>
      </c>
      <c r="F1116" s="46">
        <v>100.0</v>
      </c>
      <c r="G1116" s="48">
        <v>5.0</v>
      </c>
      <c r="H1116" s="27" t="s">
        <v>295</v>
      </c>
      <c r="I1116" s="26"/>
      <c r="J1116" s="46">
        <v>60.0</v>
      </c>
      <c r="K1116" s="48">
        <v>5.0</v>
      </c>
      <c r="L1116" s="27"/>
      <c r="M1116" s="24"/>
      <c r="N1116" s="30"/>
      <c r="O1116" s="30"/>
    </row>
    <row r="1117" ht="14.25" customHeight="1">
      <c r="A1117" s="28" t="s">
        <v>20</v>
      </c>
      <c r="B1117" s="46">
        <v>80.0</v>
      </c>
      <c r="C1117" s="48">
        <v>5.0</v>
      </c>
      <c r="D1117" s="1" t="s">
        <v>210</v>
      </c>
      <c r="E1117" s="54" t="s">
        <v>296</v>
      </c>
      <c r="F1117" s="46">
        <v>110.0</v>
      </c>
      <c r="G1117" s="48">
        <v>5.0</v>
      </c>
      <c r="H1117" s="28" t="s">
        <v>210</v>
      </c>
      <c r="I1117" s="54"/>
      <c r="J1117" s="46">
        <v>80.0</v>
      </c>
      <c r="K1117" s="48">
        <v>5.0</v>
      </c>
      <c r="L1117" s="28"/>
      <c r="M1117" s="24"/>
      <c r="N1117" s="30"/>
      <c r="O1117" s="30"/>
    </row>
    <row r="1118" ht="14.25" customHeight="1">
      <c r="A1118" s="29" t="s">
        <v>22</v>
      </c>
      <c r="B1118" s="46">
        <v>85.0</v>
      </c>
      <c r="C1118" s="48">
        <v>5.0</v>
      </c>
      <c r="D1118" s="1" t="s">
        <v>297</v>
      </c>
      <c r="E1118" s="26"/>
      <c r="F1118" s="46">
        <v>120.0</v>
      </c>
      <c r="G1118" s="48">
        <v>5.0</v>
      </c>
      <c r="H1118" s="28" t="s">
        <v>298</v>
      </c>
      <c r="I1118" s="26"/>
      <c r="J1118" s="46">
        <v>85.0</v>
      </c>
      <c r="K1118" s="48">
        <v>5.0</v>
      </c>
      <c r="L1118" s="23"/>
      <c r="M1118" s="24"/>
      <c r="N1118" s="30"/>
      <c r="O1118" s="30"/>
    </row>
    <row r="1119" ht="14.25" customHeight="1">
      <c r="A1119" s="28" t="s">
        <v>23</v>
      </c>
      <c r="B1119" s="46">
        <v>90.0</v>
      </c>
      <c r="C1119" s="48">
        <v>5.0</v>
      </c>
      <c r="D1119" s="1" t="s">
        <v>299</v>
      </c>
      <c r="E1119" s="26"/>
      <c r="F1119" s="46">
        <v>130.0</v>
      </c>
      <c r="G1119" s="48">
        <v>3.0</v>
      </c>
      <c r="H1119" s="1"/>
      <c r="I1119" s="24"/>
      <c r="J1119" s="46">
        <v>90.0</v>
      </c>
      <c r="K1119" s="48">
        <v>5.0</v>
      </c>
      <c r="L1119" s="32"/>
      <c r="M1119" s="26"/>
      <c r="N1119" s="30"/>
      <c r="O1119" s="30"/>
    </row>
    <row r="1120" ht="14.25" customHeight="1">
      <c r="A1120" s="13"/>
      <c r="B1120" s="13"/>
      <c r="C1120" s="24"/>
      <c r="D1120" s="33"/>
      <c r="E1120" s="26"/>
      <c r="F1120" s="13"/>
      <c r="G1120" s="24"/>
      <c r="H1120" s="13"/>
      <c r="I1120" s="34"/>
      <c r="J1120" s="13"/>
      <c r="K1120" s="24"/>
      <c r="L1120" s="13"/>
      <c r="M1120" s="24"/>
      <c r="N1120" s="30"/>
      <c r="O1120" s="30"/>
    </row>
    <row r="1121" ht="14.25" customHeight="1">
      <c r="A1121" s="28" t="s">
        <v>24</v>
      </c>
      <c r="B1121" s="35" t="s">
        <v>25</v>
      </c>
      <c r="C1121" s="58">
        <f>C1116*B1116 + B1117*C1117 + B1118*C1118 + B1119*C1119 + B1120*C1120</f>
        <v>1575</v>
      </c>
      <c r="D1121" s="57" t="s">
        <v>25</v>
      </c>
      <c r="E1121" s="55" t="str">
        <f>E1116*D1116 + D1117*#REF! + E1117*E1118 + D1119*E1119 + D1120*E1120</f>
        <v>#VALUE!</v>
      </c>
      <c r="F1121" s="35" t="s">
        <v>25</v>
      </c>
      <c r="G1121" s="58">
        <f>G1116*F1116 + F1117*G1117 + F1118*G1118 + F1119*G1119 + F1120*G1120</f>
        <v>2040</v>
      </c>
      <c r="H1121" s="35" t="s">
        <v>25</v>
      </c>
      <c r="I1121" s="56" t="str">
        <f>I1116*H1116 + H1117*I1117 + H1118*I1118 + H1119*I1119 + H1120*I1120</f>
        <v>#VALUE!</v>
      </c>
      <c r="J1121" s="35" t="s">
        <v>25</v>
      </c>
      <c r="K1121" s="58">
        <f>K1116*J1116 + J1117*K1117 + J1118*K1118 + J1119*K1119 + J1120*K1120</f>
        <v>1575</v>
      </c>
      <c r="L1121" s="35" t="s">
        <v>25</v>
      </c>
      <c r="M1121" s="36">
        <f>M1116*L1116 + L1117*M1117 + L1118*M1118 + L1119*M1119 + L1120*M1120</f>
        <v>0</v>
      </c>
      <c r="N1121" s="30"/>
      <c r="O1121" s="30"/>
    </row>
    <row r="1122" ht="14.25" customHeight="1">
      <c r="A1122" s="37"/>
      <c r="B1122" s="39" t="s">
        <v>26</v>
      </c>
      <c r="C1122" s="116">
        <f>(B1116*C1116 + B1117*C1117 + B1118*C1118 + B1119*C1119 + B1120*C1120)/SUM(C1116:C1120)</f>
        <v>78.75</v>
      </c>
      <c r="D1122" s="31" t="s">
        <v>26</v>
      </c>
      <c r="E1122" s="74" t="str">
        <f>(D1116*E1116 + D1117*#REF! + E1117*E1118 + D1119*E1119 + D1120*E1120)/SUM(E1116:E1120)</f>
        <v>#VALUE!</v>
      </c>
      <c r="F1122" s="39" t="s">
        <v>26</v>
      </c>
      <c r="G1122" s="116">
        <f>(F1116*G1116 + F1117*G1117 + F1118*G1118 + F1119*G1119 + F1120*G1120)/SUM(G1116:G1120)</f>
        <v>113.3333333</v>
      </c>
      <c r="H1122" s="13" t="s">
        <v>26</v>
      </c>
      <c r="I1122" s="74" t="str">
        <f>(H1116*I1116 + H1117*I1117 + H1118*I1118 + H1119*I1119 + H1120*I1120)/SUM(I1116:I1120)</f>
        <v>#VALUE!</v>
      </c>
      <c r="J1122" s="39" t="s">
        <v>26</v>
      </c>
      <c r="K1122" s="116">
        <f>(J1116*K1116 + J1117*K1117 + J1118*K1118 + J1119*K1119 + J1120*K1120)/SUM(K1116:K1120)</f>
        <v>78.75</v>
      </c>
      <c r="L1122" s="13" t="s">
        <v>26</v>
      </c>
      <c r="M1122" s="75" t="str">
        <f>(L1116*M1116 + L1117*M1117 + L1118*M1118 + L1119*M1119 + L1120*M1120)/SUM(M1116:M1120)</f>
        <v>#DIV/0!</v>
      </c>
      <c r="N1122" s="30"/>
      <c r="O1122" s="30"/>
    </row>
    <row r="1123" ht="14.25" customHeight="1">
      <c r="A1123" s="28" t="s">
        <v>27</v>
      </c>
      <c r="B1123" s="11" t="s">
        <v>10</v>
      </c>
      <c r="C1123" s="12" t="s">
        <v>11</v>
      </c>
      <c r="D1123" s="11" t="s">
        <v>10</v>
      </c>
      <c r="E1123" s="12" t="s">
        <v>11</v>
      </c>
      <c r="F1123" s="11" t="s">
        <v>10</v>
      </c>
      <c r="G1123" s="12" t="s">
        <v>11</v>
      </c>
      <c r="H1123" s="11" t="s">
        <v>10</v>
      </c>
      <c r="I1123" s="12" t="s">
        <v>11</v>
      </c>
      <c r="J1123" s="11" t="s">
        <v>10</v>
      </c>
      <c r="K1123" s="12" t="s">
        <v>11</v>
      </c>
      <c r="L1123" s="11" t="s">
        <v>10</v>
      </c>
      <c r="M1123" s="12" t="s">
        <v>11</v>
      </c>
      <c r="N1123" s="30"/>
      <c r="O1123" s="30"/>
    </row>
    <row r="1124" ht="14.25" customHeight="1">
      <c r="A1124" s="41" t="s">
        <v>28</v>
      </c>
      <c r="B1124" s="20" t="s">
        <v>300</v>
      </c>
      <c r="C1124" s="17"/>
      <c r="D1124" s="45" t="s">
        <v>91</v>
      </c>
      <c r="E1124" s="76" t="s">
        <v>49</v>
      </c>
      <c r="F1124" s="20" t="s">
        <v>301</v>
      </c>
      <c r="G1124" s="17"/>
      <c r="H1124" s="70" t="s">
        <v>14</v>
      </c>
      <c r="I1124" s="44"/>
      <c r="J1124" s="20" t="s">
        <v>300</v>
      </c>
      <c r="K1124" s="17"/>
      <c r="L1124" s="42"/>
      <c r="M1124" s="44"/>
      <c r="N1124" s="30"/>
      <c r="O1124" s="30"/>
    </row>
    <row r="1125" ht="14.25" customHeight="1">
      <c r="A1125" s="28"/>
      <c r="B1125" s="46">
        <v>120.0</v>
      </c>
      <c r="C1125" s="48">
        <v>5.0</v>
      </c>
      <c r="D1125" s="46">
        <v>30.0</v>
      </c>
      <c r="E1125" s="26"/>
      <c r="F1125" s="46">
        <v>110.0</v>
      </c>
      <c r="G1125" s="48">
        <v>5.0</v>
      </c>
      <c r="H1125" s="46">
        <v>30.0</v>
      </c>
      <c r="I1125" s="24"/>
      <c r="J1125" s="46">
        <v>130.0</v>
      </c>
      <c r="K1125" s="48">
        <v>5.0</v>
      </c>
      <c r="L1125" s="46"/>
      <c r="M1125" s="26"/>
      <c r="N1125" s="30"/>
      <c r="O1125" s="30"/>
    </row>
    <row r="1126" ht="14.25" customHeight="1">
      <c r="A1126" s="28" t="s">
        <v>37</v>
      </c>
      <c r="B1126" s="46">
        <v>130.0</v>
      </c>
      <c r="C1126" s="48">
        <v>5.0</v>
      </c>
      <c r="D1126" s="46">
        <v>40.0</v>
      </c>
      <c r="E1126" s="26"/>
      <c r="F1126" s="46">
        <v>120.0</v>
      </c>
      <c r="G1126" s="48">
        <v>5.0</v>
      </c>
      <c r="H1126" s="46">
        <v>60.0</v>
      </c>
      <c r="I1126" s="54"/>
      <c r="J1126" s="46">
        <v>140.0</v>
      </c>
      <c r="K1126" s="48">
        <v>5.0</v>
      </c>
      <c r="L1126" s="46"/>
      <c r="M1126" s="26"/>
      <c r="N1126" s="30"/>
      <c r="O1126" s="30"/>
    </row>
    <row r="1127" ht="14.25" customHeight="1">
      <c r="A1127" s="28" t="s">
        <v>39</v>
      </c>
      <c r="B1127" s="46">
        <v>140.0</v>
      </c>
      <c r="C1127" s="48">
        <v>5.0</v>
      </c>
      <c r="D1127" s="46">
        <v>60.0</v>
      </c>
      <c r="E1127" s="54"/>
      <c r="F1127" s="46">
        <v>130.0</v>
      </c>
      <c r="G1127" s="48">
        <v>5.0</v>
      </c>
      <c r="H1127" s="46">
        <v>30.0</v>
      </c>
      <c r="I1127" s="24"/>
      <c r="J1127" s="46">
        <v>150.0</v>
      </c>
      <c r="K1127" s="48">
        <v>5.0</v>
      </c>
      <c r="L1127" s="46"/>
      <c r="M1127" s="26"/>
      <c r="N1127" s="30"/>
      <c r="O1127" s="30"/>
    </row>
    <row r="1128" ht="14.25" customHeight="1">
      <c r="A1128" s="28"/>
      <c r="B1128" s="46">
        <v>150.0</v>
      </c>
      <c r="C1128" s="48">
        <v>5.0</v>
      </c>
      <c r="D1128" s="46">
        <v>30.0</v>
      </c>
      <c r="E1128" s="54"/>
      <c r="F1128" s="46">
        <v>140.0</v>
      </c>
      <c r="G1128" s="48">
        <v>5.0</v>
      </c>
      <c r="H1128" s="46">
        <v>50.0</v>
      </c>
      <c r="I1128" s="24"/>
      <c r="J1128" s="46">
        <v>160.0</v>
      </c>
      <c r="K1128" s="48">
        <v>5.0</v>
      </c>
      <c r="L1128" s="46"/>
      <c r="M1128" s="26"/>
      <c r="N1128" s="30"/>
      <c r="O1128" s="30"/>
    </row>
    <row r="1129" ht="14.25" customHeight="1">
      <c r="A1129" s="28" t="s">
        <v>41</v>
      </c>
      <c r="B1129" s="13"/>
      <c r="C1129" s="24"/>
      <c r="D1129" s="32"/>
      <c r="E1129" s="24"/>
      <c r="F1129" s="31"/>
      <c r="G1129" s="24"/>
      <c r="H1129" s="28">
        <v>30.0</v>
      </c>
      <c r="I1129" s="24"/>
      <c r="J1129" s="31"/>
      <c r="K1129" s="24"/>
      <c r="L1129" s="32"/>
      <c r="M1129" s="24"/>
      <c r="N1129" s="30"/>
      <c r="O1129" s="30"/>
    </row>
    <row r="1130" ht="14.25" customHeight="1">
      <c r="A1130" s="28" t="s">
        <v>43</v>
      </c>
      <c r="B1130" s="13"/>
      <c r="C1130" s="34"/>
      <c r="D1130" s="32"/>
      <c r="E1130" s="26"/>
      <c r="F1130" s="13"/>
      <c r="G1130" s="34"/>
      <c r="H1130" s="28">
        <v>20.0</v>
      </c>
      <c r="I1130" s="24"/>
      <c r="J1130" s="13"/>
      <c r="K1130" s="24"/>
      <c r="L1130" s="32"/>
      <c r="M1130" s="26"/>
      <c r="N1130" s="30"/>
      <c r="O1130" s="30"/>
    </row>
    <row r="1131" ht="14.25" customHeight="1">
      <c r="A1131" s="28"/>
      <c r="B1131" s="35" t="s">
        <v>25</v>
      </c>
      <c r="C1131" s="55">
        <f>C1125*B1125 + B1126*C1126 + B1127*C1127 + B1128*C1128 + B1130*C1130</f>
        <v>2700</v>
      </c>
      <c r="D1131" s="35" t="s">
        <v>25</v>
      </c>
      <c r="E1131" s="36">
        <f>E1125*D1125 + D1126*E1126 + D1127*E1127 + D1128*E1128 + D1130*E1130</f>
        <v>0</v>
      </c>
      <c r="F1131" s="35" t="s">
        <v>25</v>
      </c>
      <c r="G1131" s="55">
        <f>G1125*F1125 + F1126*G1126 + F1127*G1127 + F1128*G1128 + F1130*G1130</f>
        <v>2500</v>
      </c>
      <c r="H1131" s="35" t="s">
        <v>25</v>
      </c>
      <c r="I1131" s="36">
        <f>I1125*H1125 + H1126*I1126 + H1127*I1127 + H1128*I1128 + H1130*I1130</f>
        <v>0</v>
      </c>
      <c r="J1131" s="35" t="s">
        <v>25</v>
      </c>
      <c r="K1131" s="36">
        <f>K1125*J1125 + J1126*K1126 + J1127*K1127 + J1128*K1128 + J1130*K1130</f>
        <v>2900</v>
      </c>
      <c r="L1131" s="35" t="s">
        <v>25</v>
      </c>
      <c r="M1131" s="36">
        <f>M1125*L1125 + L1126*M1126 + L1127*M1127 + L1128*M1128 + L1130*M1130</f>
        <v>0</v>
      </c>
      <c r="N1131" s="30"/>
      <c r="O1131" s="30"/>
    </row>
    <row r="1132" ht="14.25" customHeight="1">
      <c r="A1132" s="28" t="s">
        <v>116</v>
      </c>
      <c r="B1132" s="39" t="s">
        <v>26</v>
      </c>
      <c r="C1132" s="77">
        <f>(B1125*C1125 + B1126*C1126 + B1127*C1127 + B1128*C1128 + B1130*C1130)/SUM(C1125:C1130)</f>
        <v>135</v>
      </c>
      <c r="D1132" s="39" t="s">
        <v>26</v>
      </c>
      <c r="E1132" s="40" t="str">
        <f>(D1125*E1125 + D1126*E1126 + D1127*E1127 + D1128*E1128 + D1130*E1130)/SUM(E1125:E1130)</f>
        <v>#DIV/0!</v>
      </c>
      <c r="F1132" s="39" t="s">
        <v>26</v>
      </c>
      <c r="G1132" s="77">
        <f>(F1125*G1125 + F1126*G1126 + F1127*G1127 + F1128*G1128 + F1130*G1130)/SUM(G1125:G1130)</f>
        <v>125</v>
      </c>
      <c r="H1132" s="39" t="s">
        <v>26</v>
      </c>
      <c r="I1132" s="40" t="str">
        <f>(H1125*I1125 + H1126*I1126 + H1127*I1127 + H1128*I1128 + H1130*I1130)/SUM(I1125:I1130)</f>
        <v>#DIV/0!</v>
      </c>
      <c r="J1132" s="39" t="s">
        <v>26</v>
      </c>
      <c r="K1132" s="40">
        <f>(J1125*K1125 + J1126*K1126 + J1127*K1127 + J1128*K1128 + J1130*K1130)/SUM(K1125:K1130)</f>
        <v>145</v>
      </c>
      <c r="L1132" s="39" t="s">
        <v>26</v>
      </c>
      <c r="M1132" s="40" t="str">
        <f>(L1125*M1125 + L1126*M1126 + L1127*M1127 + L1128*M1128 + L1130*M1130)/SUM(M1125:M1130)</f>
        <v>#DIV/0!</v>
      </c>
      <c r="N1132" s="30"/>
      <c r="O1132" s="30"/>
    </row>
    <row r="1133" ht="14.25" customHeight="1">
      <c r="A1133" s="28" t="s">
        <v>117</v>
      </c>
      <c r="B1133" s="70" t="s">
        <v>302</v>
      </c>
      <c r="C1133" s="17"/>
      <c r="D1133" s="113" t="s">
        <v>105</v>
      </c>
      <c r="E1133" s="50" t="s">
        <v>49</v>
      </c>
      <c r="F1133" s="70"/>
      <c r="G1133" s="17"/>
      <c r="H1133" s="113"/>
      <c r="I1133" s="125"/>
      <c r="J1133" s="70" t="s">
        <v>250</v>
      </c>
      <c r="K1133" s="17"/>
      <c r="L1133" s="113" t="s">
        <v>105</v>
      </c>
      <c r="M1133" s="50" t="s">
        <v>49</v>
      </c>
      <c r="N1133" s="30"/>
      <c r="O1133" s="30"/>
    </row>
    <row r="1134" ht="14.25" customHeight="1">
      <c r="A1134" s="28" t="s">
        <v>120</v>
      </c>
      <c r="B1134" s="28"/>
      <c r="C1134" s="54">
        <v>5.0</v>
      </c>
      <c r="D1134" s="46">
        <v>60.0</v>
      </c>
      <c r="E1134" s="24"/>
      <c r="F1134" s="28"/>
      <c r="G1134" s="54"/>
      <c r="H1134" s="21"/>
      <c r="I1134" s="24"/>
      <c r="J1134" s="28" t="s">
        <v>303</v>
      </c>
      <c r="K1134" s="54"/>
      <c r="L1134" s="21"/>
      <c r="M1134" s="24"/>
      <c r="N1134" s="30"/>
      <c r="O1134" s="30"/>
    </row>
    <row r="1135" ht="14.25" customHeight="1">
      <c r="A1135" s="28"/>
      <c r="B1135" s="27"/>
      <c r="C1135" s="54">
        <v>5.0</v>
      </c>
      <c r="D1135" s="46">
        <v>40.0</v>
      </c>
      <c r="E1135" s="54"/>
      <c r="F1135" s="27"/>
      <c r="G1135" s="54"/>
      <c r="H1135" s="46"/>
      <c r="I1135" s="54"/>
      <c r="J1135" s="27"/>
      <c r="K1135" s="54"/>
      <c r="L1135" s="21"/>
      <c r="M1135" s="26"/>
      <c r="N1135" s="30"/>
      <c r="O1135" s="30"/>
    </row>
    <row r="1136" ht="14.25" customHeight="1">
      <c r="A1136" s="28"/>
      <c r="B1136" s="27"/>
      <c r="C1136" s="54">
        <v>5.0</v>
      </c>
      <c r="D1136" s="46">
        <v>60.0</v>
      </c>
      <c r="E1136" s="24"/>
      <c r="F1136" s="27"/>
      <c r="G1136" s="54"/>
      <c r="H1136" s="21"/>
      <c r="I1136" s="24"/>
      <c r="J1136" s="27"/>
      <c r="K1136" s="54"/>
      <c r="L1136" s="46"/>
      <c r="M1136" s="24"/>
      <c r="N1136" s="30"/>
      <c r="O1136" s="30"/>
    </row>
    <row r="1137" ht="14.25" customHeight="1">
      <c r="A1137" s="28"/>
      <c r="B1137" s="28"/>
      <c r="C1137" s="79">
        <v>5.0</v>
      </c>
      <c r="D1137" s="46">
        <v>30.0</v>
      </c>
      <c r="E1137" s="24"/>
      <c r="F1137" s="28"/>
      <c r="G1137" s="34"/>
      <c r="H1137" s="21"/>
      <c r="I1137" s="24"/>
      <c r="J1137" s="28"/>
      <c r="K1137" s="54"/>
      <c r="L1137" s="21"/>
      <c r="M1137" s="24"/>
      <c r="N1137" s="30"/>
      <c r="O1137" s="30"/>
    </row>
    <row r="1138" ht="14.25" customHeight="1">
      <c r="A1138" s="28"/>
      <c r="B1138" s="13"/>
      <c r="C1138" s="34"/>
      <c r="D1138" s="21"/>
      <c r="E1138" s="34"/>
      <c r="F1138" s="13"/>
      <c r="G1138" s="34"/>
      <c r="H1138" s="28"/>
      <c r="I1138" s="34"/>
      <c r="J1138" s="13"/>
      <c r="K1138" s="24"/>
      <c r="L1138" s="31"/>
      <c r="M1138" s="24"/>
      <c r="N1138" s="30"/>
      <c r="O1138" s="30"/>
    </row>
    <row r="1139" ht="14.25" customHeight="1">
      <c r="A1139" s="28"/>
      <c r="B1139" s="35" t="s">
        <v>25</v>
      </c>
      <c r="C1139" s="55">
        <f>C1134*B1134 + B1135*C1135 + B1136*C1136 + B1137*C1137 + B1138*C1138</f>
        <v>0</v>
      </c>
      <c r="D1139" s="35" t="s">
        <v>25</v>
      </c>
      <c r="E1139" s="55">
        <f>E1134*D1134 + D1135*E1135 + D1136*E1136 + D1137*E1137 + D1138*E1138</f>
        <v>0</v>
      </c>
      <c r="F1139" s="35" t="s">
        <v>25</v>
      </c>
      <c r="G1139" s="55">
        <f>G1134*F1134 + F1135*G1135 + F1136*G1136 + F1137*G1137 + F1138*G1138</f>
        <v>0</v>
      </c>
      <c r="H1139" s="35" t="s">
        <v>25</v>
      </c>
      <c r="I1139" s="56">
        <f>I1134*H1134 + H1135*I1135 + H1136*I1136 + H1137*I1137 + H1138*I1138</f>
        <v>0</v>
      </c>
      <c r="J1139" s="35" t="s">
        <v>25</v>
      </c>
      <c r="K1139" s="36" t="str">
        <f>K1134*J1134 + J1135*K1135 + J1136*K1136 + J1137*K1137 + J1138*K1138</f>
        <v>#VALUE!</v>
      </c>
      <c r="L1139" s="57" t="s">
        <v>25</v>
      </c>
      <c r="M1139" s="58">
        <f>M1134*L1134 + L1135*M1135 + L1136*M1136 + L1137*M1137 + L1138*M1138</f>
        <v>0</v>
      </c>
      <c r="N1139" s="30"/>
      <c r="O1139" s="30"/>
    </row>
    <row r="1140" ht="14.25" customHeight="1">
      <c r="A1140" s="28"/>
      <c r="B1140" s="39" t="s">
        <v>26</v>
      </c>
      <c r="C1140" s="40">
        <f>(B1134*C1134 + B1135*C1135 + B1136*C1136 + B1137*C1137 + B1138*C1138)/SUM(C1134:C1138)</f>
        <v>0</v>
      </c>
      <c r="D1140" s="59" t="s">
        <v>26</v>
      </c>
      <c r="E1140" s="40" t="str">
        <f>(D1134*E1134 + D1135*E1135 + D1136*E1136 + D1137*E1137 + D1138*E1138)/SUM(E1134:E1138)</f>
        <v>#DIV/0!</v>
      </c>
      <c r="F1140" s="31" t="s">
        <v>26</v>
      </c>
      <c r="G1140" s="75" t="str">
        <f>(F1134*G1134 + F1135*G1135 + F1136*G1136 + F1137*G1137 + F1138*G1138)/SUM(G1134:G1138)</f>
        <v>#DIV/0!</v>
      </c>
      <c r="H1140" s="59" t="s">
        <v>26</v>
      </c>
      <c r="I1140" s="40" t="str">
        <f>(H1134*I1134 + H1135*I1135 + H1136*I1136 + H1137*I1137 + H1138*I1138)/SUM(I1134:I1138)</f>
        <v>#DIV/0!</v>
      </c>
      <c r="J1140" s="39" t="s">
        <v>26</v>
      </c>
      <c r="K1140" s="40" t="str">
        <f>(J1134*K1134 + J1135*K1135 + J1136*K1136 + J1137*K1137 + J1138*K1138)/SUM(K1134:K1138)</f>
        <v>#VALUE!</v>
      </c>
      <c r="L1140" s="59" t="s">
        <v>26</v>
      </c>
      <c r="M1140" s="40" t="str">
        <f>(L1134*M1134 + L1135*M1135 + L1136*M1136 + L1137*M1137 + L1138*M1138)/SUM(M1138)</f>
        <v>#DIV/0!</v>
      </c>
      <c r="N1140" s="30"/>
      <c r="O1140" s="30"/>
    </row>
    <row r="1141" ht="14.25" customHeight="1">
      <c r="A1141" s="28"/>
      <c r="B1141" s="28" t="s">
        <v>91</v>
      </c>
      <c r="C1141" s="30" t="s">
        <v>49</v>
      </c>
      <c r="D1141" s="28" t="s">
        <v>50</v>
      </c>
      <c r="E1141" s="30" t="s">
        <v>49</v>
      </c>
      <c r="F1141" s="120" t="s">
        <v>91</v>
      </c>
      <c r="G1141" s="121" t="s">
        <v>49</v>
      </c>
      <c r="H1141" s="122"/>
      <c r="I1141" s="30"/>
      <c r="J1141" s="28" t="s">
        <v>91</v>
      </c>
      <c r="K1141" s="60" t="s">
        <v>49</v>
      </c>
      <c r="L1141" s="30"/>
      <c r="M1141" s="60" t="s">
        <v>49</v>
      </c>
      <c r="N1141" s="30"/>
      <c r="O1141" s="30"/>
    </row>
    <row r="1142" ht="14.25" customHeight="1">
      <c r="A1142" s="28"/>
      <c r="B1142" s="27">
        <v>30.0</v>
      </c>
      <c r="C1142" s="60"/>
      <c r="D1142" s="27"/>
      <c r="E1142" s="60"/>
      <c r="F1142" s="27">
        <v>30.0</v>
      </c>
      <c r="G1142" s="61"/>
      <c r="H1142" s="30"/>
      <c r="I1142" s="60"/>
      <c r="J1142" s="27"/>
      <c r="K1142" s="60"/>
      <c r="L1142" s="62"/>
      <c r="M1142" s="60"/>
      <c r="N1142" s="30"/>
      <c r="O1142" s="30"/>
    </row>
    <row r="1143" ht="14.25" customHeight="1">
      <c r="A1143" s="28"/>
      <c r="B1143" s="27">
        <v>60.0</v>
      </c>
      <c r="C1143" s="60"/>
      <c r="D1143" s="27"/>
      <c r="E1143" s="60"/>
      <c r="F1143" s="69">
        <v>60.0</v>
      </c>
      <c r="G1143" s="60"/>
      <c r="H1143" s="30"/>
      <c r="I1143" s="60"/>
      <c r="J1143" s="69"/>
      <c r="K1143" s="60"/>
      <c r="L1143" s="30"/>
      <c r="M1143" s="60"/>
      <c r="N1143" s="30"/>
      <c r="O1143" s="30"/>
    </row>
    <row r="1144" ht="14.25" customHeight="1">
      <c r="A1144" s="37"/>
      <c r="B1144" s="28">
        <v>60.0</v>
      </c>
      <c r="C1144" s="60"/>
      <c r="D1144" s="28"/>
      <c r="E1144" s="60"/>
      <c r="F1144" s="1">
        <v>40.0</v>
      </c>
      <c r="G1144" s="60"/>
      <c r="H1144" s="30"/>
      <c r="I1144" s="60"/>
      <c r="J1144" s="1"/>
      <c r="K1144" s="60"/>
      <c r="L1144" s="30"/>
      <c r="M1144" s="60"/>
      <c r="N1144" s="30"/>
      <c r="O1144" s="30"/>
    </row>
    <row r="1145" ht="14.25" customHeight="1">
      <c r="A1145" s="37"/>
      <c r="B1145" s="28">
        <v>40.0</v>
      </c>
      <c r="C1145" s="1"/>
      <c r="D1145" s="28"/>
      <c r="E1145" s="1"/>
      <c r="F1145" s="28">
        <v>60.0</v>
      </c>
      <c r="G1145" s="60"/>
      <c r="H1145" s="30"/>
      <c r="I1145" s="30"/>
      <c r="J1145" s="28"/>
      <c r="K1145" s="60"/>
      <c r="L1145" s="30"/>
      <c r="M1145" s="60"/>
      <c r="N1145" s="30"/>
      <c r="O1145" s="30"/>
    </row>
    <row r="1146" ht="14.25" customHeight="1">
      <c r="A1146" s="37"/>
      <c r="B1146" s="28"/>
      <c r="C1146" s="1"/>
      <c r="D1146" s="28"/>
      <c r="E1146" s="1"/>
      <c r="F1146" s="28"/>
      <c r="G1146" s="60"/>
      <c r="H1146" s="30"/>
      <c r="I1146" s="30"/>
      <c r="J1146" s="28"/>
      <c r="K1146" s="60"/>
      <c r="L1146" s="30"/>
      <c r="M1146" s="60"/>
      <c r="N1146" s="30"/>
      <c r="O1146" s="30"/>
    </row>
    <row r="1147" ht="14.25" customHeight="1">
      <c r="A1147" s="37"/>
      <c r="B1147" s="28"/>
      <c r="C1147" s="1"/>
      <c r="D1147" s="28"/>
      <c r="E1147" s="1"/>
      <c r="F1147" s="28"/>
      <c r="G1147" s="60"/>
      <c r="H1147" s="30"/>
      <c r="I1147" s="30"/>
      <c r="J1147" s="37"/>
      <c r="K1147" s="60"/>
      <c r="L1147" s="30"/>
      <c r="M1147" s="60"/>
      <c r="N1147" s="30"/>
      <c r="O1147" s="30"/>
    </row>
    <row r="1148" ht="14.25" customHeight="1">
      <c r="A1148" s="64"/>
      <c r="B1148" s="65"/>
      <c r="C1148" s="66"/>
      <c r="D1148" s="65"/>
      <c r="E1148" s="66"/>
      <c r="F1148" s="64"/>
      <c r="G1148" s="67"/>
      <c r="H1148" s="66"/>
      <c r="I1148" s="66"/>
      <c r="J1148" s="64"/>
      <c r="K1148" s="67"/>
      <c r="L1148" s="66"/>
      <c r="M1148" s="67"/>
      <c r="N1148" s="30"/>
      <c r="O1148" s="30"/>
    </row>
    <row r="1149" ht="14.25" customHeight="1">
      <c r="A1149" s="30"/>
      <c r="B1149" s="1"/>
      <c r="C1149" s="30"/>
      <c r="D1149" s="1"/>
      <c r="E1149" s="30"/>
      <c r="F1149" s="30"/>
      <c r="G1149" s="30"/>
      <c r="H1149" s="30"/>
      <c r="I1149" s="30"/>
      <c r="J1149" s="30"/>
      <c r="K1149" s="30"/>
      <c r="L1149" s="30"/>
      <c r="M1149" s="30"/>
      <c r="N1149" s="30"/>
      <c r="O1149" s="30"/>
    </row>
    <row r="1150" ht="14.25" customHeight="1">
      <c r="A1150" s="2" t="s">
        <v>2</v>
      </c>
      <c r="B1150" s="3" t="s">
        <v>3</v>
      </c>
      <c r="C1150" s="4">
        <f>M1113+2</f>
        <v>45572</v>
      </c>
      <c r="D1150" s="5" t="s">
        <v>4</v>
      </c>
      <c r="E1150" s="6">
        <f>C1150+1</f>
        <v>45573</v>
      </c>
      <c r="F1150" s="3" t="s">
        <v>5</v>
      </c>
      <c r="G1150" s="6">
        <f>E1150+1</f>
        <v>45574</v>
      </c>
      <c r="H1150" s="3" t="s">
        <v>6</v>
      </c>
      <c r="I1150" s="6">
        <f>G1150+1</f>
        <v>45575</v>
      </c>
      <c r="J1150" s="3" t="s">
        <v>7</v>
      </c>
      <c r="K1150" s="6">
        <f>I1150+1</f>
        <v>45576</v>
      </c>
      <c r="L1150" s="7" t="s">
        <v>8</v>
      </c>
      <c r="M1150" s="8">
        <f>K1150+1</f>
        <v>45577</v>
      </c>
      <c r="N1150" s="30"/>
      <c r="O1150" s="30"/>
    </row>
    <row r="1151" ht="14.25" customHeight="1">
      <c r="A1151" s="10">
        <f>A1114+1</f>
        <v>32</v>
      </c>
      <c r="B1151" s="11" t="s">
        <v>10</v>
      </c>
      <c r="C1151" s="12" t="s">
        <v>11</v>
      </c>
      <c r="D1151" s="11" t="s">
        <v>10</v>
      </c>
      <c r="E1151" s="12" t="s">
        <v>11</v>
      </c>
      <c r="F1151" s="11" t="s">
        <v>10</v>
      </c>
      <c r="G1151" s="12" t="s">
        <v>11</v>
      </c>
      <c r="H1151" s="11" t="s">
        <v>10</v>
      </c>
      <c r="I1151" s="12" t="s">
        <v>11</v>
      </c>
      <c r="J1151" s="11" t="s">
        <v>10</v>
      </c>
      <c r="K1151" s="12" t="s">
        <v>11</v>
      </c>
      <c r="L1151" s="11" t="s">
        <v>10</v>
      </c>
      <c r="M1151" s="12" t="s">
        <v>11</v>
      </c>
      <c r="N1151" s="30"/>
      <c r="O1151" s="30"/>
    </row>
    <row r="1152" ht="14.25" customHeight="1">
      <c r="A1152" s="13" t="s">
        <v>12</v>
      </c>
      <c r="B1152" s="20" t="s">
        <v>289</v>
      </c>
      <c r="C1152" s="17"/>
      <c r="D1152" s="45" t="s">
        <v>290</v>
      </c>
      <c r="E1152" s="17"/>
      <c r="F1152" s="20" t="s">
        <v>291</v>
      </c>
      <c r="G1152" s="17"/>
      <c r="H1152" s="70" t="s">
        <v>292</v>
      </c>
      <c r="I1152" s="17"/>
      <c r="J1152" s="20" t="s">
        <v>289</v>
      </c>
      <c r="K1152" s="17"/>
      <c r="L1152" s="72"/>
      <c r="M1152" s="17"/>
      <c r="N1152" s="30"/>
      <c r="O1152" s="30"/>
    </row>
    <row r="1153" ht="14.25" customHeight="1">
      <c r="A1153" s="13"/>
      <c r="B1153" s="46">
        <v>70.0</v>
      </c>
      <c r="C1153" s="48">
        <v>5.0</v>
      </c>
      <c r="D1153" s="1" t="s">
        <v>293</v>
      </c>
      <c r="E1153" s="54" t="s">
        <v>294</v>
      </c>
      <c r="F1153" s="46">
        <v>110.0</v>
      </c>
      <c r="G1153" s="48">
        <v>5.0</v>
      </c>
      <c r="H1153" s="27" t="s">
        <v>295</v>
      </c>
      <c r="I1153" s="26"/>
      <c r="J1153" s="46">
        <v>80.0</v>
      </c>
      <c r="K1153" s="48">
        <v>5.0</v>
      </c>
      <c r="L1153" s="27"/>
      <c r="M1153" s="24"/>
      <c r="N1153" s="30"/>
      <c r="O1153" s="30"/>
    </row>
    <row r="1154" ht="14.25" customHeight="1">
      <c r="A1154" s="28" t="s">
        <v>20</v>
      </c>
      <c r="B1154" s="46">
        <v>85.0</v>
      </c>
      <c r="C1154" s="48">
        <v>5.0</v>
      </c>
      <c r="D1154" s="1" t="s">
        <v>210</v>
      </c>
      <c r="E1154" s="54" t="s">
        <v>296</v>
      </c>
      <c r="F1154" s="46">
        <v>120.0</v>
      </c>
      <c r="G1154" s="48">
        <v>5.0</v>
      </c>
      <c r="H1154" s="28" t="s">
        <v>210</v>
      </c>
      <c r="I1154" s="54"/>
      <c r="J1154" s="46">
        <v>90.0</v>
      </c>
      <c r="K1154" s="48">
        <v>5.0</v>
      </c>
      <c r="L1154" s="28"/>
      <c r="M1154" s="24"/>
      <c r="N1154" s="30"/>
      <c r="O1154" s="30"/>
    </row>
    <row r="1155" ht="14.25" customHeight="1">
      <c r="A1155" s="29" t="s">
        <v>22</v>
      </c>
      <c r="B1155" s="46">
        <v>90.0</v>
      </c>
      <c r="C1155" s="48">
        <v>4.0</v>
      </c>
      <c r="D1155" s="1" t="s">
        <v>297</v>
      </c>
      <c r="E1155" s="26"/>
      <c r="F1155" s="46">
        <v>130.0</v>
      </c>
      <c r="G1155" s="48">
        <v>5.0</v>
      </c>
      <c r="H1155" s="28" t="s">
        <v>298</v>
      </c>
      <c r="I1155" s="26"/>
      <c r="J1155" s="46">
        <v>95.0</v>
      </c>
      <c r="K1155" s="48">
        <v>4.0</v>
      </c>
      <c r="L1155" s="23"/>
      <c r="M1155" s="24"/>
      <c r="N1155" s="30"/>
      <c r="O1155" s="30"/>
    </row>
    <row r="1156" ht="14.25" customHeight="1">
      <c r="A1156" s="28" t="s">
        <v>23</v>
      </c>
      <c r="B1156" s="46">
        <v>95.0</v>
      </c>
      <c r="C1156" s="48">
        <v>4.0</v>
      </c>
      <c r="D1156" s="1" t="s">
        <v>299</v>
      </c>
      <c r="E1156" s="26"/>
      <c r="F1156" s="46">
        <v>140.0</v>
      </c>
      <c r="G1156" s="48">
        <v>3.0</v>
      </c>
      <c r="H1156" s="1"/>
      <c r="I1156" s="24"/>
      <c r="J1156" s="46">
        <v>100.0</v>
      </c>
      <c r="K1156" s="48">
        <v>4.0</v>
      </c>
      <c r="L1156" s="32"/>
      <c r="M1156" s="26"/>
      <c r="N1156" s="30"/>
      <c r="O1156" s="30"/>
    </row>
    <row r="1157" ht="14.25" customHeight="1">
      <c r="A1157" s="13"/>
      <c r="B1157" s="13"/>
      <c r="C1157" s="24"/>
      <c r="D1157" s="33"/>
      <c r="E1157" s="26"/>
      <c r="F1157" s="13"/>
      <c r="G1157" s="24"/>
      <c r="H1157" s="13"/>
      <c r="I1157" s="34"/>
      <c r="J1157" s="13"/>
      <c r="K1157" s="24"/>
      <c r="L1157" s="13"/>
      <c r="M1157" s="24"/>
      <c r="N1157" s="30"/>
      <c r="O1157" s="30"/>
    </row>
    <row r="1158" ht="14.25" customHeight="1">
      <c r="A1158" s="28" t="s">
        <v>24</v>
      </c>
      <c r="B1158" s="35" t="s">
        <v>25</v>
      </c>
      <c r="C1158" s="58">
        <f>C1153*B1153 + B1154*C1154 + B1155*C1155 + B1156*C1156 + B1157*C1157</f>
        <v>1515</v>
      </c>
      <c r="D1158" s="57" t="s">
        <v>25</v>
      </c>
      <c r="E1158" s="55" t="str">
        <f>E1153*D1153 + D1154*#REF! + E1154*E1155 + D1156*E1156 + D1157*E1157</f>
        <v>#VALUE!</v>
      </c>
      <c r="F1158" s="35" t="s">
        <v>25</v>
      </c>
      <c r="G1158" s="58">
        <f>G1153*F1153 + F1154*G1154 + F1155*G1155 + F1156*G1156 + F1157*G1157</f>
        <v>2220</v>
      </c>
      <c r="H1158" s="35" t="s">
        <v>25</v>
      </c>
      <c r="I1158" s="56" t="str">
        <f>I1153*H1153 + H1154*I1154 + H1155*I1155 + H1156*I1156 + H1157*I1157</f>
        <v>#VALUE!</v>
      </c>
      <c r="J1158" s="35" t="s">
        <v>25</v>
      </c>
      <c r="K1158" s="58">
        <f>K1153*J1153 + J1154*K1154 + J1155*K1155 + J1156*K1156 + J1157*K1157</f>
        <v>1630</v>
      </c>
      <c r="L1158" s="35" t="s">
        <v>25</v>
      </c>
      <c r="M1158" s="36">
        <f>M1153*L1153 + L1154*M1154 + L1155*M1155 + L1156*M1156 + L1157*M1157</f>
        <v>0</v>
      </c>
      <c r="N1158" s="30"/>
      <c r="O1158" s="30"/>
    </row>
    <row r="1159" ht="14.25" customHeight="1">
      <c r="A1159" s="37"/>
      <c r="B1159" s="39" t="s">
        <v>26</v>
      </c>
      <c r="C1159" s="116">
        <f>(B1153*C1153 + B1154*C1154 + B1155*C1155 + B1156*C1156 + B1157*C1157)/SUM(C1153:C1157)</f>
        <v>84.16666667</v>
      </c>
      <c r="D1159" s="31" t="s">
        <v>26</v>
      </c>
      <c r="E1159" s="74" t="str">
        <f>(D1153*E1153 + D1154*#REF! + E1154*E1155 + D1156*E1156 + D1157*E1157)/SUM(E1153:E1157)</f>
        <v>#VALUE!</v>
      </c>
      <c r="F1159" s="39" t="s">
        <v>26</v>
      </c>
      <c r="G1159" s="116">
        <f>(F1153*G1153 + F1154*G1154 + F1155*G1155 + F1156*G1156 + F1157*G1157)/SUM(G1153:G1157)</f>
        <v>123.3333333</v>
      </c>
      <c r="H1159" s="13" t="s">
        <v>26</v>
      </c>
      <c r="I1159" s="74" t="str">
        <f>(H1153*I1153 + H1154*I1154 + H1155*I1155 + H1156*I1156 + H1157*I1157)/SUM(I1153:I1157)</f>
        <v>#VALUE!</v>
      </c>
      <c r="J1159" s="39" t="s">
        <v>26</v>
      </c>
      <c r="K1159" s="116">
        <f>(J1153*K1153 + J1154*K1154 + J1155*K1155 + J1156*K1156 + J1157*K1157)/SUM(K1153:K1157)</f>
        <v>90.55555556</v>
      </c>
      <c r="L1159" s="13" t="s">
        <v>26</v>
      </c>
      <c r="M1159" s="75" t="str">
        <f>(L1153*M1153 + L1154*M1154 + L1155*M1155 + L1156*M1156 + L1157*M1157)/SUM(M1153:M1157)</f>
        <v>#DIV/0!</v>
      </c>
      <c r="N1159" s="30"/>
      <c r="O1159" s="30"/>
    </row>
    <row r="1160" ht="14.25" customHeight="1">
      <c r="A1160" s="28" t="s">
        <v>27</v>
      </c>
      <c r="B1160" s="11" t="s">
        <v>10</v>
      </c>
      <c r="C1160" s="12" t="s">
        <v>11</v>
      </c>
      <c r="D1160" s="11" t="s">
        <v>10</v>
      </c>
      <c r="E1160" s="12" t="s">
        <v>11</v>
      </c>
      <c r="F1160" s="11" t="s">
        <v>10</v>
      </c>
      <c r="G1160" s="12" t="s">
        <v>11</v>
      </c>
      <c r="H1160" s="11" t="s">
        <v>10</v>
      </c>
      <c r="I1160" s="12" t="s">
        <v>11</v>
      </c>
      <c r="J1160" s="11" t="s">
        <v>10</v>
      </c>
      <c r="K1160" s="12" t="s">
        <v>11</v>
      </c>
      <c r="L1160" s="11" t="s">
        <v>10</v>
      </c>
      <c r="M1160" s="12" t="s">
        <v>11</v>
      </c>
      <c r="N1160" s="30"/>
      <c r="O1160" s="30"/>
    </row>
    <row r="1161" ht="14.25" customHeight="1">
      <c r="A1161" s="41" t="s">
        <v>28</v>
      </c>
      <c r="B1161" s="20" t="s">
        <v>300</v>
      </c>
      <c r="C1161" s="17"/>
      <c r="D1161" s="45" t="s">
        <v>91</v>
      </c>
      <c r="E1161" s="76" t="s">
        <v>49</v>
      </c>
      <c r="F1161" s="20" t="s">
        <v>301</v>
      </c>
      <c r="G1161" s="17"/>
      <c r="H1161" s="70" t="s">
        <v>14</v>
      </c>
      <c r="I1161" s="44"/>
      <c r="J1161" s="20" t="s">
        <v>300</v>
      </c>
      <c r="K1161" s="17"/>
      <c r="L1161" s="42"/>
      <c r="M1161" s="44"/>
      <c r="N1161" s="30"/>
      <c r="O1161" s="30"/>
    </row>
    <row r="1162" ht="14.25" customHeight="1">
      <c r="A1162" s="28"/>
      <c r="B1162" s="46">
        <v>140.0</v>
      </c>
      <c r="C1162" s="48">
        <v>5.0</v>
      </c>
      <c r="D1162" s="46">
        <v>20.0</v>
      </c>
      <c r="E1162" s="26"/>
      <c r="F1162" s="46">
        <v>120.0</v>
      </c>
      <c r="G1162" s="48">
        <v>5.0</v>
      </c>
      <c r="H1162" s="46">
        <v>30.0</v>
      </c>
      <c r="I1162" s="24"/>
      <c r="J1162" s="46">
        <v>150.0</v>
      </c>
      <c r="K1162" s="48">
        <v>5.0</v>
      </c>
      <c r="L1162" s="46"/>
      <c r="M1162" s="26"/>
      <c r="N1162" s="30"/>
      <c r="O1162" s="30"/>
    </row>
    <row r="1163" ht="14.25" customHeight="1">
      <c r="A1163" s="28" t="s">
        <v>37</v>
      </c>
      <c r="B1163" s="46">
        <v>150.0</v>
      </c>
      <c r="C1163" s="48">
        <v>5.0</v>
      </c>
      <c r="D1163" s="46">
        <v>40.0</v>
      </c>
      <c r="E1163" s="26"/>
      <c r="F1163" s="46">
        <v>130.0</v>
      </c>
      <c r="G1163" s="48">
        <v>5.0</v>
      </c>
      <c r="H1163" s="46">
        <v>60.0</v>
      </c>
      <c r="I1163" s="54"/>
      <c r="J1163" s="46">
        <v>160.0</v>
      </c>
      <c r="K1163" s="48">
        <v>5.0</v>
      </c>
      <c r="L1163" s="46"/>
      <c r="M1163" s="26"/>
      <c r="N1163" s="30"/>
      <c r="O1163" s="30"/>
    </row>
    <row r="1164" ht="14.25" customHeight="1">
      <c r="A1164" s="28" t="s">
        <v>39</v>
      </c>
      <c r="B1164" s="46">
        <v>160.0</v>
      </c>
      <c r="C1164" s="48">
        <v>5.0</v>
      </c>
      <c r="D1164" s="46">
        <v>60.0</v>
      </c>
      <c r="E1164" s="54"/>
      <c r="F1164" s="46">
        <v>140.0</v>
      </c>
      <c r="G1164" s="48">
        <v>5.0</v>
      </c>
      <c r="H1164" s="46">
        <v>30.0</v>
      </c>
      <c r="I1164" s="24"/>
      <c r="J1164" s="46">
        <v>170.0</v>
      </c>
      <c r="K1164" s="48">
        <v>5.0</v>
      </c>
      <c r="L1164" s="46"/>
      <c r="M1164" s="26"/>
      <c r="N1164" s="30"/>
      <c r="O1164" s="30"/>
    </row>
    <row r="1165" ht="14.25" customHeight="1">
      <c r="A1165" s="28"/>
      <c r="B1165" s="46">
        <v>170.0</v>
      </c>
      <c r="C1165" s="48">
        <v>5.0</v>
      </c>
      <c r="D1165" s="46">
        <v>40.0</v>
      </c>
      <c r="E1165" s="54"/>
      <c r="F1165" s="46">
        <v>150.0</v>
      </c>
      <c r="G1165" s="48">
        <v>5.0</v>
      </c>
      <c r="H1165" s="46">
        <v>50.0</v>
      </c>
      <c r="I1165" s="24"/>
      <c r="J1165" s="46">
        <v>180.0</v>
      </c>
      <c r="K1165" s="48">
        <v>5.0</v>
      </c>
      <c r="L1165" s="46"/>
      <c r="M1165" s="26"/>
      <c r="N1165" s="30"/>
      <c r="O1165" s="30"/>
    </row>
    <row r="1166" ht="14.25" customHeight="1">
      <c r="A1166" s="28" t="s">
        <v>41</v>
      </c>
      <c r="B1166" s="13"/>
      <c r="C1166" s="24"/>
      <c r="D1166" s="32"/>
      <c r="E1166" s="24"/>
      <c r="F1166" s="31"/>
      <c r="G1166" s="24"/>
      <c r="H1166" s="28">
        <v>30.0</v>
      </c>
      <c r="I1166" s="24"/>
      <c r="J1166" s="31"/>
      <c r="K1166" s="24"/>
      <c r="L1166" s="32"/>
      <c r="M1166" s="24"/>
      <c r="N1166" s="30"/>
      <c r="O1166" s="30"/>
    </row>
    <row r="1167" ht="14.25" customHeight="1">
      <c r="A1167" s="28" t="s">
        <v>43</v>
      </c>
      <c r="B1167" s="13"/>
      <c r="C1167" s="34"/>
      <c r="D1167" s="32"/>
      <c r="E1167" s="26"/>
      <c r="F1167" s="13"/>
      <c r="G1167" s="34"/>
      <c r="H1167" s="28">
        <v>20.0</v>
      </c>
      <c r="I1167" s="24"/>
      <c r="J1167" s="13"/>
      <c r="K1167" s="24"/>
      <c r="L1167" s="32"/>
      <c r="M1167" s="26"/>
      <c r="N1167" s="30"/>
      <c r="O1167" s="30"/>
    </row>
    <row r="1168" ht="14.25" customHeight="1">
      <c r="A1168" s="28"/>
      <c r="B1168" s="35" t="s">
        <v>25</v>
      </c>
      <c r="C1168" s="55">
        <f>C1162*B1162 + B1163*C1163 + B1164*C1164 + B1165*C1165 + B1167*C1167</f>
        <v>3100</v>
      </c>
      <c r="D1168" s="35" t="s">
        <v>25</v>
      </c>
      <c r="E1168" s="36">
        <f>E1162*D1162 + D1163*E1163 + D1164*E1164 + D1165*E1165 + D1167*E1167</f>
        <v>0</v>
      </c>
      <c r="F1168" s="35" t="s">
        <v>25</v>
      </c>
      <c r="G1168" s="55">
        <f>G1162*F1162 + F1163*G1163 + F1164*G1164 + F1165*G1165 + F1167*G1167</f>
        <v>2700</v>
      </c>
      <c r="H1168" s="35" t="s">
        <v>25</v>
      </c>
      <c r="I1168" s="36">
        <f>I1162*H1162 + H1163*I1163 + H1164*I1164 + H1165*I1165 + H1167*I1167</f>
        <v>0</v>
      </c>
      <c r="J1168" s="35" t="s">
        <v>25</v>
      </c>
      <c r="K1168" s="36">
        <f>K1162*J1162 + J1163*K1163 + J1164*K1164 + J1165*K1165 + J1167*K1167</f>
        <v>3300</v>
      </c>
      <c r="L1168" s="35" t="s">
        <v>25</v>
      </c>
      <c r="M1168" s="36">
        <f>M1162*L1162 + L1163*M1163 + L1164*M1164 + L1165*M1165 + L1167*M1167</f>
        <v>0</v>
      </c>
      <c r="N1168" s="30"/>
      <c r="O1168" s="30"/>
    </row>
    <row r="1169" ht="14.25" customHeight="1">
      <c r="A1169" s="28" t="s">
        <v>116</v>
      </c>
      <c r="B1169" s="39" t="s">
        <v>26</v>
      </c>
      <c r="C1169" s="77">
        <f>(B1162*C1162 + B1163*C1163 + B1164*C1164 + B1165*C1165 + B1167*C1167)/SUM(C1162:C1167)</f>
        <v>155</v>
      </c>
      <c r="D1169" s="39" t="s">
        <v>26</v>
      </c>
      <c r="E1169" s="40" t="str">
        <f>(D1162*E1162 + D1163*E1163 + D1164*E1164 + D1165*E1165 + D1167*E1167)/SUM(E1162:E1167)</f>
        <v>#DIV/0!</v>
      </c>
      <c r="F1169" s="39" t="s">
        <v>26</v>
      </c>
      <c r="G1169" s="77">
        <f>(F1162*G1162 + F1163*G1163 + F1164*G1164 + F1165*G1165 + F1167*G1167)/SUM(G1162:G1167)</f>
        <v>135</v>
      </c>
      <c r="H1169" s="39" t="s">
        <v>26</v>
      </c>
      <c r="I1169" s="40" t="str">
        <f>(H1162*I1162 + H1163*I1163 + H1164*I1164 + H1165*I1165 + H1167*I1167)/SUM(I1162:I1167)</f>
        <v>#DIV/0!</v>
      </c>
      <c r="J1169" s="39" t="s">
        <v>26</v>
      </c>
      <c r="K1169" s="40">
        <f>(J1162*K1162 + J1163*K1163 + J1164*K1164 + J1165*K1165 + J1167*K1167)/SUM(K1162:K1167)</f>
        <v>165</v>
      </c>
      <c r="L1169" s="39" t="s">
        <v>26</v>
      </c>
      <c r="M1169" s="40" t="str">
        <f>(L1162*M1162 + L1163*M1163 + L1164*M1164 + L1165*M1165 + L1167*M1167)/SUM(M1162:M1167)</f>
        <v>#DIV/0!</v>
      </c>
      <c r="N1169" s="30"/>
      <c r="O1169" s="30"/>
    </row>
    <row r="1170" ht="14.25" customHeight="1">
      <c r="A1170" s="28" t="s">
        <v>117</v>
      </c>
      <c r="B1170" s="70" t="s">
        <v>302</v>
      </c>
      <c r="C1170" s="17"/>
      <c r="D1170" s="113" t="s">
        <v>105</v>
      </c>
      <c r="E1170" s="50" t="s">
        <v>49</v>
      </c>
      <c r="F1170" s="70"/>
      <c r="G1170" s="17"/>
      <c r="H1170" s="113"/>
      <c r="I1170" s="125"/>
      <c r="J1170" s="70" t="s">
        <v>250</v>
      </c>
      <c r="K1170" s="17"/>
      <c r="L1170" s="113" t="s">
        <v>105</v>
      </c>
      <c r="M1170" s="50" t="s">
        <v>49</v>
      </c>
      <c r="N1170" s="30"/>
      <c r="O1170" s="30"/>
    </row>
    <row r="1171" ht="14.25" customHeight="1">
      <c r="A1171" s="28" t="s">
        <v>120</v>
      </c>
      <c r="B1171" s="28"/>
      <c r="C1171" s="54">
        <v>5.0</v>
      </c>
      <c r="D1171" s="46">
        <v>40.0</v>
      </c>
      <c r="E1171" s="24"/>
      <c r="F1171" s="28"/>
      <c r="G1171" s="54"/>
      <c r="H1171" s="21"/>
      <c r="I1171" s="24"/>
      <c r="J1171" s="28" t="s">
        <v>303</v>
      </c>
      <c r="K1171" s="54"/>
      <c r="L1171" s="21"/>
      <c r="M1171" s="24"/>
      <c r="N1171" s="30"/>
      <c r="O1171" s="30"/>
    </row>
    <row r="1172" ht="14.25" customHeight="1">
      <c r="A1172" s="28"/>
      <c r="B1172" s="27"/>
      <c r="C1172" s="54">
        <v>5.0</v>
      </c>
      <c r="D1172" s="46">
        <v>60.0</v>
      </c>
      <c r="E1172" s="54"/>
      <c r="F1172" s="27"/>
      <c r="G1172" s="54"/>
      <c r="H1172" s="46"/>
      <c r="I1172" s="54"/>
      <c r="J1172" s="27"/>
      <c r="K1172" s="54"/>
      <c r="L1172" s="21"/>
      <c r="M1172" s="26"/>
      <c r="N1172" s="30"/>
      <c r="O1172" s="30"/>
    </row>
    <row r="1173" ht="14.25" customHeight="1">
      <c r="A1173" s="28"/>
      <c r="B1173" s="27"/>
      <c r="C1173" s="54">
        <v>5.0</v>
      </c>
      <c r="D1173" s="46">
        <v>30.0</v>
      </c>
      <c r="E1173" s="24"/>
      <c r="F1173" s="27"/>
      <c r="G1173" s="54"/>
      <c r="H1173" s="21"/>
      <c r="I1173" s="24"/>
      <c r="J1173" s="27"/>
      <c r="K1173" s="54"/>
      <c r="L1173" s="46"/>
      <c r="M1173" s="24"/>
      <c r="N1173" s="30"/>
      <c r="O1173" s="30"/>
    </row>
    <row r="1174" ht="14.25" customHeight="1">
      <c r="A1174" s="28"/>
      <c r="B1174" s="28"/>
      <c r="C1174" s="79">
        <v>5.0</v>
      </c>
      <c r="D1174" s="46">
        <v>30.0</v>
      </c>
      <c r="E1174" s="24"/>
      <c r="F1174" s="28"/>
      <c r="G1174" s="34"/>
      <c r="H1174" s="21"/>
      <c r="I1174" s="24"/>
      <c r="J1174" s="28"/>
      <c r="K1174" s="54"/>
      <c r="L1174" s="21"/>
      <c r="M1174" s="24"/>
      <c r="N1174" s="30"/>
      <c r="O1174" s="30"/>
    </row>
    <row r="1175" ht="14.25" customHeight="1">
      <c r="A1175" s="28"/>
      <c r="B1175" s="13"/>
      <c r="C1175" s="34"/>
      <c r="D1175" s="21"/>
      <c r="E1175" s="34"/>
      <c r="F1175" s="13"/>
      <c r="G1175" s="34"/>
      <c r="H1175" s="28"/>
      <c r="I1175" s="34"/>
      <c r="J1175" s="13"/>
      <c r="K1175" s="24"/>
      <c r="L1175" s="31"/>
      <c r="M1175" s="24"/>
      <c r="N1175" s="30"/>
      <c r="O1175" s="30"/>
    </row>
    <row r="1176" ht="14.25" customHeight="1">
      <c r="A1176" s="28"/>
      <c r="B1176" s="35" t="s">
        <v>25</v>
      </c>
      <c r="C1176" s="55">
        <f>C1171*B1171 + B1172*C1172 + B1173*C1173 + B1174*C1174 + B1175*C1175</f>
        <v>0</v>
      </c>
      <c r="D1176" s="35" t="s">
        <v>25</v>
      </c>
      <c r="E1176" s="55">
        <f>E1171*D1171 + D1172*E1172 + D1173*E1173 + D1174*E1174 + D1175*E1175</f>
        <v>0</v>
      </c>
      <c r="F1176" s="35" t="s">
        <v>25</v>
      </c>
      <c r="G1176" s="55">
        <f>G1171*F1171 + F1172*G1172 + F1173*G1173 + F1174*G1174 + F1175*G1175</f>
        <v>0</v>
      </c>
      <c r="H1176" s="35" t="s">
        <v>25</v>
      </c>
      <c r="I1176" s="56">
        <f>I1171*H1171 + H1172*I1172 + H1173*I1173 + H1174*I1174 + H1175*I1175</f>
        <v>0</v>
      </c>
      <c r="J1176" s="35" t="s">
        <v>25</v>
      </c>
      <c r="K1176" s="36" t="str">
        <f>K1171*J1171 + J1172*K1172 + J1173*K1173 + J1174*K1174 + J1175*K1175</f>
        <v>#VALUE!</v>
      </c>
      <c r="L1176" s="57" t="s">
        <v>25</v>
      </c>
      <c r="M1176" s="58">
        <f>M1171*L1171 + L1172*M1172 + L1173*M1173 + L1174*M1174 + L1175*M1175</f>
        <v>0</v>
      </c>
      <c r="N1176" s="30"/>
      <c r="O1176" s="30"/>
    </row>
    <row r="1177" ht="14.25" customHeight="1">
      <c r="A1177" s="28"/>
      <c r="B1177" s="39" t="s">
        <v>26</v>
      </c>
      <c r="C1177" s="40">
        <f>(B1171*C1171 + B1172*C1172 + B1173*C1173 + B1174*C1174 + B1175*C1175)/SUM(C1171:C1175)</f>
        <v>0</v>
      </c>
      <c r="D1177" s="59" t="s">
        <v>26</v>
      </c>
      <c r="E1177" s="40" t="str">
        <f>(D1171*E1171 + D1172*E1172 + D1173*E1173 + D1174*E1174 + D1175*E1175)/SUM(E1171:E1175)</f>
        <v>#DIV/0!</v>
      </c>
      <c r="F1177" s="31" t="s">
        <v>26</v>
      </c>
      <c r="G1177" s="75" t="str">
        <f>(F1171*G1171 + F1172*G1172 + F1173*G1173 + F1174*G1174 + F1175*G1175)/SUM(G1171:G1175)</f>
        <v>#DIV/0!</v>
      </c>
      <c r="H1177" s="59" t="s">
        <v>26</v>
      </c>
      <c r="I1177" s="40" t="str">
        <f>(H1171*I1171 + H1172*I1172 + H1173*I1173 + H1174*I1174 + H1175*I1175)/SUM(I1171:I1175)</f>
        <v>#DIV/0!</v>
      </c>
      <c r="J1177" s="39" t="s">
        <v>26</v>
      </c>
      <c r="K1177" s="40" t="str">
        <f>(J1171*K1171 + J1172*K1172 + J1173*K1173 + J1174*K1174 + J1175*K1175)/SUM(K1171:K1175)</f>
        <v>#VALUE!</v>
      </c>
      <c r="L1177" s="59" t="s">
        <v>26</v>
      </c>
      <c r="M1177" s="40" t="str">
        <f>(L1171*M1171 + L1172*M1172 + L1173*M1173 + L1174*M1174 + L1175*M1175)/SUM(M1175)</f>
        <v>#DIV/0!</v>
      </c>
      <c r="N1177" s="30"/>
      <c r="O1177" s="30"/>
    </row>
    <row r="1178" ht="14.25" customHeight="1">
      <c r="A1178" s="28"/>
      <c r="B1178" s="28" t="s">
        <v>91</v>
      </c>
      <c r="C1178" s="30" t="s">
        <v>49</v>
      </c>
      <c r="D1178" s="28" t="s">
        <v>50</v>
      </c>
      <c r="E1178" s="30" t="s">
        <v>49</v>
      </c>
      <c r="F1178" s="120" t="s">
        <v>91</v>
      </c>
      <c r="G1178" s="121" t="s">
        <v>49</v>
      </c>
      <c r="H1178" s="122"/>
      <c r="I1178" s="30"/>
      <c r="J1178" s="28" t="s">
        <v>91</v>
      </c>
      <c r="K1178" s="60" t="s">
        <v>49</v>
      </c>
      <c r="L1178" s="30"/>
      <c r="M1178" s="60" t="s">
        <v>49</v>
      </c>
      <c r="N1178" s="30"/>
      <c r="O1178" s="30"/>
    </row>
    <row r="1179" ht="14.25" customHeight="1">
      <c r="A1179" s="28"/>
      <c r="B1179" s="27">
        <v>30.0</v>
      </c>
      <c r="C1179" s="60"/>
      <c r="D1179" s="27"/>
      <c r="E1179" s="60"/>
      <c r="F1179" s="27">
        <v>30.0</v>
      </c>
      <c r="G1179" s="61"/>
      <c r="H1179" s="30"/>
      <c r="I1179" s="60"/>
      <c r="J1179" s="27"/>
      <c r="K1179" s="60"/>
      <c r="L1179" s="62"/>
      <c r="M1179" s="60"/>
      <c r="N1179" s="30"/>
      <c r="O1179" s="30"/>
    </row>
    <row r="1180" ht="14.25" customHeight="1">
      <c r="A1180" s="28"/>
      <c r="B1180" s="27">
        <v>60.0</v>
      </c>
      <c r="C1180" s="60"/>
      <c r="D1180" s="27"/>
      <c r="E1180" s="60"/>
      <c r="F1180" s="69">
        <v>60.0</v>
      </c>
      <c r="G1180" s="60"/>
      <c r="H1180" s="30"/>
      <c r="I1180" s="60"/>
      <c r="J1180" s="69"/>
      <c r="K1180" s="60"/>
      <c r="L1180" s="30"/>
      <c r="M1180" s="60"/>
      <c r="N1180" s="30"/>
      <c r="O1180" s="30"/>
    </row>
    <row r="1181" ht="14.25" customHeight="1">
      <c r="A1181" s="37"/>
      <c r="B1181" s="28">
        <v>30.0</v>
      </c>
      <c r="C1181" s="60"/>
      <c r="D1181" s="28"/>
      <c r="E1181" s="60"/>
      <c r="F1181" s="1">
        <v>40.0</v>
      </c>
      <c r="G1181" s="60"/>
      <c r="H1181" s="30"/>
      <c r="I1181" s="60"/>
      <c r="J1181" s="1"/>
      <c r="K1181" s="60"/>
      <c r="L1181" s="30"/>
      <c r="M1181" s="60"/>
      <c r="N1181" s="30"/>
      <c r="O1181" s="30"/>
    </row>
    <row r="1182" ht="14.25" customHeight="1">
      <c r="A1182" s="37"/>
      <c r="B1182" s="28">
        <v>40.0</v>
      </c>
      <c r="C1182" s="1"/>
      <c r="D1182" s="28"/>
      <c r="E1182" s="1"/>
      <c r="F1182" s="28"/>
      <c r="G1182" s="60"/>
      <c r="H1182" s="30"/>
      <c r="I1182" s="30"/>
      <c r="J1182" s="28"/>
      <c r="K1182" s="60"/>
      <c r="L1182" s="30"/>
      <c r="M1182" s="60"/>
      <c r="N1182" s="30"/>
      <c r="O1182" s="30"/>
    </row>
    <row r="1183" ht="14.25" customHeight="1">
      <c r="A1183" s="37"/>
      <c r="B1183" s="28"/>
      <c r="C1183" s="1"/>
      <c r="D1183" s="28"/>
      <c r="E1183" s="1"/>
      <c r="F1183" s="28"/>
      <c r="G1183" s="60"/>
      <c r="H1183" s="30"/>
      <c r="I1183" s="30"/>
      <c r="J1183" s="28"/>
      <c r="K1183" s="60"/>
      <c r="L1183" s="30"/>
      <c r="M1183" s="60"/>
      <c r="N1183" s="30"/>
      <c r="O1183" s="30"/>
    </row>
    <row r="1184" ht="14.25" customHeight="1">
      <c r="A1184" s="37"/>
      <c r="B1184" s="28"/>
      <c r="C1184" s="1"/>
      <c r="D1184" s="28"/>
      <c r="E1184" s="1"/>
      <c r="F1184" s="28"/>
      <c r="G1184" s="60"/>
      <c r="H1184" s="30"/>
      <c r="I1184" s="30"/>
      <c r="J1184" s="37"/>
      <c r="K1184" s="60"/>
      <c r="L1184" s="30"/>
      <c r="M1184" s="60"/>
      <c r="N1184" s="30"/>
      <c r="O1184" s="30"/>
    </row>
    <row r="1185" ht="14.25" customHeight="1">
      <c r="A1185" s="64"/>
      <c r="B1185" s="65"/>
      <c r="C1185" s="66"/>
      <c r="D1185" s="65"/>
      <c r="E1185" s="66"/>
      <c r="F1185" s="64"/>
      <c r="G1185" s="67"/>
      <c r="H1185" s="66"/>
      <c r="I1185" s="66"/>
      <c r="J1185" s="64"/>
      <c r="K1185" s="67"/>
      <c r="L1185" s="66"/>
      <c r="M1185" s="67"/>
      <c r="N1185" s="30"/>
      <c r="O1185" s="30"/>
    </row>
    <row r="1186" ht="14.25" customHeight="1">
      <c r="A1186" s="30"/>
      <c r="B1186" s="1"/>
      <c r="C1186" s="30"/>
      <c r="D1186" s="1"/>
      <c r="E1186" s="30"/>
      <c r="F1186" s="30"/>
      <c r="G1186" s="30"/>
      <c r="H1186" s="30"/>
      <c r="I1186" s="30"/>
      <c r="J1186" s="30"/>
      <c r="K1186" s="30"/>
      <c r="L1186" s="30"/>
      <c r="M1186" s="30"/>
      <c r="N1186" s="30"/>
      <c r="O1186" s="30"/>
    </row>
    <row r="1187" ht="14.25" customHeight="1">
      <c r="A1187" s="2" t="s">
        <v>2</v>
      </c>
      <c r="B1187" s="3" t="s">
        <v>3</v>
      </c>
      <c r="C1187" s="4">
        <f>M1150+2</f>
        <v>45579</v>
      </c>
      <c r="D1187" s="5" t="s">
        <v>4</v>
      </c>
      <c r="E1187" s="6">
        <f>C1187+1</f>
        <v>45580</v>
      </c>
      <c r="F1187" s="3" t="s">
        <v>5</v>
      </c>
      <c r="G1187" s="6">
        <f>E1187+1</f>
        <v>45581</v>
      </c>
      <c r="H1187" s="3" t="s">
        <v>6</v>
      </c>
      <c r="I1187" s="6">
        <f>G1187+1</f>
        <v>45582</v>
      </c>
      <c r="J1187" s="3" t="s">
        <v>7</v>
      </c>
      <c r="K1187" s="6">
        <f>I1187+1</f>
        <v>45583</v>
      </c>
      <c r="L1187" s="7" t="s">
        <v>8</v>
      </c>
      <c r="M1187" s="8">
        <f>K1187+1</f>
        <v>45584</v>
      </c>
      <c r="N1187" s="30"/>
      <c r="O1187" s="30"/>
    </row>
    <row r="1188" ht="14.25" customHeight="1">
      <c r="A1188" s="10">
        <f>A1151+1</f>
        <v>33</v>
      </c>
      <c r="B1188" s="11" t="s">
        <v>10</v>
      </c>
      <c r="C1188" s="12" t="s">
        <v>11</v>
      </c>
      <c r="D1188" s="11" t="s">
        <v>10</v>
      </c>
      <c r="E1188" s="12" t="s">
        <v>11</v>
      </c>
      <c r="F1188" s="11" t="s">
        <v>10</v>
      </c>
      <c r="G1188" s="12" t="s">
        <v>11</v>
      </c>
      <c r="H1188" s="11" t="s">
        <v>10</v>
      </c>
      <c r="I1188" s="12" t="s">
        <v>11</v>
      </c>
      <c r="J1188" s="11" t="s">
        <v>10</v>
      </c>
      <c r="K1188" s="12" t="s">
        <v>11</v>
      </c>
      <c r="L1188" s="11" t="s">
        <v>10</v>
      </c>
      <c r="M1188" s="12" t="s">
        <v>11</v>
      </c>
      <c r="N1188" s="30"/>
      <c r="O1188" s="30"/>
    </row>
    <row r="1189" ht="14.25" customHeight="1">
      <c r="A1189" s="13" t="s">
        <v>12</v>
      </c>
      <c r="B1189" s="20" t="s">
        <v>223</v>
      </c>
      <c r="C1189" s="17"/>
      <c r="D1189" s="45" t="s">
        <v>290</v>
      </c>
      <c r="E1189" s="17"/>
      <c r="F1189" s="20" t="s">
        <v>143</v>
      </c>
      <c r="G1189" s="17"/>
      <c r="H1189" s="70" t="s">
        <v>292</v>
      </c>
      <c r="I1189" s="17"/>
      <c r="J1189" s="20" t="s">
        <v>142</v>
      </c>
      <c r="K1189" s="17"/>
      <c r="L1189" s="20" t="s">
        <v>250</v>
      </c>
      <c r="M1189" s="17"/>
      <c r="N1189" s="30"/>
      <c r="O1189" s="30"/>
    </row>
    <row r="1190" ht="14.25" customHeight="1">
      <c r="A1190" s="13"/>
      <c r="B1190" s="46">
        <v>130.0</v>
      </c>
      <c r="C1190" s="48">
        <v>4.0</v>
      </c>
      <c r="D1190" s="1" t="s">
        <v>293</v>
      </c>
      <c r="E1190" s="54" t="s">
        <v>294</v>
      </c>
      <c r="F1190" s="46">
        <v>90.0</v>
      </c>
      <c r="G1190" s="48">
        <v>4.0</v>
      </c>
      <c r="H1190" s="27" t="s">
        <v>295</v>
      </c>
      <c r="I1190" s="26"/>
      <c r="J1190" s="46">
        <v>135.0</v>
      </c>
      <c r="K1190" s="48">
        <v>3.0</v>
      </c>
      <c r="L1190" s="27" t="s">
        <v>303</v>
      </c>
      <c r="M1190" s="24"/>
      <c r="N1190" s="30"/>
      <c r="O1190" s="30"/>
    </row>
    <row r="1191" ht="14.25" customHeight="1">
      <c r="A1191" s="28" t="s">
        <v>20</v>
      </c>
      <c r="B1191" s="46">
        <v>135.0</v>
      </c>
      <c r="C1191" s="48">
        <v>3.0</v>
      </c>
      <c r="D1191" s="1" t="s">
        <v>210</v>
      </c>
      <c r="E1191" s="54" t="s">
        <v>296</v>
      </c>
      <c r="F1191" s="46">
        <v>95.0</v>
      </c>
      <c r="G1191" s="48">
        <v>3.0</v>
      </c>
      <c r="H1191" s="28" t="s">
        <v>210</v>
      </c>
      <c r="I1191" s="54"/>
      <c r="J1191" s="46">
        <v>140.0</v>
      </c>
      <c r="K1191" s="48">
        <v>3.0</v>
      </c>
      <c r="L1191" s="28"/>
      <c r="M1191" s="24"/>
      <c r="N1191" s="30"/>
      <c r="O1191" s="30"/>
    </row>
    <row r="1192" ht="14.25" customHeight="1">
      <c r="A1192" s="29" t="s">
        <v>22</v>
      </c>
      <c r="B1192" s="46">
        <v>140.0</v>
      </c>
      <c r="C1192" s="48">
        <v>2.0</v>
      </c>
      <c r="D1192" s="1" t="s">
        <v>297</v>
      </c>
      <c r="E1192" s="26"/>
      <c r="F1192" s="46">
        <v>100.0</v>
      </c>
      <c r="G1192" s="48">
        <v>2.0</v>
      </c>
      <c r="H1192" s="28" t="s">
        <v>298</v>
      </c>
      <c r="I1192" s="26"/>
      <c r="J1192" s="46">
        <v>145.0</v>
      </c>
      <c r="K1192" s="48">
        <v>2.0</v>
      </c>
      <c r="L1192" s="23"/>
      <c r="M1192" s="24"/>
      <c r="N1192" s="30"/>
      <c r="O1192" s="30"/>
    </row>
    <row r="1193" ht="14.25" customHeight="1">
      <c r="A1193" s="28" t="s">
        <v>23</v>
      </c>
      <c r="B1193" s="46"/>
      <c r="C1193" s="48"/>
      <c r="D1193" s="1" t="s">
        <v>299</v>
      </c>
      <c r="E1193" s="26"/>
      <c r="F1193" s="46"/>
      <c r="G1193" s="48"/>
      <c r="H1193" s="1"/>
      <c r="I1193" s="24"/>
      <c r="J1193" s="46"/>
      <c r="K1193" s="48"/>
      <c r="L1193" s="32"/>
      <c r="M1193" s="26"/>
      <c r="N1193" s="30"/>
      <c r="O1193" s="30"/>
    </row>
    <row r="1194" ht="14.25" customHeight="1">
      <c r="A1194" s="13"/>
      <c r="B1194" s="13"/>
      <c r="C1194" s="24"/>
      <c r="D1194" s="33"/>
      <c r="E1194" s="26"/>
      <c r="F1194" s="13"/>
      <c r="G1194" s="24"/>
      <c r="H1194" s="13"/>
      <c r="I1194" s="34"/>
      <c r="J1194" s="13"/>
      <c r="K1194" s="24"/>
      <c r="L1194" s="13"/>
      <c r="M1194" s="24"/>
      <c r="N1194" s="30"/>
      <c r="O1194" s="30"/>
    </row>
    <row r="1195" ht="14.25" customHeight="1">
      <c r="A1195" s="28" t="s">
        <v>24</v>
      </c>
      <c r="B1195" s="35" t="s">
        <v>25</v>
      </c>
      <c r="C1195" s="58">
        <f>C1190*B1190 + B1191*C1191 + B1192*C1192 + B1193*C1193 + B1194*C1194</f>
        <v>1205</v>
      </c>
      <c r="D1195" s="57" t="s">
        <v>25</v>
      </c>
      <c r="E1195" s="55" t="str">
        <f>E1190*D1190 + D1191*#REF! + E1191*E1192 + D1193*E1193 + D1194*E1194</f>
        <v>#VALUE!</v>
      </c>
      <c r="F1195" s="35" t="s">
        <v>25</v>
      </c>
      <c r="G1195" s="58">
        <f>G1190*F1190 + F1191*G1191 + F1192*G1192 + F1193*G1193 + F1194*G1194</f>
        <v>845</v>
      </c>
      <c r="H1195" s="35" t="s">
        <v>25</v>
      </c>
      <c r="I1195" s="56" t="str">
        <f>I1190*H1190 + H1191*I1191 + H1192*I1192 + H1193*I1193 + H1194*I1194</f>
        <v>#VALUE!</v>
      </c>
      <c r="J1195" s="35" t="s">
        <v>25</v>
      </c>
      <c r="K1195" s="58">
        <f>K1190*J1190 + J1191*K1191 + J1192*K1192 + J1193*K1193 + J1194*K1194</f>
        <v>1115</v>
      </c>
      <c r="L1195" s="35" t="s">
        <v>25</v>
      </c>
      <c r="M1195" s="36" t="str">
        <f>M1190*L1190 + L1191*M1191 + L1192*M1192 + L1193*M1193 + L1194*M1194</f>
        <v>#VALUE!</v>
      </c>
      <c r="N1195" s="30"/>
      <c r="O1195" s="30"/>
    </row>
    <row r="1196" ht="14.25" customHeight="1">
      <c r="A1196" s="37"/>
      <c r="B1196" s="39" t="s">
        <v>26</v>
      </c>
      <c r="C1196" s="116">
        <f>(B1190*C1190 + B1191*C1191 + B1192*C1192 + B1193*C1193 + B1194*C1194)/SUM(C1190:C1194)</f>
        <v>133.8888889</v>
      </c>
      <c r="D1196" s="31" t="s">
        <v>26</v>
      </c>
      <c r="E1196" s="74" t="str">
        <f>(D1190*E1190 + D1191*#REF! + E1191*E1192 + D1193*E1193 + D1194*E1194)/SUM(E1190:E1194)</f>
        <v>#VALUE!</v>
      </c>
      <c r="F1196" s="39" t="s">
        <v>26</v>
      </c>
      <c r="G1196" s="116">
        <f>(F1190*G1190 + F1191*G1191 + F1192*G1192 + F1193*G1193 + F1194*G1194)/SUM(G1190:G1194)</f>
        <v>93.88888889</v>
      </c>
      <c r="H1196" s="13" t="s">
        <v>26</v>
      </c>
      <c r="I1196" s="74" t="str">
        <f>(H1190*I1190 + H1191*I1191 + H1192*I1192 + H1193*I1193 + H1194*I1194)/SUM(I1190:I1194)</f>
        <v>#VALUE!</v>
      </c>
      <c r="J1196" s="39" t="s">
        <v>26</v>
      </c>
      <c r="K1196" s="116">
        <f>(J1190*K1190 + J1191*K1191 + J1192*K1192 + J1193*K1193 + J1194*K1194)/SUM(K1190:K1194)</f>
        <v>139.375</v>
      </c>
      <c r="L1196" s="13" t="s">
        <v>26</v>
      </c>
      <c r="M1196" s="75" t="str">
        <f>(L1190*M1190 + L1191*M1191 + L1192*M1192 + L1193*M1193 + L1194*M1194)/SUM(M1190:M1194)</f>
        <v>#VALUE!</v>
      </c>
      <c r="N1196" s="30"/>
      <c r="O1196" s="30"/>
    </row>
    <row r="1197" ht="14.25" customHeight="1">
      <c r="A1197" s="28" t="s">
        <v>27</v>
      </c>
      <c r="B1197" s="11" t="s">
        <v>10</v>
      </c>
      <c r="C1197" s="12" t="s">
        <v>11</v>
      </c>
      <c r="D1197" s="11" t="s">
        <v>10</v>
      </c>
      <c r="E1197" s="12" t="s">
        <v>11</v>
      </c>
      <c r="F1197" s="11" t="s">
        <v>10</v>
      </c>
      <c r="G1197" s="12" t="s">
        <v>11</v>
      </c>
      <c r="H1197" s="11" t="s">
        <v>10</v>
      </c>
      <c r="I1197" s="12" t="s">
        <v>11</v>
      </c>
      <c r="J1197" s="11" t="s">
        <v>10</v>
      </c>
      <c r="K1197" s="12" t="s">
        <v>11</v>
      </c>
      <c r="L1197" s="11" t="s">
        <v>10</v>
      </c>
      <c r="M1197" s="12" t="s">
        <v>11</v>
      </c>
      <c r="N1197" s="30"/>
      <c r="O1197" s="30"/>
    </row>
    <row r="1198" ht="14.25" customHeight="1">
      <c r="A1198" s="41" t="s">
        <v>28</v>
      </c>
      <c r="B1198" s="20" t="s">
        <v>304</v>
      </c>
      <c r="C1198" s="17"/>
      <c r="D1198" s="45" t="s">
        <v>91</v>
      </c>
      <c r="E1198" s="76" t="s">
        <v>49</v>
      </c>
      <c r="F1198" s="20" t="s">
        <v>305</v>
      </c>
      <c r="G1198" s="17"/>
      <c r="H1198" s="70" t="s">
        <v>14</v>
      </c>
      <c r="I1198" s="44"/>
      <c r="J1198" s="20" t="s">
        <v>245</v>
      </c>
      <c r="K1198" s="17"/>
      <c r="L1198" s="42"/>
      <c r="M1198" s="44"/>
      <c r="N1198" s="30"/>
      <c r="O1198" s="30"/>
    </row>
    <row r="1199" ht="14.25" customHeight="1">
      <c r="A1199" s="28"/>
      <c r="B1199" s="46">
        <v>180.0</v>
      </c>
      <c r="C1199" s="48">
        <v>5.0</v>
      </c>
      <c r="D1199" s="46">
        <v>20.0</v>
      </c>
      <c r="E1199" s="26"/>
      <c r="F1199" s="46">
        <v>190.0</v>
      </c>
      <c r="G1199" s="48">
        <v>5.0</v>
      </c>
      <c r="H1199" s="46">
        <v>30.0</v>
      </c>
      <c r="I1199" s="24"/>
      <c r="J1199" s="46">
        <v>50.0</v>
      </c>
      <c r="K1199" s="48">
        <v>5.0</v>
      </c>
      <c r="L1199" s="46"/>
      <c r="M1199" s="26"/>
      <c r="N1199" s="30"/>
      <c r="O1199" s="30"/>
    </row>
    <row r="1200" ht="14.25" customHeight="1">
      <c r="A1200" s="28" t="s">
        <v>37</v>
      </c>
      <c r="B1200" s="46">
        <v>190.0</v>
      </c>
      <c r="C1200" s="48">
        <v>5.0</v>
      </c>
      <c r="D1200" s="46">
        <v>40.0</v>
      </c>
      <c r="E1200" s="26"/>
      <c r="F1200" s="46">
        <v>200.0</v>
      </c>
      <c r="G1200" s="48">
        <v>5.0</v>
      </c>
      <c r="H1200" s="46">
        <v>60.0</v>
      </c>
      <c r="I1200" s="54"/>
      <c r="J1200" s="46">
        <v>55.0</v>
      </c>
      <c r="K1200" s="48">
        <v>5.0</v>
      </c>
      <c r="L1200" s="46"/>
      <c r="M1200" s="26"/>
      <c r="N1200" s="30"/>
      <c r="O1200" s="30"/>
    </row>
    <row r="1201" ht="14.25" customHeight="1">
      <c r="A1201" s="28" t="s">
        <v>39</v>
      </c>
      <c r="B1201" s="46">
        <v>200.0</v>
      </c>
      <c r="C1201" s="48">
        <v>5.0</v>
      </c>
      <c r="D1201" s="46">
        <v>60.0</v>
      </c>
      <c r="E1201" s="54"/>
      <c r="F1201" s="46">
        <v>210.0</v>
      </c>
      <c r="G1201" s="48">
        <v>5.0</v>
      </c>
      <c r="H1201" s="46">
        <v>30.0</v>
      </c>
      <c r="I1201" s="24"/>
      <c r="J1201" s="46">
        <v>60.0</v>
      </c>
      <c r="K1201" s="48">
        <v>5.0</v>
      </c>
      <c r="L1201" s="46"/>
      <c r="M1201" s="26"/>
      <c r="N1201" s="30"/>
      <c r="O1201" s="30"/>
    </row>
    <row r="1202" ht="14.25" customHeight="1">
      <c r="A1202" s="28"/>
      <c r="B1202" s="46"/>
      <c r="C1202" s="48"/>
      <c r="D1202" s="46">
        <v>40.0</v>
      </c>
      <c r="E1202" s="54"/>
      <c r="F1202" s="46"/>
      <c r="G1202" s="48"/>
      <c r="H1202" s="46"/>
      <c r="I1202" s="24"/>
      <c r="J1202" s="46"/>
      <c r="K1202" s="48"/>
      <c r="L1202" s="46"/>
      <c r="M1202" s="26"/>
      <c r="N1202" s="30"/>
      <c r="O1202" s="30"/>
    </row>
    <row r="1203" ht="14.25" customHeight="1">
      <c r="A1203" s="28" t="s">
        <v>41</v>
      </c>
      <c r="B1203" s="13"/>
      <c r="C1203" s="24"/>
      <c r="D1203" s="32"/>
      <c r="E1203" s="24"/>
      <c r="F1203" s="31"/>
      <c r="G1203" s="24"/>
      <c r="H1203" s="28"/>
      <c r="I1203" s="24"/>
      <c r="J1203" s="31"/>
      <c r="K1203" s="24"/>
      <c r="L1203" s="32"/>
      <c r="M1203" s="24"/>
      <c r="N1203" s="30"/>
      <c r="O1203" s="30"/>
    </row>
    <row r="1204" ht="14.25" customHeight="1">
      <c r="A1204" s="28" t="s">
        <v>43</v>
      </c>
      <c r="B1204" s="13"/>
      <c r="C1204" s="34"/>
      <c r="D1204" s="32"/>
      <c r="E1204" s="26"/>
      <c r="F1204" s="13"/>
      <c r="G1204" s="34"/>
      <c r="H1204" s="28"/>
      <c r="I1204" s="24"/>
      <c r="J1204" s="13"/>
      <c r="K1204" s="24"/>
      <c r="L1204" s="32"/>
      <c r="M1204" s="26"/>
      <c r="N1204" s="30"/>
      <c r="O1204" s="30"/>
    </row>
    <row r="1205" ht="14.25" customHeight="1">
      <c r="A1205" s="28"/>
      <c r="B1205" s="35" t="s">
        <v>25</v>
      </c>
      <c r="C1205" s="55">
        <f>C1199*B1199 + B1200*C1200 + B1201*C1201 + B1202*C1202 + B1204*C1204</f>
        <v>2850</v>
      </c>
      <c r="D1205" s="35" t="s">
        <v>25</v>
      </c>
      <c r="E1205" s="36">
        <f>E1199*D1199 + D1200*E1200 + D1201*E1201 + D1202*E1202 + D1204*E1204</f>
        <v>0</v>
      </c>
      <c r="F1205" s="35" t="s">
        <v>25</v>
      </c>
      <c r="G1205" s="55">
        <f>G1199*F1199 + F1200*G1200 + F1201*G1201 + F1202*G1202 + F1204*G1204</f>
        <v>3000</v>
      </c>
      <c r="H1205" s="35" t="s">
        <v>25</v>
      </c>
      <c r="I1205" s="36">
        <f>I1199*H1199 + H1200*I1200 + H1201*I1201 + H1202*I1202 + H1204*I1204</f>
        <v>0</v>
      </c>
      <c r="J1205" s="35" t="s">
        <v>25</v>
      </c>
      <c r="K1205" s="36">
        <f>K1199*J1199 + J1200*K1200 + J1201*K1201 + J1202*K1202 + J1204*K1204</f>
        <v>825</v>
      </c>
      <c r="L1205" s="35" t="s">
        <v>25</v>
      </c>
      <c r="M1205" s="36">
        <f>M1199*L1199 + L1200*M1200 + L1201*M1201 + L1202*M1202 + L1204*M1204</f>
        <v>0</v>
      </c>
      <c r="N1205" s="30"/>
      <c r="O1205" s="30"/>
    </row>
    <row r="1206" ht="14.25" customHeight="1">
      <c r="A1206" s="28" t="s">
        <v>116</v>
      </c>
      <c r="B1206" s="39" t="s">
        <v>26</v>
      </c>
      <c r="C1206" s="77">
        <f>(B1199*C1199 + B1200*C1200 + B1201*C1201 + B1202*C1202 + B1204*C1204)/SUM(C1199:C1204)</f>
        <v>190</v>
      </c>
      <c r="D1206" s="39" t="s">
        <v>26</v>
      </c>
      <c r="E1206" s="40" t="str">
        <f>(D1199*E1199 + D1200*E1200 + D1201*E1201 + D1202*E1202 + D1204*E1204)/SUM(E1199:E1204)</f>
        <v>#DIV/0!</v>
      </c>
      <c r="F1206" s="39" t="s">
        <v>26</v>
      </c>
      <c r="G1206" s="77">
        <f>(F1199*G1199 + F1200*G1200 + F1201*G1201 + F1202*G1202 + F1204*G1204)/SUM(G1199:G1204)</f>
        <v>200</v>
      </c>
      <c r="H1206" s="39" t="s">
        <v>26</v>
      </c>
      <c r="I1206" s="40" t="str">
        <f>(H1199*I1199 + H1200*I1200 + H1201*I1201 + H1202*I1202 + H1204*I1204)/SUM(I1199:I1204)</f>
        <v>#DIV/0!</v>
      </c>
      <c r="J1206" s="39" t="s">
        <v>26</v>
      </c>
      <c r="K1206" s="40">
        <f>(J1199*K1199 + J1200*K1200 + J1201*K1201 + J1202*K1202 + J1204*K1204)/SUM(K1199:K1204)</f>
        <v>55</v>
      </c>
      <c r="L1206" s="39" t="s">
        <v>26</v>
      </c>
      <c r="M1206" s="40" t="str">
        <f>(L1199*M1199 + L1200*M1200 + L1201*M1201 + L1202*M1202 + L1204*M1204)/SUM(M1199:M1204)</f>
        <v>#DIV/0!</v>
      </c>
      <c r="N1206" s="30"/>
      <c r="O1206" s="30"/>
    </row>
    <row r="1207" ht="14.25" customHeight="1">
      <c r="A1207" s="28" t="s">
        <v>117</v>
      </c>
      <c r="B1207" s="70" t="s">
        <v>302</v>
      </c>
      <c r="C1207" s="17"/>
      <c r="D1207" s="113" t="s">
        <v>105</v>
      </c>
      <c r="E1207" s="50" t="s">
        <v>49</v>
      </c>
      <c r="F1207" s="70" t="s">
        <v>306</v>
      </c>
      <c r="G1207" s="17"/>
      <c r="H1207" s="49" t="s">
        <v>306</v>
      </c>
      <c r="I1207" s="125"/>
      <c r="J1207" s="70" t="s">
        <v>306</v>
      </c>
      <c r="K1207" s="17"/>
      <c r="L1207" s="49" t="s">
        <v>306</v>
      </c>
      <c r="M1207" s="50" t="s">
        <v>49</v>
      </c>
      <c r="N1207" s="30"/>
      <c r="O1207" s="30"/>
    </row>
    <row r="1208" ht="14.25" customHeight="1">
      <c r="A1208" s="28" t="s">
        <v>120</v>
      </c>
      <c r="B1208" s="28"/>
      <c r="C1208" s="54">
        <v>5.0</v>
      </c>
      <c r="D1208" s="46"/>
      <c r="E1208" s="24"/>
      <c r="F1208" s="28"/>
      <c r="G1208" s="54"/>
      <c r="H1208" s="21"/>
      <c r="I1208" s="24"/>
      <c r="J1208" s="28"/>
      <c r="K1208" s="54"/>
      <c r="L1208" s="21"/>
      <c r="M1208" s="24"/>
      <c r="N1208" s="30"/>
      <c r="O1208" s="30"/>
    </row>
    <row r="1209" ht="14.25" customHeight="1">
      <c r="A1209" s="28"/>
      <c r="B1209" s="27"/>
      <c r="C1209" s="54">
        <v>5.0</v>
      </c>
      <c r="D1209" s="46"/>
      <c r="E1209" s="54"/>
      <c r="F1209" s="27"/>
      <c r="G1209" s="54"/>
      <c r="H1209" s="46"/>
      <c r="I1209" s="54"/>
      <c r="J1209" s="27"/>
      <c r="K1209" s="54"/>
      <c r="L1209" s="21"/>
      <c r="M1209" s="26"/>
      <c r="N1209" s="30"/>
      <c r="O1209" s="30"/>
    </row>
    <row r="1210" ht="14.25" customHeight="1">
      <c r="A1210" s="28"/>
      <c r="B1210" s="27"/>
      <c r="C1210" s="54">
        <v>5.0</v>
      </c>
      <c r="D1210" s="46"/>
      <c r="E1210" s="24"/>
      <c r="F1210" s="27"/>
      <c r="G1210" s="54"/>
      <c r="H1210" s="21"/>
      <c r="I1210" s="24"/>
      <c r="J1210" s="27"/>
      <c r="K1210" s="54"/>
      <c r="L1210" s="46"/>
      <c r="M1210" s="24"/>
      <c r="N1210" s="30"/>
      <c r="O1210" s="30"/>
    </row>
    <row r="1211" ht="14.25" customHeight="1">
      <c r="A1211" s="28"/>
      <c r="B1211" s="28"/>
      <c r="C1211" s="79">
        <v>5.0</v>
      </c>
      <c r="D1211" s="46"/>
      <c r="E1211" s="24"/>
      <c r="F1211" s="28"/>
      <c r="G1211" s="34"/>
      <c r="H1211" s="21"/>
      <c r="I1211" s="24"/>
      <c r="J1211" s="28"/>
      <c r="K1211" s="54"/>
      <c r="L1211" s="21"/>
      <c r="M1211" s="24"/>
      <c r="N1211" s="30"/>
      <c r="O1211" s="30"/>
    </row>
    <row r="1212" ht="14.25" customHeight="1">
      <c r="A1212" s="28"/>
      <c r="B1212" s="13"/>
      <c r="C1212" s="34"/>
      <c r="D1212" s="21"/>
      <c r="E1212" s="34"/>
      <c r="F1212" s="13"/>
      <c r="G1212" s="34"/>
      <c r="H1212" s="28"/>
      <c r="I1212" s="34"/>
      <c r="J1212" s="13"/>
      <c r="K1212" s="24"/>
      <c r="L1212" s="31"/>
      <c r="M1212" s="24"/>
      <c r="N1212" s="30"/>
      <c r="O1212" s="30"/>
    </row>
    <row r="1213" ht="14.25" customHeight="1">
      <c r="A1213" s="28"/>
      <c r="B1213" s="35" t="s">
        <v>25</v>
      </c>
      <c r="C1213" s="55">
        <f>C1208*B1208 + B1209*C1209 + B1210*C1210 + B1211*C1211 + B1212*C1212</f>
        <v>0</v>
      </c>
      <c r="D1213" s="35" t="s">
        <v>25</v>
      </c>
      <c r="E1213" s="55">
        <f>E1208*D1208 + D1209*E1209 + D1210*E1210 + D1211*E1211 + D1212*E1212</f>
        <v>0</v>
      </c>
      <c r="F1213" s="35" t="s">
        <v>25</v>
      </c>
      <c r="G1213" s="55">
        <f>G1208*F1208 + F1209*G1209 + F1210*G1210 + F1211*G1211 + F1212*G1212</f>
        <v>0</v>
      </c>
      <c r="H1213" s="35" t="s">
        <v>25</v>
      </c>
      <c r="I1213" s="56">
        <f>I1208*H1208 + H1209*I1209 + H1210*I1210 + H1211*I1211 + H1212*I1212</f>
        <v>0</v>
      </c>
      <c r="J1213" s="35" t="s">
        <v>25</v>
      </c>
      <c r="K1213" s="36">
        <f>K1208*J1208 + J1209*K1209 + J1210*K1210 + J1211*K1211 + J1212*K1212</f>
        <v>0</v>
      </c>
      <c r="L1213" s="57" t="s">
        <v>25</v>
      </c>
      <c r="M1213" s="58">
        <f>M1208*L1208 + L1209*M1209 + L1210*M1210 + L1211*M1211 + L1212*M1212</f>
        <v>0</v>
      </c>
      <c r="N1213" s="30"/>
      <c r="O1213" s="30"/>
    </row>
    <row r="1214" ht="14.25" customHeight="1">
      <c r="A1214" s="28"/>
      <c r="B1214" s="39" t="s">
        <v>26</v>
      </c>
      <c r="C1214" s="40">
        <f>(B1208*C1208 + B1209*C1209 + B1210*C1210 + B1211*C1211 + B1212*C1212)/SUM(C1208:C1212)</f>
        <v>0</v>
      </c>
      <c r="D1214" s="59" t="s">
        <v>26</v>
      </c>
      <c r="E1214" s="40" t="str">
        <f>(D1208*E1208 + D1209*E1209 + D1210*E1210 + D1211*E1211 + D1212*E1212)/SUM(E1208:E1212)</f>
        <v>#DIV/0!</v>
      </c>
      <c r="F1214" s="31" t="s">
        <v>26</v>
      </c>
      <c r="G1214" s="75" t="str">
        <f>(F1208*G1208 + F1209*G1209 + F1210*G1210 + F1211*G1211 + F1212*G1212)/SUM(G1208:G1212)</f>
        <v>#DIV/0!</v>
      </c>
      <c r="H1214" s="59" t="s">
        <v>26</v>
      </c>
      <c r="I1214" s="40" t="str">
        <f>(H1208*I1208 + H1209*I1209 + H1210*I1210 + H1211*I1211 + H1212*I1212)/SUM(I1208:I1212)</f>
        <v>#DIV/0!</v>
      </c>
      <c r="J1214" s="39" t="s">
        <v>26</v>
      </c>
      <c r="K1214" s="40" t="str">
        <f>(J1208*K1208 + J1209*K1209 + J1210*K1210 + J1211*K1211 + J1212*K1212)/SUM(K1208:K1212)</f>
        <v>#DIV/0!</v>
      </c>
      <c r="L1214" s="59" t="s">
        <v>26</v>
      </c>
      <c r="M1214" s="40" t="str">
        <f>(L1208*M1208 + L1209*M1209 + L1210*M1210 + L1211*M1211 + L1212*M1212)/SUM(M1212)</f>
        <v>#DIV/0!</v>
      </c>
      <c r="N1214" s="30"/>
      <c r="O1214" s="30"/>
    </row>
    <row r="1215" ht="14.25" customHeight="1">
      <c r="A1215" s="28"/>
      <c r="B1215" s="28" t="s">
        <v>91</v>
      </c>
      <c r="C1215" s="30" t="s">
        <v>49</v>
      </c>
      <c r="D1215" s="28" t="s">
        <v>50</v>
      </c>
      <c r="E1215" s="30" t="s">
        <v>49</v>
      </c>
      <c r="F1215" s="120" t="s">
        <v>91</v>
      </c>
      <c r="G1215" s="121" t="s">
        <v>49</v>
      </c>
      <c r="H1215" s="122"/>
      <c r="I1215" s="30"/>
      <c r="J1215" s="28" t="s">
        <v>91</v>
      </c>
      <c r="K1215" s="60" t="s">
        <v>49</v>
      </c>
      <c r="L1215" s="30"/>
      <c r="M1215" s="60" t="s">
        <v>49</v>
      </c>
      <c r="N1215" s="30"/>
      <c r="O1215" s="30"/>
    </row>
    <row r="1216" ht="14.25" customHeight="1">
      <c r="A1216" s="28"/>
      <c r="B1216" s="27">
        <v>30.0</v>
      </c>
      <c r="C1216" s="60"/>
      <c r="D1216" s="27"/>
      <c r="E1216" s="60"/>
      <c r="F1216" s="27">
        <v>30.0</v>
      </c>
      <c r="G1216" s="61"/>
      <c r="H1216" s="30"/>
      <c r="I1216" s="60"/>
      <c r="J1216" s="27"/>
      <c r="K1216" s="60"/>
      <c r="L1216" s="62"/>
      <c r="M1216" s="60"/>
      <c r="N1216" s="30"/>
      <c r="O1216" s="30"/>
    </row>
    <row r="1217" ht="14.25" customHeight="1">
      <c r="A1217" s="28"/>
      <c r="B1217" s="27">
        <v>60.0</v>
      </c>
      <c r="C1217" s="60"/>
      <c r="D1217" s="27"/>
      <c r="E1217" s="60"/>
      <c r="F1217" s="69">
        <v>60.0</v>
      </c>
      <c r="G1217" s="60"/>
      <c r="H1217" s="30"/>
      <c r="I1217" s="60"/>
      <c r="J1217" s="69"/>
      <c r="K1217" s="60"/>
      <c r="L1217" s="30"/>
      <c r="M1217" s="60"/>
      <c r="N1217" s="30"/>
      <c r="O1217" s="30"/>
    </row>
    <row r="1218" ht="14.25" customHeight="1">
      <c r="A1218" s="37"/>
      <c r="B1218" s="28">
        <v>30.0</v>
      </c>
      <c r="C1218" s="60"/>
      <c r="D1218" s="28"/>
      <c r="E1218" s="60"/>
      <c r="F1218" s="1">
        <v>40.0</v>
      </c>
      <c r="G1218" s="60"/>
      <c r="H1218" s="30"/>
      <c r="I1218" s="60"/>
      <c r="J1218" s="1"/>
      <c r="K1218" s="60"/>
      <c r="L1218" s="30"/>
      <c r="M1218" s="60"/>
      <c r="N1218" s="30"/>
      <c r="O1218" s="30"/>
    </row>
    <row r="1219" ht="14.25" customHeight="1">
      <c r="A1219" s="37"/>
      <c r="B1219" s="28">
        <v>40.0</v>
      </c>
      <c r="C1219" s="1"/>
      <c r="D1219" s="28"/>
      <c r="E1219" s="1"/>
      <c r="F1219" s="28"/>
      <c r="G1219" s="60"/>
      <c r="H1219" s="30"/>
      <c r="I1219" s="30"/>
      <c r="J1219" s="28"/>
      <c r="K1219" s="60"/>
      <c r="L1219" s="30"/>
      <c r="M1219" s="60"/>
      <c r="N1219" s="30"/>
      <c r="O1219" s="30"/>
    </row>
    <row r="1220" ht="14.25" customHeight="1">
      <c r="A1220" s="37"/>
      <c r="B1220" s="28"/>
      <c r="C1220" s="1"/>
      <c r="D1220" s="28"/>
      <c r="E1220" s="1"/>
      <c r="F1220" s="28"/>
      <c r="G1220" s="60"/>
      <c r="H1220" s="30"/>
      <c r="I1220" s="30"/>
      <c r="J1220" s="28"/>
      <c r="K1220" s="60"/>
      <c r="L1220" s="30"/>
      <c r="M1220" s="60"/>
      <c r="N1220" s="30"/>
      <c r="O1220" s="30"/>
    </row>
    <row r="1221" ht="14.25" customHeight="1">
      <c r="A1221" s="37"/>
      <c r="B1221" s="28"/>
      <c r="C1221" s="1"/>
      <c r="D1221" s="28"/>
      <c r="E1221" s="1"/>
      <c r="F1221" s="28"/>
      <c r="G1221" s="60"/>
      <c r="H1221" s="30"/>
      <c r="I1221" s="30"/>
      <c r="J1221" s="37"/>
      <c r="K1221" s="60"/>
      <c r="L1221" s="30"/>
      <c r="M1221" s="60"/>
      <c r="N1221" s="30"/>
      <c r="O1221" s="30"/>
    </row>
    <row r="1222" ht="14.25" customHeight="1">
      <c r="A1222" s="64"/>
      <c r="B1222" s="65"/>
      <c r="C1222" s="66"/>
      <c r="D1222" s="65"/>
      <c r="E1222" s="66"/>
      <c r="F1222" s="64"/>
      <c r="G1222" s="67"/>
      <c r="H1222" s="66"/>
      <c r="I1222" s="66"/>
      <c r="J1222" s="64"/>
      <c r="K1222" s="67"/>
      <c r="L1222" s="66"/>
      <c r="M1222" s="67"/>
      <c r="N1222" s="30"/>
      <c r="O1222" s="30"/>
    </row>
    <row r="1223" ht="14.25" customHeight="1">
      <c r="A1223" s="30"/>
      <c r="B1223" s="1"/>
      <c r="C1223" s="30"/>
      <c r="D1223" s="1"/>
      <c r="E1223" s="30"/>
      <c r="F1223" s="30"/>
      <c r="G1223" s="30"/>
      <c r="H1223" s="30"/>
      <c r="I1223" s="30"/>
      <c r="J1223" s="30"/>
      <c r="K1223" s="30"/>
      <c r="L1223" s="30"/>
      <c r="M1223" s="30"/>
      <c r="N1223" s="30"/>
      <c r="O1223" s="30"/>
    </row>
    <row r="1224" ht="14.25" customHeight="1">
      <c r="A1224" s="2" t="s">
        <v>2</v>
      </c>
      <c r="B1224" s="3" t="s">
        <v>3</v>
      </c>
      <c r="C1224" s="4">
        <f>M1187+2</f>
        <v>45586</v>
      </c>
      <c r="D1224" s="5" t="s">
        <v>4</v>
      </c>
      <c r="E1224" s="6">
        <f>C1224+1</f>
        <v>45587</v>
      </c>
      <c r="F1224" s="3" t="s">
        <v>5</v>
      </c>
      <c r="G1224" s="6">
        <f>E1224+1</f>
        <v>45588</v>
      </c>
      <c r="H1224" s="3" t="s">
        <v>6</v>
      </c>
      <c r="I1224" s="6">
        <f>G1224+1</f>
        <v>45589</v>
      </c>
      <c r="J1224" s="3" t="s">
        <v>7</v>
      </c>
      <c r="K1224" s="6">
        <f>I1224+1</f>
        <v>45590</v>
      </c>
      <c r="L1224" s="7" t="s">
        <v>8</v>
      </c>
      <c r="M1224" s="8">
        <f>K1224+1</f>
        <v>45591</v>
      </c>
      <c r="N1224" s="30"/>
      <c r="O1224" s="30"/>
    </row>
    <row r="1225" ht="14.25" customHeight="1">
      <c r="A1225" s="10">
        <f>A1188+1</f>
        <v>34</v>
      </c>
      <c r="B1225" s="11" t="s">
        <v>10</v>
      </c>
      <c r="C1225" s="12" t="s">
        <v>11</v>
      </c>
      <c r="D1225" s="11" t="s">
        <v>10</v>
      </c>
      <c r="E1225" s="12" t="s">
        <v>11</v>
      </c>
      <c r="F1225" s="11" t="s">
        <v>10</v>
      </c>
      <c r="G1225" s="12" t="s">
        <v>11</v>
      </c>
      <c r="H1225" s="11" t="s">
        <v>10</v>
      </c>
      <c r="I1225" s="12" t="s">
        <v>11</v>
      </c>
      <c r="J1225" s="11" t="s">
        <v>10</v>
      </c>
      <c r="K1225" s="12" t="s">
        <v>11</v>
      </c>
      <c r="L1225" s="11" t="s">
        <v>10</v>
      </c>
      <c r="M1225" s="12" t="s">
        <v>11</v>
      </c>
      <c r="N1225" s="30"/>
      <c r="O1225" s="30"/>
    </row>
    <row r="1226" ht="14.25" customHeight="1">
      <c r="A1226" s="13" t="s">
        <v>12</v>
      </c>
      <c r="B1226" s="20" t="s">
        <v>223</v>
      </c>
      <c r="C1226" s="17"/>
      <c r="D1226" s="45" t="s">
        <v>290</v>
      </c>
      <c r="E1226" s="17"/>
      <c r="F1226" s="20" t="s">
        <v>143</v>
      </c>
      <c r="G1226" s="17"/>
      <c r="H1226" s="70" t="s">
        <v>292</v>
      </c>
      <c r="I1226" s="17"/>
      <c r="J1226" s="20" t="s">
        <v>142</v>
      </c>
      <c r="K1226" s="17"/>
      <c r="L1226" s="20" t="s">
        <v>250</v>
      </c>
      <c r="M1226" s="17"/>
      <c r="N1226" s="30"/>
      <c r="O1226" s="30"/>
    </row>
    <row r="1227" ht="14.25" customHeight="1">
      <c r="A1227" s="13"/>
      <c r="B1227" s="46">
        <v>135.0</v>
      </c>
      <c r="C1227" s="48">
        <v>4.0</v>
      </c>
      <c r="D1227" s="1" t="s">
        <v>293</v>
      </c>
      <c r="E1227" s="54" t="s">
        <v>294</v>
      </c>
      <c r="F1227" s="46">
        <v>90.0</v>
      </c>
      <c r="G1227" s="48">
        <v>4.0</v>
      </c>
      <c r="H1227" s="27" t="s">
        <v>295</v>
      </c>
      <c r="I1227" s="26"/>
      <c r="J1227" s="46">
        <v>135.0</v>
      </c>
      <c r="K1227" s="48">
        <v>3.0</v>
      </c>
      <c r="L1227" s="27" t="s">
        <v>303</v>
      </c>
      <c r="M1227" s="24"/>
      <c r="N1227" s="30"/>
      <c r="O1227" s="30"/>
    </row>
    <row r="1228" ht="14.25" customHeight="1">
      <c r="A1228" s="28" t="s">
        <v>20</v>
      </c>
      <c r="B1228" s="46">
        <v>140.0</v>
      </c>
      <c r="C1228" s="48">
        <v>3.0</v>
      </c>
      <c r="D1228" s="1" t="s">
        <v>210</v>
      </c>
      <c r="E1228" s="54" t="s">
        <v>296</v>
      </c>
      <c r="F1228" s="46">
        <v>95.0</v>
      </c>
      <c r="G1228" s="48">
        <v>3.0</v>
      </c>
      <c r="H1228" s="28" t="s">
        <v>210</v>
      </c>
      <c r="I1228" s="54"/>
      <c r="J1228" s="46">
        <v>140.0</v>
      </c>
      <c r="K1228" s="48">
        <v>3.0</v>
      </c>
      <c r="L1228" s="28"/>
      <c r="M1228" s="24"/>
      <c r="N1228" s="30"/>
      <c r="O1228" s="30"/>
    </row>
    <row r="1229" ht="14.25" customHeight="1">
      <c r="A1229" s="29" t="s">
        <v>22</v>
      </c>
      <c r="B1229" s="46">
        <v>145.0</v>
      </c>
      <c r="C1229" s="48">
        <v>2.0</v>
      </c>
      <c r="D1229" s="1" t="s">
        <v>297</v>
      </c>
      <c r="E1229" s="26"/>
      <c r="F1229" s="46">
        <v>100.0</v>
      </c>
      <c r="G1229" s="48">
        <v>2.0</v>
      </c>
      <c r="H1229" s="28" t="s">
        <v>298</v>
      </c>
      <c r="I1229" s="26"/>
      <c r="J1229" s="46">
        <v>145.0</v>
      </c>
      <c r="K1229" s="48">
        <v>2.0</v>
      </c>
      <c r="L1229" s="23"/>
      <c r="M1229" s="24"/>
      <c r="N1229" s="30"/>
      <c r="O1229" s="30"/>
    </row>
    <row r="1230" ht="14.25" customHeight="1">
      <c r="A1230" s="28" t="s">
        <v>23</v>
      </c>
      <c r="B1230" s="46"/>
      <c r="C1230" s="48"/>
      <c r="D1230" s="1" t="s">
        <v>299</v>
      </c>
      <c r="E1230" s="26"/>
      <c r="F1230" s="46"/>
      <c r="G1230" s="48"/>
      <c r="H1230" s="1"/>
      <c r="I1230" s="24"/>
      <c r="J1230" s="46"/>
      <c r="K1230" s="48"/>
      <c r="L1230" s="32"/>
      <c r="M1230" s="26"/>
      <c r="N1230" s="30"/>
      <c r="O1230" s="30"/>
    </row>
    <row r="1231" ht="14.25" customHeight="1">
      <c r="A1231" s="13"/>
      <c r="B1231" s="13"/>
      <c r="C1231" s="24"/>
      <c r="D1231" s="33"/>
      <c r="E1231" s="26"/>
      <c r="F1231" s="13"/>
      <c r="G1231" s="24"/>
      <c r="H1231" s="13"/>
      <c r="I1231" s="34"/>
      <c r="J1231" s="13"/>
      <c r="K1231" s="24"/>
      <c r="L1231" s="13"/>
      <c r="M1231" s="24"/>
      <c r="N1231" s="30"/>
      <c r="O1231" s="30"/>
    </row>
    <row r="1232" ht="14.25" customHeight="1">
      <c r="A1232" s="28" t="s">
        <v>24</v>
      </c>
      <c r="B1232" s="35" t="s">
        <v>25</v>
      </c>
      <c r="C1232" s="58">
        <f>C1227*B1227 + B1228*C1228 + B1229*C1229 + B1230*C1230 + B1231*C1231</f>
        <v>1250</v>
      </c>
      <c r="D1232" s="57" t="s">
        <v>25</v>
      </c>
      <c r="E1232" s="55" t="str">
        <f>E1227*D1227 + D1228*#REF! + E1228*E1229 + D1230*E1230 + D1231*E1231</f>
        <v>#VALUE!</v>
      </c>
      <c r="F1232" s="35" t="s">
        <v>25</v>
      </c>
      <c r="G1232" s="58">
        <f>G1227*F1227 + F1228*G1228 + F1229*G1229 + F1230*G1230 + F1231*G1231</f>
        <v>845</v>
      </c>
      <c r="H1232" s="35" t="s">
        <v>25</v>
      </c>
      <c r="I1232" s="56" t="str">
        <f>I1227*H1227 + H1228*I1228 + H1229*I1229 + H1230*I1230 + H1231*I1231</f>
        <v>#VALUE!</v>
      </c>
      <c r="J1232" s="35" t="s">
        <v>25</v>
      </c>
      <c r="K1232" s="58">
        <f>K1227*J1227 + J1228*K1228 + J1229*K1229 + J1230*K1230 + J1231*K1231</f>
        <v>1115</v>
      </c>
      <c r="L1232" s="35" t="s">
        <v>25</v>
      </c>
      <c r="M1232" s="36" t="str">
        <f>M1227*L1227 + L1228*M1228 + L1229*M1229 + L1230*M1230 + L1231*M1231</f>
        <v>#VALUE!</v>
      </c>
      <c r="N1232" s="30"/>
      <c r="O1232" s="30"/>
    </row>
    <row r="1233" ht="14.25" customHeight="1">
      <c r="A1233" s="37"/>
      <c r="B1233" s="39" t="s">
        <v>26</v>
      </c>
      <c r="C1233" s="116">
        <f>(B1227*C1227 + B1228*C1228 + B1229*C1229 + B1230*C1230 + B1231*C1231)/SUM(C1227:C1231)</f>
        <v>138.8888889</v>
      </c>
      <c r="D1233" s="31" t="s">
        <v>26</v>
      </c>
      <c r="E1233" s="74" t="str">
        <f>(D1227*E1227 + D1228*#REF! + E1228*E1229 + D1230*E1230 + D1231*E1231)/SUM(E1227:E1231)</f>
        <v>#VALUE!</v>
      </c>
      <c r="F1233" s="39" t="s">
        <v>26</v>
      </c>
      <c r="G1233" s="116">
        <f>(F1227*G1227 + F1228*G1228 + F1229*G1229 + F1230*G1230 + F1231*G1231)/SUM(G1227:G1231)</f>
        <v>93.88888889</v>
      </c>
      <c r="H1233" s="13" t="s">
        <v>26</v>
      </c>
      <c r="I1233" s="74" t="str">
        <f>(H1227*I1227 + H1228*I1228 + H1229*I1229 + H1230*I1230 + H1231*I1231)/SUM(I1227:I1231)</f>
        <v>#VALUE!</v>
      </c>
      <c r="J1233" s="39" t="s">
        <v>26</v>
      </c>
      <c r="K1233" s="116">
        <f>(J1227*K1227 + J1228*K1228 + J1229*K1229 + J1230*K1230 + J1231*K1231)/SUM(K1227:K1231)</f>
        <v>139.375</v>
      </c>
      <c r="L1233" s="13" t="s">
        <v>26</v>
      </c>
      <c r="M1233" s="75" t="str">
        <f>(L1227*M1227 + L1228*M1228 + L1229*M1229 + L1230*M1230 + L1231*M1231)/SUM(M1227:M1231)</f>
        <v>#VALUE!</v>
      </c>
      <c r="N1233" s="30"/>
      <c r="O1233" s="30"/>
    </row>
    <row r="1234" ht="14.25" customHeight="1">
      <c r="A1234" s="28" t="s">
        <v>27</v>
      </c>
      <c r="B1234" s="11" t="s">
        <v>10</v>
      </c>
      <c r="C1234" s="12" t="s">
        <v>11</v>
      </c>
      <c r="D1234" s="11" t="s">
        <v>10</v>
      </c>
      <c r="E1234" s="12" t="s">
        <v>11</v>
      </c>
      <c r="F1234" s="11" t="s">
        <v>10</v>
      </c>
      <c r="G1234" s="12" t="s">
        <v>11</v>
      </c>
      <c r="H1234" s="11" t="s">
        <v>10</v>
      </c>
      <c r="I1234" s="12" t="s">
        <v>11</v>
      </c>
      <c r="J1234" s="11" t="s">
        <v>10</v>
      </c>
      <c r="K1234" s="12" t="s">
        <v>11</v>
      </c>
      <c r="L1234" s="11" t="s">
        <v>10</v>
      </c>
      <c r="M1234" s="12" t="s">
        <v>11</v>
      </c>
      <c r="N1234" s="30"/>
      <c r="O1234" s="30"/>
    </row>
    <row r="1235" ht="14.25" customHeight="1">
      <c r="A1235" s="41" t="s">
        <v>28</v>
      </c>
      <c r="B1235" s="20" t="s">
        <v>304</v>
      </c>
      <c r="C1235" s="17"/>
      <c r="D1235" s="45" t="s">
        <v>91</v>
      </c>
      <c r="E1235" s="76" t="s">
        <v>49</v>
      </c>
      <c r="F1235" s="20" t="s">
        <v>305</v>
      </c>
      <c r="G1235" s="17"/>
      <c r="H1235" s="70" t="s">
        <v>14</v>
      </c>
      <c r="I1235" s="44"/>
      <c r="J1235" s="20" t="s">
        <v>245</v>
      </c>
      <c r="K1235" s="17"/>
      <c r="L1235" s="42"/>
      <c r="M1235" s="44"/>
      <c r="N1235" s="30"/>
      <c r="O1235" s="30"/>
    </row>
    <row r="1236" ht="14.25" customHeight="1">
      <c r="A1236" s="28"/>
      <c r="B1236" s="46">
        <v>190.0</v>
      </c>
      <c r="C1236" s="48">
        <v>5.0</v>
      </c>
      <c r="D1236" s="46">
        <v>20.0</v>
      </c>
      <c r="E1236" s="26"/>
      <c r="F1236" s="46">
        <v>190.0</v>
      </c>
      <c r="G1236" s="48">
        <v>5.0</v>
      </c>
      <c r="H1236" s="46">
        <v>30.0</v>
      </c>
      <c r="I1236" s="24"/>
      <c r="J1236" s="46">
        <v>50.0</v>
      </c>
      <c r="K1236" s="48">
        <v>5.0</v>
      </c>
      <c r="L1236" s="46"/>
      <c r="M1236" s="26"/>
      <c r="N1236" s="30"/>
      <c r="O1236" s="30"/>
    </row>
    <row r="1237" ht="14.25" customHeight="1">
      <c r="A1237" s="28" t="s">
        <v>37</v>
      </c>
      <c r="B1237" s="46">
        <v>200.0</v>
      </c>
      <c r="C1237" s="48">
        <v>4.0</v>
      </c>
      <c r="D1237" s="46">
        <v>40.0</v>
      </c>
      <c r="E1237" s="26"/>
      <c r="F1237" s="46">
        <v>200.0</v>
      </c>
      <c r="G1237" s="48">
        <v>5.0</v>
      </c>
      <c r="H1237" s="46">
        <v>60.0</v>
      </c>
      <c r="I1237" s="54"/>
      <c r="J1237" s="46">
        <v>55.0</v>
      </c>
      <c r="K1237" s="48">
        <v>5.0</v>
      </c>
      <c r="L1237" s="46"/>
      <c r="M1237" s="26"/>
      <c r="N1237" s="30"/>
      <c r="O1237" s="30"/>
    </row>
    <row r="1238" ht="14.25" customHeight="1">
      <c r="A1238" s="28" t="s">
        <v>39</v>
      </c>
      <c r="B1238" s="46">
        <v>210.0</v>
      </c>
      <c r="C1238" s="48">
        <v>4.0</v>
      </c>
      <c r="D1238" s="46">
        <v>60.0</v>
      </c>
      <c r="E1238" s="54"/>
      <c r="F1238" s="46">
        <v>210.0</v>
      </c>
      <c r="G1238" s="48">
        <v>5.0</v>
      </c>
      <c r="H1238" s="46">
        <v>30.0</v>
      </c>
      <c r="I1238" s="24"/>
      <c r="J1238" s="46">
        <v>60.0</v>
      </c>
      <c r="K1238" s="48">
        <v>5.0</v>
      </c>
      <c r="L1238" s="46"/>
      <c r="M1238" s="26"/>
      <c r="N1238" s="30"/>
      <c r="O1238" s="30"/>
    </row>
    <row r="1239" ht="14.25" customHeight="1">
      <c r="A1239" s="28"/>
      <c r="B1239" s="46"/>
      <c r="C1239" s="48"/>
      <c r="D1239" s="46">
        <v>40.0</v>
      </c>
      <c r="E1239" s="54"/>
      <c r="F1239" s="46"/>
      <c r="G1239" s="48"/>
      <c r="H1239" s="46"/>
      <c r="I1239" s="24"/>
      <c r="J1239" s="46"/>
      <c r="K1239" s="48"/>
      <c r="L1239" s="46"/>
      <c r="M1239" s="26"/>
      <c r="N1239" s="30"/>
      <c r="O1239" s="30"/>
    </row>
    <row r="1240" ht="14.25" customHeight="1">
      <c r="A1240" s="28" t="s">
        <v>41</v>
      </c>
      <c r="B1240" s="13"/>
      <c r="C1240" s="24"/>
      <c r="D1240" s="32"/>
      <c r="E1240" s="24"/>
      <c r="F1240" s="31"/>
      <c r="G1240" s="24"/>
      <c r="H1240" s="28"/>
      <c r="I1240" s="24"/>
      <c r="J1240" s="31"/>
      <c r="K1240" s="24"/>
      <c r="L1240" s="32"/>
      <c r="M1240" s="24"/>
      <c r="N1240" s="30"/>
      <c r="O1240" s="30"/>
    </row>
    <row r="1241" ht="14.25" customHeight="1">
      <c r="A1241" s="28" t="s">
        <v>43</v>
      </c>
      <c r="B1241" s="13"/>
      <c r="C1241" s="34"/>
      <c r="D1241" s="32"/>
      <c r="E1241" s="26"/>
      <c r="F1241" s="13"/>
      <c r="G1241" s="34"/>
      <c r="H1241" s="28"/>
      <c r="I1241" s="24"/>
      <c r="J1241" s="13"/>
      <c r="K1241" s="24"/>
      <c r="L1241" s="32"/>
      <c r="M1241" s="26"/>
      <c r="N1241" s="30"/>
      <c r="O1241" s="30"/>
    </row>
    <row r="1242" ht="14.25" customHeight="1">
      <c r="A1242" s="28"/>
      <c r="B1242" s="35" t="s">
        <v>25</v>
      </c>
      <c r="C1242" s="55">
        <f>C1236*B1236 + B1237*C1237 + B1238*C1238 + B1239*C1239 + B1241*C1241</f>
        <v>2590</v>
      </c>
      <c r="D1242" s="35" t="s">
        <v>25</v>
      </c>
      <c r="E1242" s="36">
        <f>E1236*D1236 + D1237*E1237 + D1238*E1238 + D1239*E1239 + D1241*E1241</f>
        <v>0</v>
      </c>
      <c r="F1242" s="35" t="s">
        <v>25</v>
      </c>
      <c r="G1242" s="55">
        <f>G1236*F1236 + F1237*G1237 + F1238*G1238 + F1239*G1239 + F1241*G1241</f>
        <v>3000</v>
      </c>
      <c r="H1242" s="35" t="s">
        <v>25</v>
      </c>
      <c r="I1242" s="36">
        <f>I1236*H1236 + H1237*I1237 + H1238*I1238 + H1239*I1239 + H1241*I1241</f>
        <v>0</v>
      </c>
      <c r="J1242" s="35" t="s">
        <v>25</v>
      </c>
      <c r="K1242" s="36">
        <f>K1236*J1236 + J1237*K1237 + J1238*K1238 + J1239*K1239 + J1241*K1241</f>
        <v>825</v>
      </c>
      <c r="L1242" s="35" t="s">
        <v>25</v>
      </c>
      <c r="M1242" s="36">
        <f>M1236*L1236 + L1237*M1237 + L1238*M1238 + L1239*M1239 + L1241*M1241</f>
        <v>0</v>
      </c>
      <c r="N1242" s="30"/>
      <c r="O1242" s="30"/>
    </row>
    <row r="1243" ht="14.25" customHeight="1">
      <c r="A1243" s="28" t="s">
        <v>116</v>
      </c>
      <c r="B1243" s="39" t="s">
        <v>26</v>
      </c>
      <c r="C1243" s="77">
        <f>(B1236*C1236 + B1237*C1237 + B1238*C1238 + B1239*C1239 + B1241*C1241)/SUM(C1236:C1241)</f>
        <v>199.2307692</v>
      </c>
      <c r="D1243" s="39" t="s">
        <v>26</v>
      </c>
      <c r="E1243" s="40" t="str">
        <f>(D1236*E1236 + D1237*E1237 + D1238*E1238 + D1239*E1239 + D1241*E1241)/SUM(E1236:E1241)</f>
        <v>#DIV/0!</v>
      </c>
      <c r="F1243" s="39" t="s">
        <v>26</v>
      </c>
      <c r="G1243" s="77">
        <f>(F1236*G1236 + F1237*G1237 + F1238*G1238 + F1239*G1239 + F1241*G1241)/SUM(G1236:G1241)</f>
        <v>200</v>
      </c>
      <c r="H1243" s="39" t="s">
        <v>26</v>
      </c>
      <c r="I1243" s="40" t="str">
        <f>(H1236*I1236 + H1237*I1237 + H1238*I1238 + H1239*I1239 + H1241*I1241)/SUM(I1236:I1241)</f>
        <v>#DIV/0!</v>
      </c>
      <c r="J1243" s="39" t="s">
        <v>26</v>
      </c>
      <c r="K1243" s="40">
        <f>(J1236*K1236 + J1237*K1237 + J1238*K1238 + J1239*K1239 + J1241*K1241)/SUM(K1236:K1241)</f>
        <v>55</v>
      </c>
      <c r="L1243" s="39" t="s">
        <v>26</v>
      </c>
      <c r="M1243" s="40" t="str">
        <f>(L1236*M1236 + L1237*M1237 + L1238*M1238 + L1239*M1239 + L1241*M1241)/SUM(M1236:M1241)</f>
        <v>#DIV/0!</v>
      </c>
      <c r="N1243" s="30"/>
      <c r="O1243" s="30"/>
    </row>
    <row r="1244" ht="14.25" customHeight="1">
      <c r="A1244" s="28" t="s">
        <v>117</v>
      </c>
      <c r="B1244" s="70" t="s">
        <v>302</v>
      </c>
      <c r="C1244" s="17"/>
      <c r="D1244" s="113" t="s">
        <v>105</v>
      </c>
      <c r="E1244" s="50" t="s">
        <v>49</v>
      </c>
      <c r="F1244" s="70" t="s">
        <v>306</v>
      </c>
      <c r="G1244" s="17"/>
      <c r="H1244" s="49" t="s">
        <v>306</v>
      </c>
      <c r="I1244" s="125"/>
      <c r="J1244" s="70" t="s">
        <v>306</v>
      </c>
      <c r="K1244" s="17"/>
      <c r="L1244" s="49" t="s">
        <v>306</v>
      </c>
      <c r="M1244" s="50" t="s">
        <v>49</v>
      </c>
      <c r="N1244" s="30"/>
      <c r="O1244" s="30"/>
    </row>
    <row r="1245" ht="14.25" customHeight="1">
      <c r="A1245" s="28" t="s">
        <v>120</v>
      </c>
      <c r="B1245" s="28"/>
      <c r="C1245" s="54">
        <v>5.0</v>
      </c>
      <c r="D1245" s="46"/>
      <c r="E1245" s="24"/>
      <c r="F1245" s="28"/>
      <c r="G1245" s="54"/>
      <c r="H1245" s="21"/>
      <c r="I1245" s="24"/>
      <c r="J1245" s="28"/>
      <c r="K1245" s="54"/>
      <c r="L1245" s="21"/>
      <c r="M1245" s="24"/>
      <c r="N1245" s="30"/>
      <c r="O1245" s="30"/>
    </row>
    <row r="1246" ht="14.25" customHeight="1">
      <c r="A1246" s="28"/>
      <c r="B1246" s="27"/>
      <c r="C1246" s="54">
        <v>5.0</v>
      </c>
      <c r="D1246" s="46"/>
      <c r="E1246" s="54"/>
      <c r="F1246" s="27"/>
      <c r="G1246" s="54"/>
      <c r="H1246" s="46"/>
      <c r="I1246" s="54"/>
      <c r="J1246" s="27"/>
      <c r="K1246" s="54"/>
      <c r="L1246" s="21"/>
      <c r="M1246" s="26"/>
      <c r="N1246" s="30"/>
      <c r="O1246" s="30"/>
    </row>
    <row r="1247" ht="14.25" customHeight="1">
      <c r="A1247" s="28"/>
      <c r="B1247" s="27"/>
      <c r="C1247" s="54">
        <v>5.0</v>
      </c>
      <c r="D1247" s="46"/>
      <c r="E1247" s="24"/>
      <c r="F1247" s="27"/>
      <c r="G1247" s="54"/>
      <c r="H1247" s="21"/>
      <c r="I1247" s="24"/>
      <c r="J1247" s="27"/>
      <c r="K1247" s="54"/>
      <c r="L1247" s="46"/>
      <c r="M1247" s="24"/>
      <c r="N1247" s="30"/>
      <c r="O1247" s="30"/>
    </row>
    <row r="1248" ht="14.25" customHeight="1">
      <c r="A1248" s="28"/>
      <c r="B1248" s="28"/>
      <c r="C1248" s="79"/>
      <c r="D1248" s="46"/>
      <c r="E1248" s="24"/>
      <c r="F1248" s="28"/>
      <c r="G1248" s="34"/>
      <c r="H1248" s="21"/>
      <c r="I1248" s="24"/>
      <c r="J1248" s="28"/>
      <c r="K1248" s="54"/>
      <c r="L1248" s="21"/>
      <c r="M1248" s="24"/>
      <c r="N1248" s="30"/>
      <c r="O1248" s="30"/>
    </row>
    <row r="1249" ht="14.25" customHeight="1">
      <c r="A1249" s="28"/>
      <c r="B1249" s="13"/>
      <c r="C1249" s="34"/>
      <c r="D1249" s="21"/>
      <c r="E1249" s="34"/>
      <c r="F1249" s="13"/>
      <c r="G1249" s="34"/>
      <c r="H1249" s="28"/>
      <c r="I1249" s="34"/>
      <c r="J1249" s="13"/>
      <c r="K1249" s="24"/>
      <c r="L1249" s="31"/>
      <c r="M1249" s="24"/>
      <c r="N1249" s="30"/>
      <c r="O1249" s="30"/>
    </row>
    <row r="1250" ht="14.25" customHeight="1">
      <c r="A1250" s="28"/>
      <c r="B1250" s="35" t="s">
        <v>25</v>
      </c>
      <c r="C1250" s="55">
        <f>C1245*B1245 + B1246*C1246 + B1247*C1247 + B1248*C1248 + B1249*C1249</f>
        <v>0</v>
      </c>
      <c r="D1250" s="35" t="s">
        <v>25</v>
      </c>
      <c r="E1250" s="55">
        <f>E1245*D1245 + D1246*E1246 + D1247*E1247 + D1248*E1248 + D1249*E1249</f>
        <v>0</v>
      </c>
      <c r="F1250" s="35" t="s">
        <v>25</v>
      </c>
      <c r="G1250" s="55">
        <f>G1245*F1245 + F1246*G1246 + F1247*G1247 + F1248*G1248 + F1249*G1249</f>
        <v>0</v>
      </c>
      <c r="H1250" s="35" t="s">
        <v>25</v>
      </c>
      <c r="I1250" s="56">
        <f>I1245*H1245 + H1246*I1246 + H1247*I1247 + H1248*I1248 + H1249*I1249</f>
        <v>0</v>
      </c>
      <c r="J1250" s="35" t="s">
        <v>25</v>
      </c>
      <c r="K1250" s="36">
        <f>K1245*J1245 + J1246*K1246 + J1247*K1247 + J1248*K1248 + J1249*K1249</f>
        <v>0</v>
      </c>
      <c r="L1250" s="57" t="s">
        <v>25</v>
      </c>
      <c r="M1250" s="58">
        <f>M1245*L1245 + L1246*M1246 + L1247*M1247 + L1248*M1248 + L1249*M1249</f>
        <v>0</v>
      </c>
      <c r="N1250" s="30"/>
      <c r="O1250" s="30"/>
    </row>
    <row r="1251" ht="14.25" customHeight="1">
      <c r="A1251" s="28"/>
      <c r="B1251" s="39" t="s">
        <v>26</v>
      </c>
      <c r="C1251" s="40">
        <f>(B1245*C1245 + B1246*C1246 + B1247*C1247 + B1248*C1248 + B1249*C1249)/SUM(C1245:C1249)</f>
        <v>0</v>
      </c>
      <c r="D1251" s="59" t="s">
        <v>26</v>
      </c>
      <c r="E1251" s="40" t="str">
        <f>(D1245*E1245 + D1246*E1246 + D1247*E1247 + D1248*E1248 + D1249*E1249)/SUM(E1245:E1249)</f>
        <v>#DIV/0!</v>
      </c>
      <c r="F1251" s="31" t="s">
        <v>26</v>
      </c>
      <c r="G1251" s="75" t="str">
        <f>(F1245*G1245 + F1246*G1246 + F1247*G1247 + F1248*G1248 + F1249*G1249)/SUM(G1245:G1249)</f>
        <v>#DIV/0!</v>
      </c>
      <c r="H1251" s="59" t="s">
        <v>26</v>
      </c>
      <c r="I1251" s="40" t="str">
        <f>(H1245*I1245 + H1246*I1246 + H1247*I1247 + H1248*I1248 + H1249*I1249)/SUM(I1245:I1249)</f>
        <v>#DIV/0!</v>
      </c>
      <c r="J1251" s="39" t="s">
        <v>26</v>
      </c>
      <c r="K1251" s="40" t="str">
        <f>(J1245*K1245 + J1246*K1246 + J1247*K1247 + J1248*K1248 + J1249*K1249)/SUM(K1245:K1249)</f>
        <v>#DIV/0!</v>
      </c>
      <c r="L1251" s="59" t="s">
        <v>26</v>
      </c>
      <c r="M1251" s="40" t="str">
        <f>(L1245*M1245 + L1246*M1246 + L1247*M1247 + L1248*M1248 + L1249*M1249)/SUM(M1249)</f>
        <v>#DIV/0!</v>
      </c>
      <c r="N1251" s="30"/>
      <c r="O1251" s="30"/>
    </row>
    <row r="1252" ht="14.25" customHeight="1">
      <c r="A1252" s="28"/>
      <c r="B1252" s="28" t="s">
        <v>91</v>
      </c>
      <c r="C1252" s="30" t="s">
        <v>49</v>
      </c>
      <c r="D1252" s="28" t="s">
        <v>50</v>
      </c>
      <c r="E1252" s="30" t="s">
        <v>49</v>
      </c>
      <c r="F1252" s="120" t="s">
        <v>91</v>
      </c>
      <c r="G1252" s="121" t="s">
        <v>49</v>
      </c>
      <c r="H1252" s="122"/>
      <c r="I1252" s="30"/>
      <c r="J1252" s="28" t="s">
        <v>91</v>
      </c>
      <c r="K1252" s="60" t="s">
        <v>49</v>
      </c>
      <c r="L1252" s="30"/>
      <c r="M1252" s="60" t="s">
        <v>49</v>
      </c>
      <c r="N1252" s="30"/>
      <c r="O1252" s="30"/>
    </row>
    <row r="1253" ht="14.25" customHeight="1">
      <c r="A1253" s="28"/>
      <c r="B1253" s="27">
        <v>30.0</v>
      </c>
      <c r="C1253" s="60"/>
      <c r="D1253" s="27"/>
      <c r="E1253" s="60"/>
      <c r="F1253" s="27">
        <v>30.0</v>
      </c>
      <c r="G1253" s="61"/>
      <c r="H1253" s="30"/>
      <c r="I1253" s="60"/>
      <c r="J1253" s="27"/>
      <c r="K1253" s="60"/>
      <c r="L1253" s="62"/>
      <c r="M1253" s="60"/>
      <c r="N1253" s="30"/>
      <c r="O1253" s="30"/>
    </row>
    <row r="1254" ht="14.25" customHeight="1">
      <c r="A1254" s="28"/>
      <c r="B1254" s="27">
        <v>60.0</v>
      </c>
      <c r="C1254" s="60"/>
      <c r="D1254" s="27"/>
      <c r="E1254" s="60"/>
      <c r="F1254" s="69">
        <v>60.0</v>
      </c>
      <c r="G1254" s="60"/>
      <c r="H1254" s="30"/>
      <c r="I1254" s="60"/>
      <c r="J1254" s="69"/>
      <c r="K1254" s="60"/>
      <c r="L1254" s="30"/>
      <c r="M1254" s="60"/>
      <c r="N1254" s="30"/>
      <c r="O1254" s="30"/>
    </row>
    <row r="1255" ht="14.25" customHeight="1">
      <c r="A1255" s="37"/>
      <c r="B1255" s="28">
        <v>30.0</v>
      </c>
      <c r="C1255" s="60"/>
      <c r="D1255" s="28"/>
      <c r="E1255" s="60"/>
      <c r="F1255" s="1">
        <v>40.0</v>
      </c>
      <c r="G1255" s="60"/>
      <c r="H1255" s="30"/>
      <c r="I1255" s="60"/>
      <c r="J1255" s="1"/>
      <c r="K1255" s="60"/>
      <c r="L1255" s="30"/>
      <c r="M1255" s="60"/>
      <c r="N1255" s="30"/>
      <c r="O1255" s="30"/>
    </row>
    <row r="1256" ht="14.25" customHeight="1">
      <c r="A1256" s="37"/>
      <c r="B1256" s="28"/>
      <c r="C1256" s="1"/>
      <c r="D1256" s="28"/>
      <c r="E1256" s="1"/>
      <c r="F1256" s="28"/>
      <c r="G1256" s="60"/>
      <c r="H1256" s="30"/>
      <c r="I1256" s="30"/>
      <c r="J1256" s="28"/>
      <c r="K1256" s="60"/>
      <c r="L1256" s="30"/>
      <c r="M1256" s="60"/>
      <c r="N1256" s="30"/>
      <c r="O1256" s="30"/>
    </row>
    <row r="1257" ht="14.25" customHeight="1">
      <c r="A1257" s="37"/>
      <c r="B1257" s="28"/>
      <c r="C1257" s="1"/>
      <c r="D1257" s="28"/>
      <c r="E1257" s="1"/>
      <c r="F1257" s="28"/>
      <c r="G1257" s="60"/>
      <c r="H1257" s="30"/>
      <c r="I1257" s="30"/>
      <c r="J1257" s="28"/>
      <c r="K1257" s="60"/>
      <c r="L1257" s="30"/>
      <c r="M1257" s="60"/>
      <c r="N1257" s="30"/>
      <c r="O1257" s="30"/>
    </row>
    <row r="1258" ht="14.25" customHeight="1">
      <c r="A1258" s="37"/>
      <c r="B1258" s="28"/>
      <c r="C1258" s="1"/>
      <c r="D1258" s="28"/>
      <c r="E1258" s="1"/>
      <c r="F1258" s="28"/>
      <c r="G1258" s="60"/>
      <c r="H1258" s="30"/>
      <c r="I1258" s="30"/>
      <c r="J1258" s="37"/>
      <c r="K1258" s="60"/>
      <c r="L1258" s="30"/>
      <c r="M1258" s="60"/>
      <c r="N1258" s="30"/>
      <c r="O1258" s="30"/>
    </row>
    <row r="1259" ht="14.25" customHeight="1">
      <c r="A1259" s="64"/>
      <c r="B1259" s="65"/>
      <c r="C1259" s="66"/>
      <c r="D1259" s="65"/>
      <c r="E1259" s="66"/>
      <c r="F1259" s="64"/>
      <c r="G1259" s="67"/>
      <c r="H1259" s="66"/>
      <c r="I1259" s="66"/>
      <c r="J1259" s="64"/>
      <c r="K1259" s="67"/>
      <c r="L1259" s="66"/>
      <c r="M1259" s="67"/>
      <c r="N1259" s="30"/>
      <c r="O1259" s="30"/>
    </row>
    <row r="1260" ht="14.25" customHeight="1">
      <c r="A1260" s="30"/>
      <c r="B1260" s="1"/>
      <c r="C1260" s="30"/>
      <c r="D1260" s="1"/>
      <c r="E1260" s="30"/>
      <c r="F1260" s="30"/>
      <c r="G1260" s="30"/>
      <c r="H1260" s="30"/>
      <c r="I1260" s="30"/>
      <c r="J1260" s="30"/>
      <c r="K1260" s="30"/>
      <c r="L1260" s="30"/>
      <c r="M1260" s="30"/>
      <c r="N1260" s="30"/>
      <c r="O1260" s="30"/>
    </row>
    <row r="1261" ht="14.25" customHeight="1">
      <c r="A1261" s="2" t="s">
        <v>2</v>
      </c>
      <c r="B1261" s="3" t="s">
        <v>3</v>
      </c>
      <c r="C1261" s="4">
        <f>M1224+2</f>
        <v>45593</v>
      </c>
      <c r="D1261" s="5" t="s">
        <v>4</v>
      </c>
      <c r="E1261" s="6">
        <f>C1261+1</f>
        <v>45594</v>
      </c>
      <c r="F1261" s="3" t="s">
        <v>5</v>
      </c>
      <c r="G1261" s="6">
        <f>E1261+1</f>
        <v>45595</v>
      </c>
      <c r="H1261" s="3" t="s">
        <v>6</v>
      </c>
      <c r="I1261" s="6">
        <f>G1261+1</f>
        <v>45596</v>
      </c>
      <c r="J1261" s="3" t="s">
        <v>7</v>
      </c>
      <c r="K1261" s="6">
        <f>I1261+1</f>
        <v>45597</v>
      </c>
      <c r="L1261" s="7" t="s">
        <v>8</v>
      </c>
      <c r="M1261" s="8">
        <f>K1261+1</f>
        <v>45598</v>
      </c>
      <c r="N1261" s="30"/>
      <c r="O1261" s="30"/>
    </row>
    <row r="1262" ht="14.25" customHeight="1">
      <c r="A1262" s="10">
        <f>A1225+1</f>
        <v>35</v>
      </c>
      <c r="B1262" s="11" t="s">
        <v>10</v>
      </c>
      <c r="C1262" s="12" t="s">
        <v>11</v>
      </c>
      <c r="D1262" s="11" t="s">
        <v>10</v>
      </c>
      <c r="E1262" s="12" t="s">
        <v>11</v>
      </c>
      <c r="F1262" s="11" t="s">
        <v>10</v>
      </c>
      <c r="G1262" s="12" t="s">
        <v>11</v>
      </c>
      <c r="H1262" s="11" t="s">
        <v>10</v>
      </c>
      <c r="I1262" s="12" t="s">
        <v>11</v>
      </c>
      <c r="J1262" s="11" t="s">
        <v>10</v>
      </c>
      <c r="K1262" s="12" t="s">
        <v>11</v>
      </c>
      <c r="L1262" s="11" t="s">
        <v>10</v>
      </c>
      <c r="M1262" s="12" t="s">
        <v>11</v>
      </c>
      <c r="N1262" s="30"/>
      <c r="O1262" s="30"/>
    </row>
    <row r="1263" ht="14.25" customHeight="1">
      <c r="A1263" s="13" t="s">
        <v>12</v>
      </c>
      <c r="B1263" s="20" t="s">
        <v>143</v>
      </c>
      <c r="C1263" s="17"/>
      <c r="D1263" s="45" t="s">
        <v>290</v>
      </c>
      <c r="E1263" s="17"/>
      <c r="F1263" s="20" t="s">
        <v>229</v>
      </c>
      <c r="G1263" s="17"/>
      <c r="H1263" s="70" t="s">
        <v>292</v>
      </c>
      <c r="I1263" s="17"/>
      <c r="J1263" s="20" t="s">
        <v>143</v>
      </c>
      <c r="K1263" s="17"/>
      <c r="L1263" s="20" t="s">
        <v>250</v>
      </c>
      <c r="M1263" s="17"/>
      <c r="N1263" s="30"/>
      <c r="O1263" s="30"/>
    </row>
    <row r="1264" ht="14.25" customHeight="1">
      <c r="A1264" s="13"/>
      <c r="B1264" s="46">
        <v>95.0</v>
      </c>
      <c r="C1264" s="48">
        <v>4.0</v>
      </c>
      <c r="D1264" s="1" t="s">
        <v>293</v>
      </c>
      <c r="E1264" s="54" t="s">
        <v>294</v>
      </c>
      <c r="F1264" s="46">
        <v>80.0</v>
      </c>
      <c r="G1264" s="48">
        <v>4.0</v>
      </c>
      <c r="H1264" s="27" t="s">
        <v>295</v>
      </c>
      <c r="I1264" s="26"/>
      <c r="J1264" s="46">
        <v>80.0</v>
      </c>
      <c r="K1264" s="48">
        <v>4.0</v>
      </c>
      <c r="L1264" s="27" t="s">
        <v>303</v>
      </c>
      <c r="M1264" s="24"/>
      <c r="N1264" s="30"/>
      <c r="O1264" s="30"/>
    </row>
    <row r="1265" ht="14.25" customHeight="1">
      <c r="A1265" s="28" t="s">
        <v>20</v>
      </c>
      <c r="B1265" s="46">
        <v>100.0</v>
      </c>
      <c r="C1265" s="48">
        <v>3.0</v>
      </c>
      <c r="D1265" s="1" t="s">
        <v>210</v>
      </c>
      <c r="E1265" s="54" t="s">
        <v>296</v>
      </c>
      <c r="F1265" s="46">
        <v>85.0</v>
      </c>
      <c r="G1265" s="48">
        <v>3.0</v>
      </c>
      <c r="H1265" s="28" t="s">
        <v>210</v>
      </c>
      <c r="I1265" s="54"/>
      <c r="J1265" s="46">
        <v>90.0</v>
      </c>
      <c r="K1265" s="48">
        <v>3.0</v>
      </c>
      <c r="L1265" s="28"/>
      <c r="M1265" s="24"/>
      <c r="N1265" s="30"/>
      <c r="O1265" s="30"/>
    </row>
    <row r="1266" ht="14.25" customHeight="1">
      <c r="A1266" s="29" t="s">
        <v>22</v>
      </c>
      <c r="B1266" s="46">
        <v>105.0</v>
      </c>
      <c r="C1266" s="48">
        <v>2.0</v>
      </c>
      <c r="D1266" s="1" t="s">
        <v>297</v>
      </c>
      <c r="E1266" s="26"/>
      <c r="F1266" s="46">
        <v>90.0</v>
      </c>
      <c r="G1266" s="48">
        <v>2.0</v>
      </c>
      <c r="H1266" s="28" t="s">
        <v>298</v>
      </c>
      <c r="I1266" s="26"/>
      <c r="J1266" s="46">
        <v>100.0</v>
      </c>
      <c r="K1266" s="48">
        <v>2.0</v>
      </c>
      <c r="L1266" s="23"/>
      <c r="M1266" s="24"/>
      <c r="N1266" s="30"/>
      <c r="O1266" s="30"/>
    </row>
    <row r="1267" ht="14.25" customHeight="1">
      <c r="A1267" s="28" t="s">
        <v>23</v>
      </c>
      <c r="B1267" s="46"/>
      <c r="C1267" s="48"/>
      <c r="D1267" s="1" t="s">
        <v>299</v>
      </c>
      <c r="E1267" s="26"/>
      <c r="F1267" s="46"/>
      <c r="G1267" s="48"/>
      <c r="H1267" s="1"/>
      <c r="I1267" s="24"/>
      <c r="J1267" s="46"/>
      <c r="K1267" s="48"/>
      <c r="L1267" s="32"/>
      <c r="M1267" s="26"/>
      <c r="N1267" s="30"/>
      <c r="O1267" s="30"/>
    </row>
    <row r="1268" ht="14.25" customHeight="1">
      <c r="A1268" s="13"/>
      <c r="B1268" s="13"/>
      <c r="C1268" s="24"/>
      <c r="D1268" s="33"/>
      <c r="E1268" s="26"/>
      <c r="F1268" s="13"/>
      <c r="G1268" s="24"/>
      <c r="H1268" s="13"/>
      <c r="I1268" s="34"/>
      <c r="J1268" s="13"/>
      <c r="K1268" s="24"/>
      <c r="L1268" s="13"/>
      <c r="M1268" s="24"/>
      <c r="N1268" s="30"/>
      <c r="O1268" s="30"/>
    </row>
    <row r="1269" ht="14.25" customHeight="1">
      <c r="A1269" s="28" t="s">
        <v>24</v>
      </c>
      <c r="B1269" s="35" t="s">
        <v>25</v>
      </c>
      <c r="C1269" s="58">
        <f>C1264*B1264 + B1265*C1265 + B1266*C1266 + B1267*C1267 + B1268*C1268</f>
        <v>890</v>
      </c>
      <c r="D1269" s="57" t="s">
        <v>25</v>
      </c>
      <c r="E1269" s="55" t="str">
        <f>E1264*D1264 + D1265*#REF! + E1265*E1266 + D1267*E1267 + D1268*E1268</f>
        <v>#VALUE!</v>
      </c>
      <c r="F1269" s="35" t="s">
        <v>25</v>
      </c>
      <c r="G1269" s="58">
        <f>G1264*F1264 + F1265*G1265 + F1266*G1266 + F1267*G1267 + F1268*G1268</f>
        <v>755</v>
      </c>
      <c r="H1269" s="35" t="s">
        <v>25</v>
      </c>
      <c r="I1269" s="56" t="str">
        <f>I1264*H1264 + H1265*I1265 + H1266*I1266 + H1267*I1267 + H1268*I1268</f>
        <v>#VALUE!</v>
      </c>
      <c r="J1269" s="35" t="s">
        <v>25</v>
      </c>
      <c r="K1269" s="58">
        <f>K1264*J1264 + J1265*K1265 + J1266*K1266 + J1267*K1267 + J1268*K1268</f>
        <v>790</v>
      </c>
      <c r="L1269" s="35" t="s">
        <v>25</v>
      </c>
      <c r="M1269" s="36" t="str">
        <f>M1264*L1264 + L1265*M1265 + L1266*M1266 + L1267*M1267 + L1268*M1268</f>
        <v>#VALUE!</v>
      </c>
      <c r="N1269" s="30"/>
      <c r="O1269" s="30"/>
    </row>
    <row r="1270" ht="14.25" customHeight="1">
      <c r="A1270" s="37"/>
      <c r="B1270" s="39" t="s">
        <v>26</v>
      </c>
      <c r="C1270" s="116">
        <f>(B1264*C1264 + B1265*C1265 + B1266*C1266 + B1267*C1267 + B1268*C1268)/SUM(C1264:C1268)</f>
        <v>98.88888889</v>
      </c>
      <c r="D1270" s="31" t="s">
        <v>26</v>
      </c>
      <c r="E1270" s="74" t="str">
        <f>(D1264*E1264 + D1265*#REF! + E1265*E1266 + D1267*E1267 + D1268*E1268)/SUM(E1264:E1268)</f>
        <v>#VALUE!</v>
      </c>
      <c r="F1270" s="39" t="s">
        <v>26</v>
      </c>
      <c r="G1270" s="116">
        <f>(F1264*G1264 + F1265*G1265 + F1266*G1266 + F1267*G1267 + F1268*G1268)/SUM(G1264:G1268)</f>
        <v>83.88888889</v>
      </c>
      <c r="H1270" s="13" t="s">
        <v>26</v>
      </c>
      <c r="I1270" s="74" t="str">
        <f>(H1264*I1264 + H1265*I1265 + H1266*I1266 + H1267*I1267 + H1268*I1268)/SUM(I1264:I1268)</f>
        <v>#VALUE!</v>
      </c>
      <c r="J1270" s="39" t="s">
        <v>26</v>
      </c>
      <c r="K1270" s="116">
        <f>(J1264*K1264 + J1265*K1265 + J1266*K1266 + J1267*K1267 + J1268*K1268)/SUM(K1264:K1268)</f>
        <v>87.77777778</v>
      </c>
      <c r="L1270" s="13" t="s">
        <v>26</v>
      </c>
      <c r="M1270" s="75" t="str">
        <f>(L1264*M1264 + L1265*M1265 + L1266*M1266 + L1267*M1267 + L1268*M1268)/SUM(M1264:M1268)</f>
        <v>#VALUE!</v>
      </c>
      <c r="N1270" s="30"/>
      <c r="O1270" s="30"/>
    </row>
    <row r="1271" ht="14.25" customHeight="1">
      <c r="A1271" s="28" t="s">
        <v>27</v>
      </c>
      <c r="B1271" s="11" t="s">
        <v>10</v>
      </c>
      <c r="C1271" s="12" t="s">
        <v>11</v>
      </c>
      <c r="D1271" s="11" t="s">
        <v>10</v>
      </c>
      <c r="E1271" s="12" t="s">
        <v>11</v>
      </c>
      <c r="F1271" s="11" t="s">
        <v>10</v>
      </c>
      <c r="G1271" s="12" t="s">
        <v>11</v>
      </c>
      <c r="H1271" s="11" t="s">
        <v>10</v>
      </c>
      <c r="I1271" s="12" t="s">
        <v>11</v>
      </c>
      <c r="J1271" s="11" t="s">
        <v>10</v>
      </c>
      <c r="K1271" s="12" t="s">
        <v>11</v>
      </c>
      <c r="L1271" s="11" t="s">
        <v>10</v>
      </c>
      <c r="M1271" s="12" t="s">
        <v>11</v>
      </c>
      <c r="N1271" s="30"/>
      <c r="O1271" s="30"/>
    </row>
    <row r="1272" ht="14.25" customHeight="1">
      <c r="A1272" s="41" t="s">
        <v>28</v>
      </c>
      <c r="B1272" s="20" t="s">
        <v>304</v>
      </c>
      <c r="C1272" s="17"/>
      <c r="D1272" s="45" t="s">
        <v>91</v>
      </c>
      <c r="E1272" s="76" t="s">
        <v>49</v>
      </c>
      <c r="F1272" s="20" t="s">
        <v>305</v>
      </c>
      <c r="G1272" s="17"/>
      <c r="H1272" s="70" t="s">
        <v>14</v>
      </c>
      <c r="I1272" s="44"/>
      <c r="J1272" s="20" t="s">
        <v>245</v>
      </c>
      <c r="K1272" s="17"/>
      <c r="L1272" s="42"/>
      <c r="M1272" s="44"/>
      <c r="N1272" s="30"/>
      <c r="O1272" s="30"/>
    </row>
    <row r="1273" ht="14.25" customHeight="1">
      <c r="A1273" s="28"/>
      <c r="B1273" s="46">
        <v>200.0</v>
      </c>
      <c r="C1273" s="48">
        <v>5.0</v>
      </c>
      <c r="D1273" s="46">
        <v>20.0</v>
      </c>
      <c r="E1273" s="26"/>
      <c r="F1273" s="46">
        <v>205.0</v>
      </c>
      <c r="G1273" s="48">
        <v>5.0</v>
      </c>
      <c r="H1273" s="46">
        <v>30.0</v>
      </c>
      <c r="I1273" s="24"/>
      <c r="J1273" s="46">
        <v>55.0</v>
      </c>
      <c r="K1273" s="48">
        <v>5.0</v>
      </c>
      <c r="L1273" s="46"/>
      <c r="M1273" s="26"/>
      <c r="N1273" s="30"/>
      <c r="O1273" s="30"/>
    </row>
    <row r="1274" ht="14.25" customHeight="1">
      <c r="A1274" s="28" t="s">
        <v>37</v>
      </c>
      <c r="B1274" s="46">
        <v>205.0</v>
      </c>
      <c r="C1274" s="48">
        <v>4.0</v>
      </c>
      <c r="D1274" s="46">
        <v>40.0</v>
      </c>
      <c r="E1274" s="26"/>
      <c r="F1274" s="46">
        <v>210.0</v>
      </c>
      <c r="G1274" s="48">
        <v>4.0</v>
      </c>
      <c r="H1274" s="46">
        <v>60.0</v>
      </c>
      <c r="I1274" s="54"/>
      <c r="J1274" s="46">
        <v>60.0</v>
      </c>
      <c r="K1274" s="48">
        <v>5.0</v>
      </c>
      <c r="L1274" s="46"/>
      <c r="M1274" s="26"/>
      <c r="N1274" s="30"/>
      <c r="O1274" s="30"/>
    </row>
    <row r="1275" ht="14.25" customHeight="1">
      <c r="A1275" s="28" t="s">
        <v>39</v>
      </c>
      <c r="B1275" s="46">
        <v>210.0</v>
      </c>
      <c r="C1275" s="48">
        <v>4.0</v>
      </c>
      <c r="D1275" s="46">
        <v>60.0</v>
      </c>
      <c r="E1275" s="54"/>
      <c r="F1275" s="46">
        <v>215.0</v>
      </c>
      <c r="G1275" s="48">
        <v>4.0</v>
      </c>
      <c r="H1275" s="46">
        <v>30.0</v>
      </c>
      <c r="I1275" s="24"/>
      <c r="J1275" s="46">
        <v>65.0</v>
      </c>
      <c r="K1275" s="48">
        <v>5.0</v>
      </c>
      <c r="L1275" s="46"/>
      <c r="M1275" s="26"/>
      <c r="N1275" s="30"/>
      <c r="O1275" s="30"/>
    </row>
    <row r="1276" ht="14.25" customHeight="1">
      <c r="A1276" s="28"/>
      <c r="B1276" s="46"/>
      <c r="C1276" s="48"/>
      <c r="D1276" s="46">
        <v>40.0</v>
      </c>
      <c r="E1276" s="54"/>
      <c r="F1276" s="46"/>
      <c r="G1276" s="48"/>
      <c r="H1276" s="46"/>
      <c r="I1276" s="24"/>
      <c r="J1276" s="46"/>
      <c r="K1276" s="48"/>
      <c r="L1276" s="46"/>
      <c r="M1276" s="26"/>
      <c r="N1276" s="30"/>
      <c r="O1276" s="30"/>
    </row>
    <row r="1277" ht="14.25" customHeight="1">
      <c r="A1277" s="28" t="s">
        <v>41</v>
      </c>
      <c r="B1277" s="13"/>
      <c r="C1277" s="24"/>
      <c r="D1277" s="32"/>
      <c r="E1277" s="24"/>
      <c r="F1277" s="31"/>
      <c r="G1277" s="24"/>
      <c r="H1277" s="28"/>
      <c r="I1277" s="24"/>
      <c r="J1277" s="31"/>
      <c r="K1277" s="24"/>
      <c r="L1277" s="32"/>
      <c r="M1277" s="24"/>
      <c r="N1277" s="30"/>
      <c r="O1277" s="30"/>
    </row>
    <row r="1278" ht="14.25" customHeight="1">
      <c r="A1278" s="28" t="s">
        <v>43</v>
      </c>
      <c r="B1278" s="13"/>
      <c r="C1278" s="34"/>
      <c r="D1278" s="32"/>
      <c r="E1278" s="26"/>
      <c r="F1278" s="13"/>
      <c r="G1278" s="34"/>
      <c r="H1278" s="28"/>
      <c r="I1278" s="24"/>
      <c r="J1278" s="13"/>
      <c r="K1278" s="24"/>
      <c r="L1278" s="32"/>
      <c r="M1278" s="26"/>
      <c r="N1278" s="30"/>
      <c r="O1278" s="30"/>
    </row>
    <row r="1279" ht="14.25" customHeight="1">
      <c r="A1279" s="28"/>
      <c r="B1279" s="35" t="s">
        <v>25</v>
      </c>
      <c r="C1279" s="55">
        <f>C1273*B1273 + B1274*C1274 + B1275*C1275 + B1276*C1276 + B1278*C1278</f>
        <v>2660</v>
      </c>
      <c r="D1279" s="35" t="s">
        <v>25</v>
      </c>
      <c r="E1279" s="36">
        <f>E1273*D1273 + D1274*E1274 + D1275*E1275 + D1276*E1276 + D1278*E1278</f>
        <v>0</v>
      </c>
      <c r="F1279" s="35" t="s">
        <v>25</v>
      </c>
      <c r="G1279" s="55">
        <f>G1273*F1273 + F1274*G1274 + F1275*G1275 + F1276*G1276 + F1278*G1278</f>
        <v>2725</v>
      </c>
      <c r="H1279" s="35" t="s">
        <v>25</v>
      </c>
      <c r="I1279" s="36">
        <f>I1273*H1273 + H1274*I1274 + H1275*I1275 + H1276*I1276 + H1278*I1278</f>
        <v>0</v>
      </c>
      <c r="J1279" s="35" t="s">
        <v>25</v>
      </c>
      <c r="K1279" s="36">
        <f>K1273*J1273 + J1274*K1274 + J1275*K1275 + J1276*K1276 + J1278*K1278</f>
        <v>900</v>
      </c>
      <c r="L1279" s="35" t="s">
        <v>25</v>
      </c>
      <c r="M1279" s="36">
        <f>M1273*L1273 + L1274*M1274 + L1275*M1275 + L1276*M1276 + L1278*M1278</f>
        <v>0</v>
      </c>
      <c r="N1279" s="30"/>
      <c r="O1279" s="30"/>
    </row>
    <row r="1280" ht="14.25" customHeight="1">
      <c r="A1280" s="28" t="s">
        <v>116</v>
      </c>
      <c r="B1280" s="39" t="s">
        <v>26</v>
      </c>
      <c r="C1280" s="77">
        <f>(B1273*C1273 + B1274*C1274 + B1275*C1275 + B1276*C1276 + B1278*C1278)/SUM(C1273:C1278)</f>
        <v>204.6153846</v>
      </c>
      <c r="D1280" s="39" t="s">
        <v>26</v>
      </c>
      <c r="E1280" s="40" t="str">
        <f>(D1273*E1273 + D1274*E1274 + D1275*E1275 + D1276*E1276 + D1278*E1278)/SUM(E1273:E1278)</f>
        <v>#DIV/0!</v>
      </c>
      <c r="F1280" s="39" t="s">
        <v>26</v>
      </c>
      <c r="G1280" s="77">
        <f>(F1273*G1273 + F1274*G1274 + F1275*G1275 + F1276*G1276 + F1278*G1278)/SUM(G1273:G1278)</f>
        <v>209.6153846</v>
      </c>
      <c r="H1280" s="39" t="s">
        <v>26</v>
      </c>
      <c r="I1280" s="40" t="str">
        <f>(H1273*I1273 + H1274*I1274 + H1275*I1275 + H1276*I1276 + H1278*I1278)/SUM(I1273:I1278)</f>
        <v>#DIV/0!</v>
      </c>
      <c r="J1280" s="39" t="s">
        <v>26</v>
      </c>
      <c r="K1280" s="40">
        <f>(J1273*K1273 + J1274*K1274 + J1275*K1275 + J1276*K1276 + J1278*K1278)/SUM(K1273:K1278)</f>
        <v>60</v>
      </c>
      <c r="L1280" s="39" t="s">
        <v>26</v>
      </c>
      <c r="M1280" s="40" t="str">
        <f>(L1273*M1273 + L1274*M1274 + L1275*M1275 + L1276*M1276 + L1278*M1278)/SUM(M1273:M1278)</f>
        <v>#DIV/0!</v>
      </c>
      <c r="N1280" s="30"/>
      <c r="O1280" s="30"/>
    </row>
    <row r="1281" ht="14.25" customHeight="1">
      <c r="A1281" s="28" t="s">
        <v>117</v>
      </c>
      <c r="B1281" s="70" t="s">
        <v>302</v>
      </c>
      <c r="C1281" s="17"/>
      <c r="D1281" s="113" t="s">
        <v>105</v>
      </c>
      <c r="E1281" s="50" t="s">
        <v>49</v>
      </c>
      <c r="F1281" s="70" t="s">
        <v>306</v>
      </c>
      <c r="G1281" s="17"/>
      <c r="H1281" s="49" t="s">
        <v>306</v>
      </c>
      <c r="I1281" s="125"/>
      <c r="J1281" s="70" t="s">
        <v>306</v>
      </c>
      <c r="K1281" s="17"/>
      <c r="L1281" s="49" t="s">
        <v>306</v>
      </c>
      <c r="M1281" s="50" t="s">
        <v>49</v>
      </c>
      <c r="N1281" s="30"/>
      <c r="O1281" s="30"/>
    </row>
    <row r="1282" ht="14.25" customHeight="1">
      <c r="A1282" s="28" t="s">
        <v>120</v>
      </c>
      <c r="B1282" s="28"/>
      <c r="C1282" s="54">
        <v>5.0</v>
      </c>
      <c r="D1282" s="46"/>
      <c r="E1282" s="24"/>
      <c r="F1282" s="28"/>
      <c r="G1282" s="54"/>
      <c r="H1282" s="21"/>
      <c r="I1282" s="24"/>
      <c r="J1282" s="28"/>
      <c r="K1282" s="54"/>
      <c r="L1282" s="21"/>
      <c r="M1282" s="24"/>
      <c r="N1282" s="30"/>
      <c r="O1282" s="30"/>
    </row>
    <row r="1283" ht="14.25" customHeight="1">
      <c r="A1283" s="28"/>
      <c r="B1283" s="27"/>
      <c r="C1283" s="54">
        <v>5.0</v>
      </c>
      <c r="D1283" s="46"/>
      <c r="E1283" s="54"/>
      <c r="F1283" s="27"/>
      <c r="G1283" s="54"/>
      <c r="H1283" s="46"/>
      <c r="I1283" s="54"/>
      <c r="J1283" s="27"/>
      <c r="K1283" s="54"/>
      <c r="L1283" s="21"/>
      <c r="M1283" s="26"/>
      <c r="N1283" s="30"/>
      <c r="O1283" s="30"/>
    </row>
    <row r="1284" ht="14.25" customHeight="1">
      <c r="A1284" s="28"/>
      <c r="B1284" s="27"/>
      <c r="C1284" s="54">
        <v>5.0</v>
      </c>
      <c r="D1284" s="46"/>
      <c r="E1284" s="24"/>
      <c r="F1284" s="27"/>
      <c r="G1284" s="54"/>
      <c r="H1284" s="21"/>
      <c r="I1284" s="24"/>
      <c r="J1284" s="27"/>
      <c r="K1284" s="54"/>
      <c r="L1284" s="46"/>
      <c r="M1284" s="24"/>
      <c r="N1284" s="30"/>
      <c r="O1284" s="30"/>
    </row>
    <row r="1285" ht="14.25" customHeight="1">
      <c r="A1285" s="28"/>
      <c r="B1285" s="28"/>
      <c r="C1285" s="79"/>
      <c r="D1285" s="46"/>
      <c r="E1285" s="24"/>
      <c r="F1285" s="28"/>
      <c r="G1285" s="34"/>
      <c r="H1285" s="21"/>
      <c r="I1285" s="24"/>
      <c r="J1285" s="28"/>
      <c r="K1285" s="54"/>
      <c r="L1285" s="21"/>
      <c r="M1285" s="24"/>
      <c r="N1285" s="30"/>
      <c r="O1285" s="30"/>
    </row>
    <row r="1286" ht="14.25" customHeight="1">
      <c r="A1286" s="28"/>
      <c r="B1286" s="13"/>
      <c r="C1286" s="34"/>
      <c r="D1286" s="21"/>
      <c r="E1286" s="34"/>
      <c r="F1286" s="13"/>
      <c r="G1286" s="34"/>
      <c r="H1286" s="28"/>
      <c r="I1286" s="34"/>
      <c r="J1286" s="13"/>
      <c r="K1286" s="24"/>
      <c r="L1286" s="31"/>
      <c r="M1286" s="24"/>
      <c r="N1286" s="30"/>
      <c r="O1286" s="30"/>
    </row>
    <row r="1287" ht="14.25" customHeight="1">
      <c r="A1287" s="28"/>
      <c r="B1287" s="35" t="s">
        <v>25</v>
      </c>
      <c r="C1287" s="55">
        <f>C1282*B1282 + B1283*C1283 + B1284*C1284 + B1285*C1285 + B1286*C1286</f>
        <v>0</v>
      </c>
      <c r="D1287" s="35" t="s">
        <v>25</v>
      </c>
      <c r="E1287" s="55">
        <f>E1282*D1282 + D1283*E1283 + D1284*E1284 + D1285*E1285 + D1286*E1286</f>
        <v>0</v>
      </c>
      <c r="F1287" s="35" t="s">
        <v>25</v>
      </c>
      <c r="G1287" s="55">
        <f>G1282*F1282 + F1283*G1283 + F1284*G1284 + F1285*G1285 + F1286*G1286</f>
        <v>0</v>
      </c>
      <c r="H1287" s="35" t="s">
        <v>25</v>
      </c>
      <c r="I1287" s="56">
        <f>I1282*H1282 + H1283*I1283 + H1284*I1284 + H1285*I1285 + H1286*I1286</f>
        <v>0</v>
      </c>
      <c r="J1287" s="35" t="s">
        <v>25</v>
      </c>
      <c r="K1287" s="36">
        <f>K1282*J1282 + J1283*K1283 + J1284*K1284 + J1285*K1285 + J1286*K1286</f>
        <v>0</v>
      </c>
      <c r="L1287" s="57" t="s">
        <v>25</v>
      </c>
      <c r="M1287" s="58">
        <f>M1282*L1282 + L1283*M1283 + L1284*M1284 + L1285*M1285 + L1286*M1286</f>
        <v>0</v>
      </c>
      <c r="N1287" s="30"/>
      <c r="O1287" s="30"/>
    </row>
    <row r="1288" ht="14.25" customHeight="1">
      <c r="A1288" s="28"/>
      <c r="B1288" s="39" t="s">
        <v>26</v>
      </c>
      <c r="C1288" s="40">
        <f>(B1282*C1282 + B1283*C1283 + B1284*C1284 + B1285*C1285 + B1286*C1286)/SUM(C1282:C1286)</f>
        <v>0</v>
      </c>
      <c r="D1288" s="59" t="s">
        <v>26</v>
      </c>
      <c r="E1288" s="40" t="str">
        <f>(D1282*E1282 + D1283*E1283 + D1284*E1284 + D1285*E1285 + D1286*E1286)/SUM(E1282:E1286)</f>
        <v>#DIV/0!</v>
      </c>
      <c r="F1288" s="31" t="s">
        <v>26</v>
      </c>
      <c r="G1288" s="75" t="str">
        <f>(F1282*G1282 + F1283*G1283 + F1284*G1284 + F1285*G1285 + F1286*G1286)/SUM(G1282:G1286)</f>
        <v>#DIV/0!</v>
      </c>
      <c r="H1288" s="59" t="s">
        <v>26</v>
      </c>
      <c r="I1288" s="40" t="str">
        <f>(H1282*I1282 + H1283*I1283 + H1284*I1284 + H1285*I1285 + H1286*I1286)/SUM(I1282:I1286)</f>
        <v>#DIV/0!</v>
      </c>
      <c r="J1288" s="39" t="s">
        <v>26</v>
      </c>
      <c r="K1288" s="40" t="str">
        <f>(J1282*K1282 + J1283*K1283 + J1284*K1284 + J1285*K1285 + J1286*K1286)/SUM(K1282:K1286)</f>
        <v>#DIV/0!</v>
      </c>
      <c r="L1288" s="59" t="s">
        <v>26</v>
      </c>
      <c r="M1288" s="40" t="str">
        <f>(L1282*M1282 + L1283*M1283 + L1284*M1284 + L1285*M1285 + L1286*M1286)/SUM(M1286)</f>
        <v>#DIV/0!</v>
      </c>
      <c r="N1288" s="30"/>
      <c r="O1288" s="30"/>
    </row>
    <row r="1289" ht="14.25" customHeight="1">
      <c r="A1289" s="28"/>
      <c r="B1289" s="28" t="s">
        <v>91</v>
      </c>
      <c r="C1289" s="30" t="s">
        <v>49</v>
      </c>
      <c r="D1289" s="28" t="s">
        <v>50</v>
      </c>
      <c r="E1289" s="30" t="s">
        <v>49</v>
      </c>
      <c r="F1289" s="120" t="s">
        <v>91</v>
      </c>
      <c r="G1289" s="121" t="s">
        <v>49</v>
      </c>
      <c r="H1289" s="122"/>
      <c r="I1289" s="30"/>
      <c r="J1289" s="28" t="s">
        <v>91</v>
      </c>
      <c r="K1289" s="60" t="s">
        <v>49</v>
      </c>
      <c r="L1289" s="30"/>
      <c r="M1289" s="60" t="s">
        <v>49</v>
      </c>
      <c r="N1289" s="30"/>
      <c r="O1289" s="30"/>
    </row>
    <row r="1290" ht="14.25" customHeight="1">
      <c r="A1290" s="28"/>
      <c r="B1290" s="27">
        <v>30.0</v>
      </c>
      <c r="C1290" s="60"/>
      <c r="D1290" s="27"/>
      <c r="E1290" s="60"/>
      <c r="F1290" s="27">
        <v>20.0</v>
      </c>
      <c r="G1290" s="61"/>
      <c r="H1290" s="30"/>
      <c r="I1290" s="60"/>
      <c r="J1290" s="27"/>
      <c r="K1290" s="60"/>
      <c r="L1290" s="62"/>
      <c r="M1290" s="60"/>
      <c r="N1290" s="30"/>
      <c r="O1290" s="30"/>
    </row>
    <row r="1291" ht="14.25" customHeight="1">
      <c r="A1291" s="28"/>
      <c r="B1291" s="27">
        <v>40.0</v>
      </c>
      <c r="C1291" s="60"/>
      <c r="D1291" s="27"/>
      <c r="E1291" s="60"/>
      <c r="F1291" s="69">
        <v>30.0</v>
      </c>
      <c r="G1291" s="60"/>
      <c r="H1291" s="30"/>
      <c r="I1291" s="60"/>
      <c r="J1291" s="69"/>
      <c r="K1291" s="60"/>
      <c r="L1291" s="30"/>
      <c r="M1291" s="60"/>
      <c r="N1291" s="30"/>
      <c r="O1291" s="30"/>
    </row>
    <row r="1292" ht="14.25" customHeight="1">
      <c r="A1292" s="37"/>
      <c r="B1292" s="28">
        <v>30.0</v>
      </c>
      <c r="C1292" s="60"/>
      <c r="D1292" s="28"/>
      <c r="E1292" s="60"/>
      <c r="F1292" s="1">
        <v>40.0</v>
      </c>
      <c r="G1292" s="60"/>
      <c r="H1292" s="30"/>
      <c r="I1292" s="60"/>
      <c r="J1292" s="1"/>
      <c r="K1292" s="60"/>
      <c r="L1292" s="30"/>
      <c r="M1292" s="60"/>
      <c r="N1292" s="30"/>
      <c r="O1292" s="30"/>
    </row>
    <row r="1293" ht="14.25" customHeight="1">
      <c r="A1293" s="37"/>
      <c r="B1293" s="28"/>
      <c r="C1293" s="1"/>
      <c r="D1293" s="28"/>
      <c r="E1293" s="1"/>
      <c r="F1293" s="28"/>
      <c r="G1293" s="60"/>
      <c r="H1293" s="30"/>
      <c r="I1293" s="30"/>
      <c r="J1293" s="28"/>
      <c r="K1293" s="60"/>
      <c r="L1293" s="30"/>
      <c r="M1293" s="60"/>
      <c r="N1293" s="30"/>
      <c r="O1293" s="30"/>
    </row>
    <row r="1294" ht="14.25" customHeight="1">
      <c r="A1294" s="37"/>
      <c r="B1294" s="28"/>
      <c r="C1294" s="1"/>
      <c r="D1294" s="28"/>
      <c r="E1294" s="1"/>
      <c r="F1294" s="28"/>
      <c r="G1294" s="60"/>
      <c r="H1294" s="30"/>
      <c r="I1294" s="30"/>
      <c r="J1294" s="28"/>
      <c r="K1294" s="60"/>
      <c r="L1294" s="30"/>
      <c r="M1294" s="60"/>
      <c r="N1294" s="30"/>
      <c r="O1294" s="30"/>
    </row>
    <row r="1295" ht="14.25" customHeight="1">
      <c r="A1295" s="37"/>
      <c r="B1295" s="28"/>
      <c r="C1295" s="1"/>
      <c r="D1295" s="28"/>
      <c r="E1295" s="1"/>
      <c r="F1295" s="28"/>
      <c r="G1295" s="60"/>
      <c r="H1295" s="30"/>
      <c r="I1295" s="30"/>
      <c r="J1295" s="37"/>
      <c r="K1295" s="60"/>
      <c r="L1295" s="30"/>
      <c r="M1295" s="60"/>
      <c r="N1295" s="30"/>
      <c r="O1295" s="30"/>
    </row>
    <row r="1296" ht="14.25" customHeight="1">
      <c r="A1296" s="64"/>
      <c r="B1296" s="65"/>
      <c r="C1296" s="66"/>
      <c r="D1296" s="65"/>
      <c r="E1296" s="66"/>
      <c r="F1296" s="64"/>
      <c r="G1296" s="67"/>
      <c r="H1296" s="66"/>
      <c r="I1296" s="66"/>
      <c r="J1296" s="64"/>
      <c r="K1296" s="67"/>
      <c r="L1296" s="66"/>
      <c r="M1296" s="67"/>
      <c r="N1296" s="30"/>
      <c r="O1296" s="30"/>
    </row>
    <row r="1297" ht="14.25" customHeight="1">
      <c r="A1297" s="30"/>
      <c r="B1297" s="1"/>
      <c r="C1297" s="30"/>
      <c r="D1297" s="1"/>
      <c r="E1297" s="30"/>
      <c r="F1297" s="30"/>
      <c r="G1297" s="30"/>
      <c r="H1297" s="30"/>
      <c r="I1297" s="30"/>
      <c r="J1297" s="30"/>
      <c r="K1297" s="30"/>
      <c r="L1297" s="30"/>
      <c r="M1297" s="30"/>
      <c r="N1297" s="30"/>
      <c r="O1297" s="30"/>
    </row>
    <row r="1298" ht="14.25" customHeight="1">
      <c r="A1298" s="2" t="s">
        <v>2</v>
      </c>
      <c r="B1298" s="3" t="s">
        <v>3</v>
      </c>
      <c r="C1298" s="4">
        <f>M1261+2</f>
        <v>45600</v>
      </c>
      <c r="D1298" s="5" t="s">
        <v>4</v>
      </c>
      <c r="E1298" s="6">
        <f>C1298+1</f>
        <v>45601</v>
      </c>
      <c r="F1298" s="3" t="s">
        <v>5</v>
      </c>
      <c r="G1298" s="6">
        <f>E1298+1</f>
        <v>45602</v>
      </c>
      <c r="H1298" s="3" t="s">
        <v>6</v>
      </c>
      <c r="I1298" s="6">
        <f>G1298+1</f>
        <v>45603</v>
      </c>
      <c r="J1298" s="3" t="s">
        <v>7</v>
      </c>
      <c r="K1298" s="6">
        <f>I1298+1</f>
        <v>45604</v>
      </c>
      <c r="L1298" s="7" t="s">
        <v>8</v>
      </c>
      <c r="M1298" s="8">
        <f>K1298+1</f>
        <v>45605</v>
      </c>
      <c r="N1298" s="30"/>
      <c r="O1298" s="30"/>
    </row>
    <row r="1299" ht="14.25" customHeight="1">
      <c r="A1299" s="10">
        <f>A1262+1</f>
        <v>36</v>
      </c>
      <c r="B1299" s="11" t="s">
        <v>10</v>
      </c>
      <c r="C1299" s="12" t="s">
        <v>11</v>
      </c>
      <c r="D1299" s="11" t="s">
        <v>10</v>
      </c>
      <c r="E1299" s="12" t="s">
        <v>11</v>
      </c>
      <c r="F1299" s="11" t="s">
        <v>10</v>
      </c>
      <c r="G1299" s="12" t="s">
        <v>11</v>
      </c>
      <c r="H1299" s="11" t="s">
        <v>10</v>
      </c>
      <c r="I1299" s="12" t="s">
        <v>11</v>
      </c>
      <c r="J1299" s="11" t="s">
        <v>10</v>
      </c>
      <c r="K1299" s="12" t="s">
        <v>11</v>
      </c>
      <c r="L1299" s="11" t="s">
        <v>10</v>
      </c>
      <c r="M1299" s="12" t="s">
        <v>11</v>
      </c>
      <c r="N1299" s="30"/>
      <c r="O1299" s="30"/>
    </row>
    <row r="1300" ht="14.25" customHeight="1">
      <c r="A1300" s="13" t="s">
        <v>12</v>
      </c>
      <c r="B1300" s="20" t="s">
        <v>307</v>
      </c>
      <c r="C1300" s="17"/>
      <c r="D1300" s="45" t="s">
        <v>290</v>
      </c>
      <c r="E1300" s="17"/>
      <c r="F1300" s="20" t="s">
        <v>143</v>
      </c>
      <c r="G1300" s="17"/>
      <c r="H1300" s="70" t="s">
        <v>292</v>
      </c>
      <c r="I1300" s="17"/>
      <c r="J1300" s="20" t="s">
        <v>143</v>
      </c>
      <c r="K1300" s="17"/>
      <c r="L1300" s="20" t="s">
        <v>250</v>
      </c>
      <c r="M1300" s="17"/>
      <c r="N1300" s="30"/>
      <c r="O1300" s="30"/>
    </row>
    <row r="1301" ht="14.25" customHeight="1">
      <c r="A1301" s="13"/>
      <c r="B1301" s="46"/>
      <c r="C1301" s="48"/>
      <c r="D1301" s="1" t="s">
        <v>293</v>
      </c>
      <c r="E1301" s="54" t="s">
        <v>294</v>
      </c>
      <c r="F1301" s="46">
        <v>80.0</v>
      </c>
      <c r="G1301" s="48">
        <v>4.0</v>
      </c>
      <c r="H1301" s="27" t="s">
        <v>295</v>
      </c>
      <c r="I1301" s="26"/>
      <c r="J1301" s="46">
        <v>90.0</v>
      </c>
      <c r="K1301" s="48">
        <v>4.0</v>
      </c>
      <c r="L1301" s="27" t="s">
        <v>303</v>
      </c>
      <c r="M1301" s="24"/>
      <c r="N1301" s="30"/>
      <c r="O1301" s="30"/>
    </row>
    <row r="1302" ht="14.25" customHeight="1">
      <c r="A1302" s="28" t="s">
        <v>20</v>
      </c>
      <c r="B1302" s="46"/>
      <c r="C1302" s="48"/>
      <c r="D1302" s="1" t="s">
        <v>210</v>
      </c>
      <c r="E1302" s="54" t="s">
        <v>296</v>
      </c>
      <c r="F1302" s="46">
        <v>90.0</v>
      </c>
      <c r="G1302" s="48">
        <v>3.0</v>
      </c>
      <c r="H1302" s="28" t="s">
        <v>210</v>
      </c>
      <c r="I1302" s="54"/>
      <c r="J1302" s="46">
        <v>95.0</v>
      </c>
      <c r="K1302" s="48">
        <v>3.0</v>
      </c>
      <c r="L1302" s="28"/>
      <c r="M1302" s="24"/>
      <c r="N1302" s="30"/>
      <c r="O1302" s="30"/>
    </row>
    <row r="1303" ht="14.25" customHeight="1">
      <c r="A1303" s="29" t="s">
        <v>22</v>
      </c>
      <c r="B1303" s="46"/>
      <c r="C1303" s="48"/>
      <c r="D1303" s="1" t="s">
        <v>297</v>
      </c>
      <c r="E1303" s="26"/>
      <c r="F1303" s="46">
        <v>100.0</v>
      </c>
      <c r="G1303" s="48">
        <v>2.0</v>
      </c>
      <c r="H1303" s="28" t="s">
        <v>298</v>
      </c>
      <c r="I1303" s="26"/>
      <c r="J1303" s="46">
        <v>100.0</v>
      </c>
      <c r="K1303" s="48">
        <v>2.0</v>
      </c>
      <c r="L1303" s="23"/>
      <c r="M1303" s="24"/>
      <c r="N1303" s="30"/>
      <c r="O1303" s="30"/>
    </row>
    <row r="1304" ht="14.25" customHeight="1">
      <c r="A1304" s="28" t="s">
        <v>23</v>
      </c>
      <c r="B1304" s="46"/>
      <c r="C1304" s="48"/>
      <c r="D1304" s="1" t="s">
        <v>299</v>
      </c>
      <c r="E1304" s="26"/>
      <c r="F1304" s="46"/>
      <c r="G1304" s="48"/>
      <c r="H1304" s="1"/>
      <c r="I1304" s="24"/>
      <c r="J1304" s="46"/>
      <c r="K1304" s="48"/>
      <c r="L1304" s="32"/>
      <c r="M1304" s="26"/>
      <c r="N1304" s="30"/>
      <c r="O1304" s="30"/>
    </row>
    <row r="1305" ht="14.25" customHeight="1">
      <c r="A1305" s="13"/>
      <c r="B1305" s="13"/>
      <c r="C1305" s="24"/>
      <c r="D1305" s="33"/>
      <c r="E1305" s="26"/>
      <c r="F1305" s="13"/>
      <c r="G1305" s="24"/>
      <c r="H1305" s="13"/>
      <c r="I1305" s="34"/>
      <c r="J1305" s="13"/>
      <c r="K1305" s="24"/>
      <c r="L1305" s="13"/>
      <c r="M1305" s="24"/>
      <c r="N1305" s="30"/>
      <c r="O1305" s="30"/>
    </row>
    <row r="1306" ht="14.25" customHeight="1">
      <c r="A1306" s="28" t="s">
        <v>24</v>
      </c>
      <c r="B1306" s="35" t="s">
        <v>25</v>
      </c>
      <c r="C1306" s="58">
        <f>C1301*B1301 + B1302*C1302 + B1303*C1303 + B1304*C1304 + B1305*C1305</f>
        <v>0</v>
      </c>
      <c r="D1306" s="57" t="s">
        <v>25</v>
      </c>
      <c r="E1306" s="55" t="str">
        <f>E1301*D1301 + D1302*#REF! + E1302*E1303 + D1304*E1304 + D1305*E1305</f>
        <v>#VALUE!</v>
      </c>
      <c r="F1306" s="35" t="s">
        <v>25</v>
      </c>
      <c r="G1306" s="58">
        <f>G1301*F1301 + F1302*G1302 + F1303*G1303 + F1304*G1304 + F1305*G1305</f>
        <v>790</v>
      </c>
      <c r="H1306" s="35" t="s">
        <v>25</v>
      </c>
      <c r="I1306" s="56" t="str">
        <f>I1301*H1301 + H1302*I1302 + H1303*I1303 + H1304*I1304 + H1305*I1305</f>
        <v>#VALUE!</v>
      </c>
      <c r="J1306" s="35" t="s">
        <v>25</v>
      </c>
      <c r="K1306" s="58">
        <f>K1301*J1301 + J1302*K1302 + J1303*K1303 + J1304*K1304 + J1305*K1305</f>
        <v>845</v>
      </c>
      <c r="L1306" s="35" t="s">
        <v>25</v>
      </c>
      <c r="M1306" s="36" t="str">
        <f>M1301*L1301 + L1302*M1302 + L1303*M1303 + L1304*M1304 + L1305*M1305</f>
        <v>#VALUE!</v>
      </c>
      <c r="N1306" s="30"/>
      <c r="O1306" s="30"/>
    </row>
    <row r="1307" ht="14.25" customHeight="1">
      <c r="A1307" s="37"/>
      <c r="B1307" s="39" t="s">
        <v>26</v>
      </c>
      <c r="C1307" s="116" t="str">
        <f>(B1301*C1301 + B1302*C1302 + B1303*C1303 + B1304*C1304 + B1305*C1305)/SUM(C1301:C1305)</f>
        <v>#DIV/0!</v>
      </c>
      <c r="D1307" s="31" t="s">
        <v>26</v>
      </c>
      <c r="E1307" s="74" t="str">
        <f>(D1301*E1301 + D1302*#REF! + E1302*E1303 + D1304*E1304 + D1305*E1305)/SUM(E1301:E1305)</f>
        <v>#VALUE!</v>
      </c>
      <c r="F1307" s="39" t="s">
        <v>26</v>
      </c>
      <c r="G1307" s="128">
        <f>(F1301*G1301 + F1302*G1302 + F1303*G1303 + F1304*G1304 + F1305*G1305)/SUM(G1301:G1305)</f>
        <v>87.77777778</v>
      </c>
      <c r="H1307" s="13" t="s">
        <v>26</v>
      </c>
      <c r="I1307" s="74" t="str">
        <f>(H1301*I1301 + H1302*I1302 + H1303*I1303 + H1304*I1304 + H1305*I1305)/SUM(I1301:I1305)</f>
        <v>#VALUE!</v>
      </c>
      <c r="J1307" s="39" t="s">
        <v>26</v>
      </c>
      <c r="K1307" s="116">
        <f>(J1301*K1301 + J1302*K1302 + J1303*K1303 + J1304*K1304 + J1305*K1305)/SUM(K1301:K1305)</f>
        <v>93.88888889</v>
      </c>
      <c r="L1307" s="13" t="s">
        <v>26</v>
      </c>
      <c r="M1307" s="75" t="str">
        <f>(L1301*M1301 + L1302*M1302 + L1303*M1303 + L1304*M1304 + L1305*M1305)/SUM(M1301:M1305)</f>
        <v>#VALUE!</v>
      </c>
      <c r="N1307" s="30"/>
      <c r="O1307" s="30"/>
    </row>
    <row r="1308" ht="14.25" customHeight="1">
      <c r="A1308" s="28" t="s">
        <v>27</v>
      </c>
      <c r="B1308" s="11" t="s">
        <v>10</v>
      </c>
      <c r="C1308" s="12" t="s">
        <v>11</v>
      </c>
      <c r="D1308" s="11" t="s">
        <v>10</v>
      </c>
      <c r="E1308" s="12" t="s">
        <v>11</v>
      </c>
      <c r="F1308" s="11" t="s">
        <v>10</v>
      </c>
      <c r="G1308" s="12" t="s">
        <v>11</v>
      </c>
      <c r="H1308" s="11" t="s">
        <v>10</v>
      </c>
      <c r="I1308" s="12" t="s">
        <v>11</v>
      </c>
      <c r="J1308" s="11" t="s">
        <v>10</v>
      </c>
      <c r="K1308" s="12" t="s">
        <v>11</v>
      </c>
      <c r="L1308" s="11" t="s">
        <v>10</v>
      </c>
      <c r="M1308" s="12" t="s">
        <v>11</v>
      </c>
      <c r="N1308" s="30"/>
      <c r="O1308" s="30"/>
    </row>
    <row r="1309" ht="14.25" customHeight="1">
      <c r="A1309" s="41" t="s">
        <v>28</v>
      </c>
      <c r="B1309" s="20" t="s">
        <v>304</v>
      </c>
      <c r="C1309" s="17"/>
      <c r="D1309" s="45" t="s">
        <v>91</v>
      </c>
      <c r="E1309" s="76" t="s">
        <v>49</v>
      </c>
      <c r="F1309" s="20" t="s">
        <v>304</v>
      </c>
      <c r="G1309" s="17"/>
      <c r="H1309" s="45" t="s">
        <v>91</v>
      </c>
      <c r="I1309" s="44"/>
      <c r="J1309" s="20" t="s">
        <v>304</v>
      </c>
      <c r="K1309" s="17"/>
      <c r="L1309" s="42"/>
      <c r="M1309" s="44"/>
      <c r="N1309" s="30"/>
      <c r="O1309" s="30"/>
    </row>
    <row r="1310" ht="14.25" customHeight="1">
      <c r="A1310" s="28"/>
      <c r="B1310" s="46"/>
      <c r="C1310" s="48"/>
      <c r="D1310" s="46"/>
      <c r="E1310" s="26"/>
      <c r="F1310" s="46">
        <v>200.0</v>
      </c>
      <c r="G1310" s="48">
        <v>5.0</v>
      </c>
      <c r="H1310" s="46">
        <v>20.0</v>
      </c>
      <c r="I1310" s="24"/>
      <c r="J1310" s="46">
        <v>205.0</v>
      </c>
      <c r="K1310" s="48">
        <v>5.0</v>
      </c>
      <c r="L1310" s="46"/>
      <c r="M1310" s="26"/>
      <c r="N1310" s="30"/>
      <c r="O1310" s="30"/>
    </row>
    <row r="1311" ht="14.25" customHeight="1">
      <c r="A1311" s="28" t="s">
        <v>37</v>
      </c>
      <c r="B1311" s="46"/>
      <c r="C1311" s="48"/>
      <c r="D1311" s="46"/>
      <c r="E1311" s="26"/>
      <c r="F1311" s="46">
        <v>205.0</v>
      </c>
      <c r="G1311" s="48">
        <v>4.0</v>
      </c>
      <c r="H1311" s="46">
        <v>40.0</v>
      </c>
      <c r="I1311" s="54"/>
      <c r="J1311" s="46">
        <v>210.0</v>
      </c>
      <c r="K1311" s="48">
        <v>4.0</v>
      </c>
      <c r="L1311" s="46"/>
      <c r="M1311" s="26"/>
      <c r="N1311" s="30"/>
      <c r="O1311" s="30"/>
    </row>
    <row r="1312" ht="14.25" customHeight="1">
      <c r="A1312" s="28" t="s">
        <v>39</v>
      </c>
      <c r="B1312" s="46"/>
      <c r="C1312" s="48"/>
      <c r="D1312" s="46"/>
      <c r="E1312" s="54"/>
      <c r="F1312" s="46">
        <v>210.0</v>
      </c>
      <c r="G1312" s="48">
        <v>4.0</v>
      </c>
      <c r="H1312" s="46">
        <v>60.0</v>
      </c>
      <c r="I1312" s="24"/>
      <c r="J1312" s="46">
        <v>215.0</v>
      </c>
      <c r="K1312" s="48">
        <v>4.0</v>
      </c>
      <c r="L1312" s="46"/>
      <c r="M1312" s="26"/>
      <c r="N1312" s="30"/>
      <c r="O1312" s="30"/>
    </row>
    <row r="1313" ht="14.25" customHeight="1">
      <c r="A1313" s="28"/>
      <c r="B1313" s="46"/>
      <c r="C1313" s="48"/>
      <c r="D1313" s="46"/>
      <c r="E1313" s="54"/>
      <c r="F1313" s="46"/>
      <c r="G1313" s="48"/>
      <c r="H1313" s="46">
        <v>40.0</v>
      </c>
      <c r="I1313" s="24"/>
      <c r="J1313" s="46"/>
      <c r="K1313" s="48"/>
      <c r="L1313" s="46"/>
      <c r="M1313" s="26"/>
      <c r="N1313" s="30"/>
      <c r="O1313" s="30"/>
    </row>
    <row r="1314" ht="14.25" customHeight="1">
      <c r="A1314" s="28" t="s">
        <v>41</v>
      </c>
      <c r="B1314" s="13"/>
      <c r="C1314" s="24"/>
      <c r="D1314" s="32"/>
      <c r="E1314" s="24"/>
      <c r="F1314" s="13"/>
      <c r="G1314" s="24"/>
      <c r="H1314" s="28"/>
      <c r="I1314" s="24"/>
      <c r="J1314" s="31"/>
      <c r="K1314" s="24"/>
      <c r="L1314" s="32"/>
      <c r="M1314" s="24"/>
      <c r="N1314" s="30"/>
      <c r="O1314" s="30"/>
    </row>
    <row r="1315" ht="14.25" customHeight="1">
      <c r="A1315" s="28" t="s">
        <v>43</v>
      </c>
      <c r="B1315" s="13"/>
      <c r="C1315" s="34"/>
      <c r="D1315" s="32"/>
      <c r="E1315" s="26"/>
      <c r="F1315" s="13"/>
      <c r="G1315" s="34"/>
      <c r="H1315" s="28"/>
      <c r="I1315" s="24"/>
      <c r="J1315" s="13"/>
      <c r="K1315" s="24"/>
      <c r="L1315" s="32"/>
      <c r="M1315" s="26"/>
      <c r="N1315" s="30"/>
      <c r="O1315" s="30"/>
    </row>
    <row r="1316" ht="14.25" customHeight="1">
      <c r="A1316" s="28"/>
      <c r="B1316" s="35" t="s">
        <v>25</v>
      </c>
      <c r="C1316" s="55">
        <f>C1310*B1310 + B1311*C1311 + B1312*C1312 + B1313*C1313 + B1315*C1315</f>
        <v>0</v>
      </c>
      <c r="D1316" s="35" t="s">
        <v>25</v>
      </c>
      <c r="E1316" s="36">
        <f>E1310*D1310 + D1311*E1311 + D1312*E1312 + D1313*E1313 + D1315*E1315</f>
        <v>0</v>
      </c>
      <c r="F1316" s="35" t="s">
        <v>25</v>
      </c>
      <c r="G1316" s="55">
        <f>G1310*F1310 + F1311*G1311 + F1312*G1312 + F1313*G1313 + F1315*G1315</f>
        <v>2660</v>
      </c>
      <c r="H1316" s="35" t="s">
        <v>25</v>
      </c>
      <c r="I1316" s="36">
        <f>I1310*H1310 + H1311*I1311 + H1312*I1312 + H1313*I1313 + H1315*I1315</f>
        <v>0</v>
      </c>
      <c r="J1316" s="35" t="s">
        <v>25</v>
      </c>
      <c r="K1316" s="36">
        <f>K1310*J1310 + J1311*K1311 + J1312*K1312 + J1313*K1313 + J1315*K1315</f>
        <v>2725</v>
      </c>
      <c r="L1316" s="35" t="s">
        <v>25</v>
      </c>
      <c r="M1316" s="36">
        <f>M1310*L1310 + L1311*M1311 + L1312*M1312 + L1313*M1313 + L1315*M1315</f>
        <v>0</v>
      </c>
      <c r="N1316" s="30"/>
      <c r="O1316" s="30"/>
    </row>
    <row r="1317" ht="14.25" customHeight="1">
      <c r="A1317" s="28" t="s">
        <v>116</v>
      </c>
      <c r="B1317" s="39" t="s">
        <v>26</v>
      </c>
      <c r="C1317" s="77" t="str">
        <f>(B1310*C1310 + B1311*C1311 + B1312*C1312 + B1313*C1313 + B1315*C1315)/SUM(C1310:C1315)</f>
        <v>#DIV/0!</v>
      </c>
      <c r="D1317" s="39" t="s">
        <v>26</v>
      </c>
      <c r="E1317" s="40" t="str">
        <f>(D1310*E1310 + D1311*E1311 + D1312*E1312 + D1313*E1313 + D1315*E1315)/SUM(E1310:E1315)</f>
        <v>#DIV/0!</v>
      </c>
      <c r="F1317" s="39" t="s">
        <v>26</v>
      </c>
      <c r="G1317" s="77">
        <f>(F1310*G1310 + F1311*G1311 + F1312*G1312 + F1313*G1313 + F1315*G1315)/SUM(G1310:G1315)</f>
        <v>204.6153846</v>
      </c>
      <c r="H1317" s="39" t="s">
        <v>26</v>
      </c>
      <c r="I1317" s="40" t="str">
        <f>(H1310*I1310 + H1311*I1311 + H1312*I1312 + H1313*I1313 + H1315*I1315)/SUM(I1310:I1315)</f>
        <v>#DIV/0!</v>
      </c>
      <c r="J1317" s="39" t="s">
        <v>26</v>
      </c>
      <c r="K1317" s="40">
        <f>(J1310*K1310 + J1311*K1311 + J1312*K1312 + J1313*K1313 + J1315*K1315)/SUM(K1310:K1315)</f>
        <v>209.6153846</v>
      </c>
      <c r="L1317" s="39" t="s">
        <v>26</v>
      </c>
      <c r="M1317" s="40" t="str">
        <f>(L1310*M1310 + L1311*M1311 + L1312*M1312 + L1313*M1313 + L1315*M1315)/SUM(M1310:M1315)</f>
        <v>#DIV/0!</v>
      </c>
      <c r="N1317" s="30"/>
      <c r="O1317" s="30"/>
    </row>
    <row r="1318" ht="14.25" customHeight="1">
      <c r="A1318" s="28" t="s">
        <v>117</v>
      </c>
      <c r="B1318" s="70" t="s">
        <v>302</v>
      </c>
      <c r="C1318" s="17"/>
      <c r="D1318" s="113" t="s">
        <v>105</v>
      </c>
      <c r="E1318" s="50" t="s">
        <v>49</v>
      </c>
      <c r="F1318" s="70" t="s">
        <v>302</v>
      </c>
      <c r="G1318" s="17"/>
      <c r="H1318" s="45" t="s">
        <v>290</v>
      </c>
      <c r="I1318" s="17"/>
      <c r="J1318" s="70"/>
      <c r="K1318" s="17"/>
      <c r="L1318" s="49"/>
      <c r="M1318" s="50" t="s">
        <v>49</v>
      </c>
      <c r="N1318" s="30"/>
      <c r="O1318" s="30"/>
    </row>
    <row r="1319" ht="14.25" customHeight="1">
      <c r="A1319" s="28" t="s">
        <v>120</v>
      </c>
      <c r="B1319" s="28"/>
      <c r="C1319" s="54">
        <v>5.0</v>
      </c>
      <c r="D1319" s="46"/>
      <c r="E1319" s="24"/>
      <c r="F1319" s="28"/>
      <c r="G1319" s="54">
        <v>5.0</v>
      </c>
      <c r="H1319" s="1" t="s">
        <v>293</v>
      </c>
      <c r="I1319" s="54" t="s">
        <v>294</v>
      </c>
      <c r="J1319" s="28"/>
      <c r="K1319" s="54"/>
      <c r="L1319" s="21"/>
      <c r="M1319" s="24"/>
      <c r="N1319" s="30"/>
      <c r="O1319" s="30"/>
    </row>
    <row r="1320" ht="14.25" customHeight="1">
      <c r="A1320" s="28"/>
      <c r="B1320" s="27"/>
      <c r="C1320" s="54">
        <v>5.0</v>
      </c>
      <c r="D1320" s="46"/>
      <c r="E1320" s="54"/>
      <c r="F1320" s="27"/>
      <c r="G1320" s="54">
        <v>5.0</v>
      </c>
      <c r="H1320" s="1" t="s">
        <v>210</v>
      </c>
      <c r="I1320" s="54" t="s">
        <v>296</v>
      </c>
      <c r="J1320" s="27"/>
      <c r="K1320" s="54"/>
      <c r="L1320" s="21"/>
      <c r="M1320" s="26"/>
      <c r="N1320" s="30"/>
      <c r="O1320" s="30"/>
    </row>
    <row r="1321" ht="14.25" customHeight="1">
      <c r="A1321" s="28"/>
      <c r="B1321" s="27"/>
      <c r="C1321" s="54">
        <v>5.0</v>
      </c>
      <c r="D1321" s="46"/>
      <c r="E1321" s="24"/>
      <c r="F1321" s="27"/>
      <c r="G1321" s="54">
        <v>5.0</v>
      </c>
      <c r="H1321" s="1" t="s">
        <v>297</v>
      </c>
      <c r="I1321" s="26"/>
      <c r="J1321" s="27"/>
      <c r="K1321" s="54"/>
      <c r="L1321" s="46"/>
      <c r="M1321" s="24"/>
      <c r="N1321" s="30"/>
      <c r="O1321" s="30"/>
    </row>
    <row r="1322" ht="14.25" customHeight="1">
      <c r="A1322" s="28"/>
      <c r="B1322" s="28"/>
      <c r="C1322" s="79"/>
      <c r="D1322" s="46"/>
      <c r="E1322" s="24"/>
      <c r="F1322" s="28"/>
      <c r="G1322" s="54"/>
      <c r="H1322" s="1" t="s">
        <v>299</v>
      </c>
      <c r="I1322" s="26"/>
      <c r="J1322" s="28"/>
      <c r="K1322" s="54"/>
      <c r="L1322" s="21"/>
      <c r="M1322" s="24"/>
      <c r="N1322" s="30"/>
      <c r="O1322" s="30"/>
    </row>
    <row r="1323" ht="14.25" customHeight="1">
      <c r="A1323" s="28"/>
      <c r="B1323" s="13"/>
      <c r="C1323" s="34"/>
      <c r="D1323" s="21"/>
      <c r="E1323" s="34"/>
      <c r="F1323" s="13"/>
      <c r="G1323" s="24"/>
      <c r="H1323" s="28"/>
      <c r="I1323" s="34"/>
      <c r="J1323" s="13"/>
      <c r="K1323" s="24"/>
      <c r="L1323" s="31"/>
      <c r="M1323" s="24"/>
      <c r="N1323" s="30"/>
      <c r="O1323" s="30"/>
    </row>
    <row r="1324" ht="14.25" customHeight="1">
      <c r="A1324" s="28"/>
      <c r="B1324" s="35" t="s">
        <v>25</v>
      </c>
      <c r="C1324" s="55">
        <f>C1319*B1319 + B1320*C1320 + B1321*C1321 + B1322*C1322 + B1323*C1323</f>
        <v>0</v>
      </c>
      <c r="D1324" s="35" t="s">
        <v>25</v>
      </c>
      <c r="E1324" s="55">
        <f>E1319*D1319 + D1320*E1320 + D1321*E1321 + D1322*E1322 + D1323*E1323</f>
        <v>0</v>
      </c>
      <c r="F1324" s="35" t="s">
        <v>25</v>
      </c>
      <c r="G1324" s="55">
        <f>G1319*F1319 + F1320*G1320 + F1321*G1321 + F1322*G1322 + F1323*G1323</f>
        <v>0</v>
      </c>
      <c r="H1324" s="35" t="s">
        <v>25</v>
      </c>
      <c r="I1324" s="56" t="str">
        <f>I1319*H1319 + H1320*I1320 + H1321*I1321 + H1322*I1322 + H1323*I1323</f>
        <v>#VALUE!</v>
      </c>
      <c r="J1324" s="35" t="s">
        <v>25</v>
      </c>
      <c r="K1324" s="36">
        <f>K1319*J1319 + J1320*K1320 + J1321*K1321 + J1322*K1322 + J1323*K1323</f>
        <v>0</v>
      </c>
      <c r="L1324" s="57" t="s">
        <v>25</v>
      </c>
      <c r="M1324" s="58">
        <f>M1319*L1319 + L1320*M1320 + L1321*M1321 + L1322*M1322 + L1323*M1323</f>
        <v>0</v>
      </c>
      <c r="N1324" s="30"/>
      <c r="O1324" s="30"/>
    </row>
    <row r="1325" ht="14.25" customHeight="1">
      <c r="A1325" s="28"/>
      <c r="B1325" s="39" t="s">
        <v>26</v>
      </c>
      <c r="C1325" s="40">
        <f>(B1319*C1319 + B1320*C1320 + B1321*C1321 + B1322*C1322 + B1323*C1323)/SUM(C1319:C1323)</f>
        <v>0</v>
      </c>
      <c r="D1325" s="59" t="s">
        <v>26</v>
      </c>
      <c r="E1325" s="40" t="str">
        <f>(D1319*E1319 + D1320*E1320 + D1321*E1321 + D1322*E1322 + D1323*E1323)/SUM(E1319:E1323)</f>
        <v>#DIV/0!</v>
      </c>
      <c r="F1325" s="39" t="s">
        <v>26</v>
      </c>
      <c r="G1325" s="40">
        <f>(F1319*G1319 + F1320*G1320 + F1321*G1321 + F1322*G1322 + F1323*G1323)/SUM(G1319:G1323)</f>
        <v>0</v>
      </c>
      <c r="H1325" s="59" t="s">
        <v>26</v>
      </c>
      <c r="I1325" s="40" t="str">
        <f>(H1319*I1319 + H1320*I1320 + H1321*I1321 + H1322*I1322 + H1323*I1323)/SUM(I1319:I1323)</f>
        <v>#VALUE!</v>
      </c>
      <c r="J1325" s="39" t="s">
        <v>26</v>
      </c>
      <c r="K1325" s="40" t="str">
        <f>(J1319*K1319 + J1320*K1320 + J1321*K1321 + J1322*K1322 + J1323*K1323)/SUM(K1319:K1323)</f>
        <v>#DIV/0!</v>
      </c>
      <c r="L1325" s="59" t="s">
        <v>26</v>
      </c>
      <c r="M1325" s="40" t="str">
        <f>(L1319*M1319 + L1320*M1320 + L1321*M1321 + L1322*M1322 + L1323*M1323)/SUM(M1323)</f>
        <v>#DIV/0!</v>
      </c>
      <c r="N1325" s="30"/>
      <c r="O1325" s="30"/>
    </row>
    <row r="1326" ht="14.25" customHeight="1">
      <c r="A1326" s="28"/>
      <c r="B1326" s="28" t="s">
        <v>91</v>
      </c>
      <c r="C1326" s="30" t="s">
        <v>49</v>
      </c>
      <c r="D1326" s="28" t="s">
        <v>50</v>
      </c>
      <c r="E1326" s="30" t="s">
        <v>49</v>
      </c>
      <c r="F1326" s="28" t="s">
        <v>91</v>
      </c>
      <c r="G1326" s="60" t="s">
        <v>49</v>
      </c>
      <c r="H1326" s="122"/>
      <c r="I1326" s="30"/>
      <c r="J1326" s="28" t="s">
        <v>91</v>
      </c>
      <c r="K1326" s="60" t="s">
        <v>49</v>
      </c>
      <c r="L1326" s="30"/>
      <c r="M1326" s="60" t="s">
        <v>49</v>
      </c>
      <c r="N1326" s="30"/>
      <c r="O1326" s="30"/>
    </row>
    <row r="1327" ht="14.25" customHeight="1">
      <c r="A1327" s="28"/>
      <c r="B1327" s="27"/>
      <c r="C1327" s="60"/>
      <c r="D1327" s="27"/>
      <c r="E1327" s="60"/>
      <c r="F1327" s="27">
        <v>30.0</v>
      </c>
      <c r="G1327" s="60"/>
      <c r="H1327" s="30"/>
      <c r="I1327" s="60"/>
      <c r="J1327" s="27"/>
      <c r="K1327" s="60"/>
      <c r="L1327" s="62"/>
      <c r="M1327" s="60"/>
      <c r="N1327" s="30"/>
      <c r="O1327" s="30"/>
    </row>
    <row r="1328" ht="14.25" customHeight="1">
      <c r="A1328" s="28"/>
      <c r="B1328" s="27"/>
      <c r="C1328" s="60"/>
      <c r="D1328" s="27"/>
      <c r="E1328" s="60"/>
      <c r="F1328" s="27">
        <v>40.0</v>
      </c>
      <c r="G1328" s="60"/>
      <c r="H1328" s="30"/>
      <c r="I1328" s="60"/>
      <c r="J1328" s="69"/>
      <c r="K1328" s="60"/>
      <c r="L1328" s="30"/>
      <c r="M1328" s="60"/>
      <c r="N1328" s="30"/>
      <c r="O1328" s="30"/>
    </row>
    <row r="1329" ht="14.25" customHeight="1">
      <c r="A1329" s="37"/>
      <c r="B1329" s="28"/>
      <c r="C1329" s="60"/>
      <c r="D1329" s="28"/>
      <c r="E1329" s="60"/>
      <c r="F1329" s="28">
        <v>30.0</v>
      </c>
      <c r="G1329" s="60"/>
      <c r="H1329" s="30"/>
      <c r="I1329" s="60"/>
      <c r="J1329" s="1"/>
      <c r="K1329" s="60"/>
      <c r="L1329" s="30"/>
      <c r="M1329" s="60"/>
      <c r="N1329" s="30"/>
      <c r="O1329" s="30"/>
    </row>
    <row r="1330" ht="14.25" customHeight="1">
      <c r="A1330" s="37"/>
      <c r="B1330" s="28"/>
      <c r="C1330" s="1"/>
      <c r="D1330" s="28"/>
      <c r="E1330" s="1"/>
      <c r="F1330" s="28">
        <v>60.0</v>
      </c>
      <c r="G1330" s="63"/>
      <c r="H1330" s="30"/>
      <c r="I1330" s="30"/>
      <c r="J1330" s="28"/>
      <c r="K1330" s="60"/>
      <c r="L1330" s="30"/>
      <c r="M1330" s="60"/>
      <c r="N1330" s="30"/>
      <c r="O1330" s="30"/>
    </row>
    <row r="1331" ht="14.25" customHeight="1">
      <c r="A1331" s="37"/>
      <c r="B1331" s="28"/>
      <c r="C1331" s="1"/>
      <c r="D1331" s="28"/>
      <c r="E1331" s="1"/>
      <c r="F1331" s="28"/>
      <c r="G1331" s="60"/>
      <c r="H1331" s="30"/>
      <c r="I1331" s="30"/>
      <c r="J1331" s="28"/>
      <c r="K1331" s="60"/>
      <c r="L1331" s="30"/>
      <c r="M1331" s="60"/>
      <c r="N1331" s="30"/>
      <c r="O1331" s="30"/>
    </row>
    <row r="1332" ht="14.25" customHeight="1">
      <c r="A1332" s="37"/>
      <c r="B1332" s="28"/>
      <c r="C1332" s="1"/>
      <c r="D1332" s="28"/>
      <c r="E1332" s="1"/>
      <c r="F1332" s="28"/>
      <c r="G1332" s="60"/>
      <c r="H1332" s="30"/>
      <c r="I1332" s="30"/>
      <c r="J1332" s="37"/>
      <c r="K1332" s="60"/>
      <c r="L1332" s="30"/>
      <c r="M1332" s="60"/>
      <c r="N1332" s="30"/>
      <c r="O1332" s="30"/>
    </row>
    <row r="1333" ht="14.25" customHeight="1">
      <c r="A1333" s="64"/>
      <c r="B1333" s="65"/>
      <c r="C1333" s="66"/>
      <c r="D1333" s="65"/>
      <c r="E1333" s="66"/>
      <c r="F1333" s="64"/>
      <c r="G1333" s="67"/>
      <c r="H1333" s="66"/>
      <c r="I1333" s="66"/>
      <c r="J1333" s="64"/>
      <c r="K1333" s="67"/>
      <c r="L1333" s="66"/>
      <c r="M1333" s="67"/>
      <c r="N1333" s="30"/>
      <c r="O1333" s="30"/>
    </row>
    <row r="1334" ht="14.25" customHeight="1">
      <c r="A1334" s="30"/>
      <c r="B1334" s="1"/>
      <c r="C1334" s="30"/>
      <c r="D1334" s="1"/>
      <c r="E1334" s="30"/>
      <c r="F1334" s="30"/>
      <c r="G1334" s="30"/>
      <c r="H1334" s="30"/>
      <c r="I1334" s="30"/>
      <c r="J1334" s="30"/>
      <c r="K1334" s="30"/>
      <c r="L1334" s="30"/>
      <c r="M1334" s="30"/>
      <c r="N1334" s="30"/>
      <c r="O1334" s="30"/>
    </row>
    <row r="1335" ht="14.25" customHeight="1">
      <c r="A1335" s="2" t="s">
        <v>2</v>
      </c>
      <c r="B1335" s="3" t="s">
        <v>3</v>
      </c>
      <c r="C1335" s="4">
        <f>M1298+2</f>
        <v>45607</v>
      </c>
      <c r="D1335" s="5" t="s">
        <v>4</v>
      </c>
      <c r="E1335" s="6">
        <f>C1335+1</f>
        <v>45608</v>
      </c>
      <c r="F1335" s="3" t="s">
        <v>5</v>
      </c>
      <c r="G1335" s="6">
        <f>E1335+1</f>
        <v>45609</v>
      </c>
      <c r="H1335" s="3" t="s">
        <v>6</v>
      </c>
      <c r="I1335" s="6">
        <f>G1335+1</f>
        <v>45610</v>
      </c>
      <c r="J1335" s="3" t="s">
        <v>7</v>
      </c>
      <c r="K1335" s="6">
        <f>I1335+1</f>
        <v>45611</v>
      </c>
      <c r="L1335" s="7" t="s">
        <v>8</v>
      </c>
      <c r="M1335" s="8">
        <f>K1335+1</f>
        <v>45612</v>
      </c>
      <c r="N1335" s="9" t="s">
        <v>9</v>
      </c>
      <c r="O1335" s="8">
        <f>M1335+1</f>
        <v>45613</v>
      </c>
    </row>
    <row r="1336" ht="14.25" customHeight="1">
      <c r="A1336" s="10">
        <f>A1299+1</f>
        <v>37</v>
      </c>
      <c r="B1336" s="11" t="s">
        <v>10</v>
      </c>
      <c r="C1336" s="12" t="s">
        <v>11</v>
      </c>
      <c r="D1336" s="11" t="s">
        <v>10</v>
      </c>
      <c r="E1336" s="12" t="s">
        <v>11</v>
      </c>
      <c r="F1336" s="11" t="s">
        <v>10</v>
      </c>
      <c r="G1336" s="12" t="s">
        <v>11</v>
      </c>
      <c r="H1336" s="11" t="s">
        <v>10</v>
      </c>
      <c r="I1336" s="12" t="s">
        <v>11</v>
      </c>
      <c r="J1336" s="11" t="s">
        <v>10</v>
      </c>
      <c r="K1336" s="12" t="s">
        <v>11</v>
      </c>
      <c r="L1336" s="11" t="s">
        <v>10</v>
      </c>
      <c r="M1336" s="12" t="s">
        <v>11</v>
      </c>
      <c r="N1336" s="11" t="s">
        <v>10</v>
      </c>
      <c r="O1336" s="12" t="s">
        <v>11</v>
      </c>
    </row>
    <row r="1337" ht="14.25" customHeight="1">
      <c r="A1337" s="13"/>
      <c r="B1337" s="14"/>
      <c r="C1337" s="15"/>
      <c r="D1337" s="14" t="s">
        <v>306</v>
      </c>
      <c r="E1337" s="15"/>
      <c r="F1337" s="14" t="s">
        <v>306</v>
      </c>
      <c r="G1337" s="15"/>
      <c r="H1337" s="14" t="s">
        <v>306</v>
      </c>
      <c r="I1337" s="15"/>
      <c r="J1337" s="14" t="s">
        <v>306</v>
      </c>
      <c r="K1337" s="15"/>
      <c r="L1337" s="14" t="s">
        <v>306</v>
      </c>
      <c r="M1337" s="15"/>
      <c r="N1337" s="14" t="s">
        <v>306</v>
      </c>
      <c r="O1337" s="15"/>
    </row>
    <row r="1338" ht="14.25" customHeight="1">
      <c r="A1338" s="13" t="s">
        <v>12</v>
      </c>
      <c r="B1338" s="20" t="s">
        <v>307</v>
      </c>
      <c r="C1338" s="17"/>
      <c r="D1338" s="20" t="s">
        <v>308</v>
      </c>
      <c r="E1338" s="17"/>
      <c r="F1338" s="20" t="s">
        <v>229</v>
      </c>
      <c r="G1338" s="17"/>
      <c r="H1338" s="20" t="s">
        <v>308</v>
      </c>
      <c r="I1338" s="17"/>
      <c r="J1338" s="20" t="s">
        <v>309</v>
      </c>
      <c r="K1338" s="17"/>
      <c r="L1338" s="20" t="s">
        <v>309</v>
      </c>
      <c r="M1338" s="17"/>
      <c r="N1338" s="20" t="s">
        <v>309</v>
      </c>
      <c r="O1338" s="17"/>
    </row>
    <row r="1339" ht="14.25" customHeight="1">
      <c r="A1339" s="13"/>
      <c r="B1339" s="46"/>
      <c r="C1339" s="48"/>
      <c r="D1339" s="46">
        <v>140.0</v>
      </c>
      <c r="E1339" s="48">
        <v>4.0</v>
      </c>
      <c r="F1339" s="46">
        <v>80.0</v>
      </c>
      <c r="G1339" s="48">
        <v>4.0</v>
      </c>
      <c r="H1339" s="46">
        <v>140.0</v>
      </c>
      <c r="I1339" s="48">
        <v>4.0</v>
      </c>
      <c r="J1339" s="46"/>
      <c r="K1339" s="48"/>
      <c r="L1339" s="27"/>
      <c r="M1339" s="24"/>
      <c r="N1339" s="27"/>
      <c r="O1339" s="24"/>
    </row>
    <row r="1340" ht="14.25" customHeight="1">
      <c r="A1340" s="28" t="s">
        <v>20</v>
      </c>
      <c r="B1340" s="46"/>
      <c r="C1340" s="48"/>
      <c r="D1340" s="46">
        <v>145.0</v>
      </c>
      <c r="E1340" s="48">
        <v>3.0</v>
      </c>
      <c r="F1340" s="46">
        <v>90.0</v>
      </c>
      <c r="G1340" s="48">
        <v>3.0</v>
      </c>
      <c r="H1340" s="46">
        <v>145.0</v>
      </c>
      <c r="I1340" s="48">
        <v>3.0</v>
      </c>
      <c r="J1340" s="46"/>
      <c r="K1340" s="48"/>
      <c r="L1340" s="28"/>
      <c r="M1340" s="24"/>
      <c r="N1340" s="28"/>
      <c r="O1340" s="24"/>
    </row>
    <row r="1341" ht="14.25" customHeight="1">
      <c r="A1341" s="29" t="s">
        <v>22</v>
      </c>
      <c r="B1341" s="46"/>
      <c r="C1341" s="48"/>
      <c r="D1341" s="46">
        <v>150.0</v>
      </c>
      <c r="E1341" s="48">
        <v>2.0</v>
      </c>
      <c r="F1341" s="46">
        <v>100.0</v>
      </c>
      <c r="G1341" s="48">
        <v>2.0</v>
      </c>
      <c r="H1341" s="46">
        <v>150.0</v>
      </c>
      <c r="I1341" s="48">
        <v>2.0</v>
      </c>
      <c r="J1341" s="46"/>
      <c r="K1341" s="48"/>
      <c r="L1341" s="23"/>
      <c r="M1341" s="24"/>
      <c r="N1341" s="23"/>
      <c r="O1341" s="24"/>
    </row>
    <row r="1342" ht="14.25" customHeight="1">
      <c r="A1342" s="28" t="s">
        <v>23</v>
      </c>
      <c r="B1342" s="46"/>
      <c r="C1342" s="48"/>
      <c r="D1342" s="1"/>
      <c r="E1342" s="26"/>
      <c r="F1342" s="46"/>
      <c r="G1342" s="48"/>
      <c r="H1342" s="1"/>
      <c r="I1342" s="24"/>
      <c r="J1342" s="46"/>
      <c r="K1342" s="48"/>
      <c r="L1342" s="32"/>
      <c r="M1342" s="26"/>
      <c r="N1342" s="32"/>
      <c r="O1342" s="26"/>
    </row>
    <row r="1343" ht="14.25" customHeight="1">
      <c r="A1343" s="13"/>
      <c r="B1343" s="13"/>
      <c r="C1343" s="24"/>
      <c r="D1343" s="33"/>
      <c r="E1343" s="26"/>
      <c r="F1343" s="13"/>
      <c r="G1343" s="24"/>
      <c r="H1343" s="13"/>
      <c r="I1343" s="34"/>
      <c r="J1343" s="13"/>
      <c r="K1343" s="24"/>
      <c r="L1343" s="13"/>
      <c r="M1343" s="24"/>
      <c r="N1343" s="13"/>
      <c r="O1343" s="24"/>
    </row>
    <row r="1344" ht="14.25" customHeight="1">
      <c r="A1344" s="28" t="s">
        <v>24</v>
      </c>
      <c r="B1344" s="35" t="s">
        <v>25</v>
      </c>
      <c r="C1344" s="36">
        <f>C1339*B1339 + B1340*C1340 + B1341*C1341 + B1342*C1342 + B1343*C1343</f>
        <v>0</v>
      </c>
      <c r="D1344" s="57" t="s">
        <v>25</v>
      </c>
      <c r="E1344" s="36">
        <f>E1339*D1339 + D1340*E1340 + D1341*E1341 + D1342*E1342 + D1343*E1343</f>
        <v>1295</v>
      </c>
      <c r="F1344" s="35" t="s">
        <v>25</v>
      </c>
      <c r="G1344" s="36">
        <f>G1339*F1339 + F1340*G1340 + F1341*G1341 + F1342*G1342 + F1343*G1343</f>
        <v>790</v>
      </c>
      <c r="H1344" s="35" t="s">
        <v>25</v>
      </c>
      <c r="I1344" s="36">
        <f>I1339*H1339 + H1340*I1340 + H1341*I1341 + H1342*I1342 + H1343*I1343</f>
        <v>1295</v>
      </c>
      <c r="J1344" s="35" t="s">
        <v>25</v>
      </c>
      <c r="K1344" s="36">
        <f>K1339*J1339 + J1340*K1340 + J1341*K1341 + J1342*K1342 + J1343*K1343</f>
        <v>0</v>
      </c>
      <c r="L1344" s="35" t="s">
        <v>25</v>
      </c>
      <c r="M1344" s="36">
        <f>M1339*L1339 + L1340*M1340 + L1341*M1341 + L1342*M1342 + L1343*M1343</f>
        <v>0</v>
      </c>
      <c r="N1344" s="35" t="s">
        <v>25</v>
      </c>
      <c r="O1344" s="36">
        <f>O1339*N1339 + N1340*O1340 + N1341*O1341 + N1342*O1342 + N1343*O1343</f>
        <v>0</v>
      </c>
    </row>
    <row r="1345" ht="14.25" customHeight="1">
      <c r="A1345" s="37"/>
      <c r="B1345" s="39" t="s">
        <v>26</v>
      </c>
      <c r="C1345" s="40" t="str">
        <f>(B1339*C1339 + B1340*C1340 + B1341*C1341 + B1343*C1343)/SUM(C1339:C1343)</f>
        <v>#DIV/0!</v>
      </c>
      <c r="D1345" s="31" t="s">
        <v>26</v>
      </c>
      <c r="E1345" s="40">
        <f>(D1339*E1339 + D1340*E1340 + D1341*E1341 + D1343*E1343)/SUM(E1339:E1343)</f>
        <v>143.8888889</v>
      </c>
      <c r="F1345" s="39" t="s">
        <v>26</v>
      </c>
      <c r="G1345" s="40">
        <f>(F1339*G1339 + F1340*G1340 + F1341*G1341 + F1343*G1343)/SUM(G1339:G1343)</f>
        <v>87.77777778</v>
      </c>
      <c r="H1345" s="13" t="s">
        <v>26</v>
      </c>
      <c r="I1345" s="40">
        <f>(H1339*I1339 + H1340*I1340 + H1341*I1341 + H1343*I1343)/SUM(I1339:I1343)</f>
        <v>143.8888889</v>
      </c>
      <c r="J1345" s="39" t="s">
        <v>26</v>
      </c>
      <c r="K1345" s="40" t="str">
        <f>(J1339*K1339 + J1340*K1340 + J1341*K1341 + J1343*K1343)/SUM(K1339:K1343)</f>
        <v>#DIV/0!</v>
      </c>
      <c r="L1345" s="13" t="s">
        <v>26</v>
      </c>
      <c r="M1345" s="40" t="str">
        <f>(L1339*M1339 + L1340*M1340 + L1341*M1341 + L1343*M1343)/SUM(M1339:M1343)</f>
        <v>#DIV/0!</v>
      </c>
      <c r="N1345" s="13" t="s">
        <v>26</v>
      </c>
      <c r="O1345" s="40" t="str">
        <f>(N1339*O1339 + N1340*O1340 + N1341*O1341 + N1343*O1343)/SUM(O1339:O1343)</f>
        <v>#DIV/0!</v>
      </c>
    </row>
    <row r="1346" ht="14.25" customHeight="1">
      <c r="A1346" s="28" t="s">
        <v>27</v>
      </c>
      <c r="B1346" s="11" t="s">
        <v>10</v>
      </c>
      <c r="C1346" s="12" t="s">
        <v>11</v>
      </c>
      <c r="D1346" s="11" t="s">
        <v>10</v>
      </c>
      <c r="E1346" s="12" t="s">
        <v>11</v>
      </c>
      <c r="F1346" s="11" t="s">
        <v>10</v>
      </c>
      <c r="G1346" s="12" t="s">
        <v>11</v>
      </c>
      <c r="H1346" s="11" t="s">
        <v>10</v>
      </c>
      <c r="I1346" s="12" t="s">
        <v>11</v>
      </c>
      <c r="J1346" s="11" t="s">
        <v>10</v>
      </c>
      <c r="K1346" s="12" t="s">
        <v>11</v>
      </c>
      <c r="L1346" s="11" t="s">
        <v>10</v>
      </c>
      <c r="M1346" s="12" t="s">
        <v>11</v>
      </c>
      <c r="N1346" s="11" t="s">
        <v>10</v>
      </c>
      <c r="O1346" s="12" t="s">
        <v>11</v>
      </c>
    </row>
    <row r="1347" ht="14.25" customHeight="1">
      <c r="A1347" s="41" t="s">
        <v>28</v>
      </c>
      <c r="B1347" s="20"/>
      <c r="C1347" s="17"/>
      <c r="D1347" s="20" t="s">
        <v>304</v>
      </c>
      <c r="E1347" s="17"/>
      <c r="F1347" s="20" t="s">
        <v>249</v>
      </c>
      <c r="G1347" s="17"/>
      <c r="H1347" s="45" t="s">
        <v>310</v>
      </c>
      <c r="I1347" s="17"/>
      <c r="J1347" s="20"/>
      <c r="K1347" s="17"/>
      <c r="L1347" s="42"/>
      <c r="M1347" s="44"/>
      <c r="N1347" s="42"/>
      <c r="O1347" s="44"/>
    </row>
    <row r="1348" ht="14.25" customHeight="1">
      <c r="A1348" s="28"/>
      <c r="B1348" s="46"/>
      <c r="C1348" s="48"/>
      <c r="D1348" s="46">
        <v>205.0</v>
      </c>
      <c r="E1348" s="48">
        <v>5.0</v>
      </c>
      <c r="F1348" s="46" t="s">
        <v>150</v>
      </c>
      <c r="G1348" s="48">
        <v>6.0</v>
      </c>
      <c r="H1348" s="1" t="s">
        <v>293</v>
      </c>
      <c r="I1348" s="54" t="s">
        <v>294</v>
      </c>
      <c r="J1348" s="46"/>
      <c r="K1348" s="48"/>
      <c r="L1348" s="46"/>
      <c r="M1348" s="26"/>
      <c r="N1348" s="46"/>
      <c r="O1348" s="26"/>
    </row>
    <row r="1349" ht="14.25" customHeight="1">
      <c r="A1349" s="28" t="s">
        <v>37</v>
      </c>
      <c r="B1349" s="46"/>
      <c r="C1349" s="48"/>
      <c r="D1349" s="46">
        <v>210.0</v>
      </c>
      <c r="E1349" s="48">
        <v>5.0</v>
      </c>
      <c r="F1349" s="46" t="s">
        <v>150</v>
      </c>
      <c r="G1349" s="48">
        <v>6.0</v>
      </c>
      <c r="H1349" s="1" t="s">
        <v>210</v>
      </c>
      <c r="I1349" s="54" t="s">
        <v>296</v>
      </c>
      <c r="J1349" s="46"/>
      <c r="K1349" s="48"/>
      <c r="L1349" s="46"/>
      <c r="M1349" s="26"/>
      <c r="N1349" s="46"/>
      <c r="O1349" s="26"/>
    </row>
    <row r="1350" ht="14.25" customHeight="1">
      <c r="A1350" s="28" t="s">
        <v>39</v>
      </c>
      <c r="B1350" s="46"/>
      <c r="C1350" s="48"/>
      <c r="D1350" s="46">
        <v>215.0</v>
      </c>
      <c r="E1350" s="48">
        <v>5.0</v>
      </c>
      <c r="F1350" s="46" t="s">
        <v>311</v>
      </c>
      <c r="G1350" s="48">
        <v>6.0</v>
      </c>
      <c r="H1350" s="1" t="s">
        <v>297</v>
      </c>
      <c r="I1350" s="26"/>
      <c r="J1350" s="46"/>
      <c r="K1350" s="48"/>
      <c r="L1350" s="46"/>
      <c r="M1350" s="26"/>
      <c r="N1350" s="46"/>
      <c r="O1350" s="26"/>
    </row>
    <row r="1351" ht="14.25" customHeight="1">
      <c r="A1351" s="28"/>
      <c r="B1351" s="46"/>
      <c r="C1351" s="48"/>
      <c r="D1351" s="46"/>
      <c r="E1351" s="54"/>
      <c r="F1351" s="46"/>
      <c r="G1351" s="48"/>
      <c r="H1351" s="1" t="s">
        <v>299</v>
      </c>
      <c r="I1351" s="26"/>
      <c r="J1351" s="46"/>
      <c r="K1351" s="48"/>
      <c r="L1351" s="46"/>
      <c r="M1351" s="26"/>
      <c r="N1351" s="46"/>
      <c r="O1351" s="26"/>
    </row>
    <row r="1352" ht="14.25" customHeight="1">
      <c r="A1352" s="28" t="s">
        <v>41</v>
      </c>
      <c r="B1352" s="13"/>
      <c r="C1352" s="24"/>
      <c r="D1352" s="32"/>
      <c r="E1352" s="24"/>
      <c r="F1352" s="13"/>
      <c r="G1352" s="24"/>
      <c r="H1352" s="28"/>
      <c r="I1352" s="24"/>
      <c r="J1352" s="31"/>
      <c r="K1352" s="24"/>
      <c r="L1352" s="32"/>
      <c r="M1352" s="24"/>
      <c r="N1352" s="32"/>
      <c r="O1352" s="24"/>
    </row>
    <row r="1353" ht="14.25" customHeight="1">
      <c r="A1353" s="28" t="s">
        <v>43</v>
      </c>
      <c r="B1353" s="13"/>
      <c r="C1353" s="34"/>
      <c r="D1353" s="32"/>
      <c r="E1353" s="26"/>
      <c r="F1353" s="13"/>
      <c r="G1353" s="34"/>
      <c r="H1353" s="28"/>
      <c r="I1353" s="24"/>
      <c r="J1353" s="13"/>
      <c r="K1353" s="24"/>
      <c r="L1353" s="32"/>
      <c r="M1353" s="26"/>
      <c r="N1353" s="32"/>
      <c r="O1353" s="26"/>
    </row>
    <row r="1354" ht="14.25" customHeight="1">
      <c r="A1354" s="28"/>
      <c r="B1354" s="35" t="s">
        <v>25</v>
      </c>
      <c r="C1354" s="55">
        <f>C1348*B1348 + B1349*C1349 + B1350*C1350 + B1351*C1351 + B1353*C1353</f>
        <v>0</v>
      </c>
      <c r="D1354" s="35" t="s">
        <v>25</v>
      </c>
      <c r="E1354" s="36">
        <f>E1348*D1348 + D1349*E1349 + D1350*E1350 + D1351*E1351 + D1353*E1353</f>
        <v>3150</v>
      </c>
      <c r="F1354" s="35" t="s">
        <v>25</v>
      </c>
      <c r="G1354" s="55" t="str">
        <f>G1348*F1348 + F1349*G1349 + F1350*G1350 + F1351*G1351 + F1353*G1353</f>
        <v>#VALUE!</v>
      </c>
      <c r="H1354" s="35" t="s">
        <v>25</v>
      </c>
      <c r="I1354" s="36" t="str">
        <f>I1348*H1348 + H1349*I1349 + H1350*I1350 + H1351*I1351 + H1353*I1353</f>
        <v>#VALUE!</v>
      </c>
      <c r="J1354" s="35" t="s">
        <v>25</v>
      </c>
      <c r="K1354" s="36">
        <f>K1348*J1348 + J1349*K1349 + J1350*K1350 + J1351*K1351 + J1353*K1353</f>
        <v>0</v>
      </c>
      <c r="L1354" s="35" t="s">
        <v>25</v>
      </c>
      <c r="M1354" s="36">
        <f>M1348*L1348 + L1349*M1349 + L1350*M1350 + L1351*M1351 + L1353*M1353</f>
        <v>0</v>
      </c>
      <c r="N1354" s="35" t="s">
        <v>25</v>
      </c>
      <c r="O1354" s="36">
        <f>O1348*N1348 + N1349*O1349 + N1350*O1350 + N1351*O1351 + N1353*O1353</f>
        <v>0</v>
      </c>
    </row>
    <row r="1355" ht="14.25" customHeight="1">
      <c r="A1355" s="28" t="s">
        <v>116</v>
      </c>
      <c r="B1355" s="39" t="s">
        <v>26</v>
      </c>
      <c r="C1355" s="77" t="str">
        <f>(B1348*C1348 + B1349*C1349 + B1350*C1350 + B1351*C1351 + B1353*C1353)/SUM(C1348:C1353)</f>
        <v>#DIV/0!</v>
      </c>
      <c r="D1355" s="39" t="s">
        <v>26</v>
      </c>
      <c r="E1355" s="40">
        <f>(D1348*E1348 + D1349*E1349 + D1350*E1350 + D1351*E1351 + D1353*E1353)/SUM(E1348:E1353)</f>
        <v>210</v>
      </c>
      <c r="F1355" s="39" t="s">
        <v>26</v>
      </c>
      <c r="G1355" s="77" t="str">
        <f>(F1348*G1348 + F1349*G1349 + F1350*G1350 + F1351*G1351 + F1353*G1353)/SUM(G1348:G1353)</f>
        <v>#VALUE!</v>
      </c>
      <c r="H1355" s="39" t="s">
        <v>26</v>
      </c>
      <c r="I1355" s="40" t="str">
        <f>(H1348*I1348 + H1349*I1349 + H1350*I1350 + H1351*I1351 + H1353*I1353)/SUM(I1348:I1353)</f>
        <v>#VALUE!</v>
      </c>
      <c r="J1355" s="39" t="s">
        <v>26</v>
      </c>
      <c r="K1355" s="40" t="str">
        <f>(J1348*K1348 + J1349*K1349 + J1350*K1350 + J1351*K1351 + J1353*K1353)/SUM(K1348:K1353)</f>
        <v>#DIV/0!</v>
      </c>
      <c r="L1355" s="39" t="s">
        <v>26</v>
      </c>
      <c r="M1355" s="40" t="str">
        <f>(L1348*M1348 + L1349*M1349 + L1350*M1350 + L1351*M1351 + L1353*M1353)/SUM(M1348:M1353)</f>
        <v>#DIV/0!</v>
      </c>
      <c r="N1355" s="39" t="s">
        <v>26</v>
      </c>
      <c r="O1355" s="40" t="str">
        <f>(N1348*O1348 + N1349*O1349 + N1350*O1350 + N1351*O1351 + N1353*O1353)/SUM(O1348:O1353)</f>
        <v>#DIV/0!</v>
      </c>
    </row>
    <row r="1356" ht="14.25" customHeight="1">
      <c r="A1356" s="28" t="s">
        <v>117</v>
      </c>
      <c r="B1356" s="70"/>
      <c r="C1356" s="17"/>
      <c r="D1356" s="113" t="s">
        <v>105</v>
      </c>
      <c r="E1356" s="50" t="s">
        <v>49</v>
      </c>
      <c r="F1356" s="70" t="s">
        <v>302</v>
      </c>
      <c r="G1356" s="17"/>
      <c r="H1356" s="45"/>
      <c r="I1356" s="17"/>
      <c r="J1356" s="70"/>
      <c r="K1356" s="17"/>
      <c r="L1356" s="49"/>
      <c r="M1356" s="50" t="s">
        <v>49</v>
      </c>
      <c r="N1356" s="49"/>
      <c r="O1356" s="50" t="s">
        <v>49</v>
      </c>
    </row>
    <row r="1357" ht="14.25" customHeight="1">
      <c r="A1357" s="28" t="s">
        <v>120</v>
      </c>
      <c r="B1357" s="28"/>
      <c r="C1357" s="54"/>
      <c r="D1357" s="46">
        <v>30.0</v>
      </c>
      <c r="E1357" s="54" t="s">
        <v>312</v>
      </c>
      <c r="F1357" s="28"/>
      <c r="G1357" s="54">
        <v>5.0</v>
      </c>
      <c r="H1357" s="1"/>
      <c r="I1357" s="54"/>
      <c r="J1357" s="28"/>
      <c r="K1357" s="54"/>
      <c r="L1357" s="21"/>
      <c r="M1357" s="24"/>
      <c r="N1357" s="21"/>
      <c r="O1357" s="24"/>
    </row>
    <row r="1358" ht="14.25" customHeight="1">
      <c r="A1358" s="28"/>
      <c r="B1358" s="27"/>
      <c r="C1358" s="54"/>
      <c r="D1358" s="46">
        <v>40.0</v>
      </c>
      <c r="E1358" s="54" t="s">
        <v>312</v>
      </c>
      <c r="F1358" s="27"/>
      <c r="G1358" s="54">
        <v>5.0</v>
      </c>
      <c r="H1358" s="1"/>
      <c r="I1358" s="54"/>
      <c r="J1358" s="27"/>
      <c r="K1358" s="54"/>
      <c r="L1358" s="21"/>
      <c r="M1358" s="26"/>
      <c r="N1358" s="21"/>
      <c r="O1358" s="26"/>
    </row>
    <row r="1359" ht="14.25" customHeight="1">
      <c r="A1359" s="28"/>
      <c r="B1359" s="27"/>
      <c r="C1359" s="54"/>
      <c r="D1359" s="46">
        <v>50.0</v>
      </c>
      <c r="E1359" s="54" t="s">
        <v>312</v>
      </c>
      <c r="F1359" s="27"/>
      <c r="G1359" s="54">
        <v>5.0</v>
      </c>
      <c r="H1359" s="1"/>
      <c r="I1359" s="26"/>
      <c r="J1359" s="27"/>
      <c r="K1359" s="54"/>
      <c r="L1359" s="46"/>
      <c r="M1359" s="24"/>
      <c r="N1359" s="46"/>
      <c r="O1359" s="24"/>
    </row>
    <row r="1360" ht="14.25" customHeight="1">
      <c r="A1360" s="28"/>
      <c r="B1360" s="28"/>
      <c r="C1360" s="79"/>
      <c r="D1360" s="46">
        <v>30.0</v>
      </c>
      <c r="E1360" s="54" t="s">
        <v>312</v>
      </c>
      <c r="F1360" s="28"/>
      <c r="G1360" s="54"/>
      <c r="H1360" s="1"/>
      <c r="I1360" s="26"/>
      <c r="J1360" s="28"/>
      <c r="K1360" s="54"/>
      <c r="L1360" s="21"/>
      <c r="M1360" s="24"/>
      <c r="N1360" s="21"/>
      <c r="O1360" s="24"/>
    </row>
    <row r="1361" ht="14.25" customHeight="1">
      <c r="A1361" s="28"/>
      <c r="B1361" s="13"/>
      <c r="C1361" s="34"/>
      <c r="D1361" s="21"/>
      <c r="E1361" s="34"/>
      <c r="F1361" s="13"/>
      <c r="G1361" s="24"/>
      <c r="H1361" s="28"/>
      <c r="I1361" s="34"/>
      <c r="J1361" s="13"/>
      <c r="K1361" s="24"/>
      <c r="L1361" s="31"/>
      <c r="M1361" s="24"/>
      <c r="N1361" s="31"/>
      <c r="O1361" s="24"/>
    </row>
    <row r="1362" ht="14.25" customHeight="1">
      <c r="A1362" s="28"/>
      <c r="B1362" s="35" t="s">
        <v>25</v>
      </c>
      <c r="C1362" s="55">
        <f>C1357*B1357 + B1358*C1358 + B1359*C1359 + B1360*C1360 + B1361*C1361</f>
        <v>0</v>
      </c>
      <c r="D1362" s="35" t="s">
        <v>25</v>
      </c>
      <c r="E1362" s="55" t="str">
        <f>E1357*D1357 + D1358*E1358 + D1359*E1359 + D1360*E1360 + D1361*E1361</f>
        <v>#VALUE!</v>
      </c>
      <c r="F1362" s="35" t="s">
        <v>25</v>
      </c>
      <c r="G1362" s="55">
        <f>G1357*F1357 + F1358*G1358 + F1359*G1359 + F1360*G1360 + F1361*G1361</f>
        <v>0</v>
      </c>
      <c r="H1362" s="35" t="s">
        <v>25</v>
      </c>
      <c r="I1362" s="56">
        <f>I1357*H1357 + H1358*I1358 + H1359*I1359 + H1360*I1360 + H1361*I1361</f>
        <v>0</v>
      </c>
      <c r="J1362" s="35" t="s">
        <v>25</v>
      </c>
      <c r="K1362" s="36">
        <f>K1357*J1357 + J1358*K1358 + J1359*K1359 + J1360*K1360 + J1361*K1361</f>
        <v>0</v>
      </c>
      <c r="L1362" s="57" t="s">
        <v>25</v>
      </c>
      <c r="M1362" s="58">
        <f>M1357*L1357 + L1358*M1358 + L1359*M1359 + L1360*M1360 + L1361*M1361</f>
        <v>0</v>
      </c>
      <c r="N1362" s="57" t="s">
        <v>25</v>
      </c>
      <c r="O1362" s="58">
        <f>O1357*N1357 + N1358*O1358 + N1359*O1359 + N1360*O1360 + N1361*O1361</f>
        <v>0</v>
      </c>
    </row>
    <row r="1363" ht="14.25" customHeight="1">
      <c r="A1363" s="28"/>
      <c r="B1363" s="39" t="s">
        <v>26</v>
      </c>
      <c r="C1363" s="40" t="str">
        <f>(B1357*C1357 + B1358*C1358 + B1359*C1359 + B1360*C1360 + B1361*C1361)/SUM(C1357:C1361)</f>
        <v>#DIV/0!</v>
      </c>
      <c r="D1363" s="59" t="s">
        <v>26</v>
      </c>
      <c r="E1363" s="40" t="str">
        <f>(D1357*E1357 + D1358*E1358 + D1359*E1359 + D1360*E1360 + D1361*E1361)/SUM(E1357:E1361)</f>
        <v>#VALUE!</v>
      </c>
      <c r="F1363" s="39" t="s">
        <v>26</v>
      </c>
      <c r="G1363" s="40">
        <f>(F1357*G1357 + F1358*G1358 + F1359*G1359 + F1360*G1360 + F1361*G1361)/SUM(G1357:G1361)</f>
        <v>0</v>
      </c>
      <c r="H1363" s="59" t="s">
        <v>26</v>
      </c>
      <c r="I1363" s="40" t="str">
        <f>(H1357*I1357 + H1358*I1358 + H1359*I1359 + H1360*I1360 + H1361*I1361)/SUM(I1357:I1361)</f>
        <v>#DIV/0!</v>
      </c>
      <c r="J1363" s="39" t="s">
        <v>26</v>
      </c>
      <c r="K1363" s="40" t="str">
        <f>(J1357*K1357 + J1358*K1358 + J1359*K1359 + J1360*K1360 + J1361*K1361)/SUM(K1357:K1361)</f>
        <v>#DIV/0!</v>
      </c>
      <c r="L1363" s="59" t="s">
        <v>26</v>
      </c>
      <c r="M1363" s="40" t="str">
        <f>(L1357*M1357 + L1358*M1358 + L1359*M1359 + L1360*M1360 + L1361*M1361)/SUM(M1361)</f>
        <v>#DIV/0!</v>
      </c>
      <c r="N1363" s="59" t="s">
        <v>26</v>
      </c>
      <c r="O1363" s="40" t="str">
        <f>(N1357*O1357 + N1358*O1358 + N1359*O1359 + N1360*O1360 + N1361*O1361)/SUM(O1361)</f>
        <v>#DIV/0!</v>
      </c>
    </row>
    <row r="1364" ht="14.25" customHeight="1">
      <c r="A1364" s="28"/>
      <c r="B1364" s="28" t="s">
        <v>91</v>
      </c>
      <c r="C1364" s="30" t="s">
        <v>49</v>
      </c>
      <c r="D1364" s="28" t="s">
        <v>50</v>
      </c>
      <c r="E1364" s="30" t="s">
        <v>49</v>
      </c>
      <c r="F1364" s="28" t="s">
        <v>50</v>
      </c>
      <c r="G1364" s="30" t="s">
        <v>49</v>
      </c>
      <c r="H1364" s="28" t="s">
        <v>50</v>
      </c>
      <c r="I1364" s="30" t="s">
        <v>49</v>
      </c>
      <c r="J1364" s="28" t="s">
        <v>50</v>
      </c>
      <c r="K1364" s="30" t="s">
        <v>49</v>
      </c>
      <c r="L1364" s="28" t="s">
        <v>50</v>
      </c>
      <c r="M1364" s="60" t="s">
        <v>49</v>
      </c>
      <c r="N1364" s="28" t="s">
        <v>50</v>
      </c>
      <c r="O1364" s="60" t="s">
        <v>49</v>
      </c>
    </row>
    <row r="1365" ht="14.25" customHeight="1">
      <c r="A1365" s="28"/>
      <c r="B1365" s="27"/>
      <c r="C1365" s="60"/>
      <c r="D1365" s="27" t="s">
        <v>313</v>
      </c>
      <c r="E1365" s="60"/>
      <c r="F1365" s="27" t="s">
        <v>313</v>
      </c>
      <c r="G1365" s="60"/>
      <c r="H1365" s="27" t="s">
        <v>313</v>
      </c>
      <c r="I1365" s="60"/>
      <c r="J1365" s="27" t="s">
        <v>313</v>
      </c>
      <c r="K1365" s="60"/>
      <c r="L1365" s="27" t="s">
        <v>313</v>
      </c>
      <c r="M1365" s="60"/>
      <c r="N1365" s="27" t="s">
        <v>313</v>
      </c>
      <c r="O1365" s="60"/>
    </row>
    <row r="1366" ht="14.25" customHeight="1">
      <c r="A1366" s="28"/>
      <c r="B1366" s="27"/>
      <c r="C1366" s="60"/>
      <c r="D1366" s="27" t="s">
        <v>314</v>
      </c>
      <c r="E1366" s="60"/>
      <c r="F1366" s="27"/>
      <c r="G1366" s="60"/>
      <c r="H1366" s="27"/>
      <c r="I1366" s="60"/>
      <c r="J1366" s="27"/>
      <c r="K1366" s="60"/>
      <c r="L1366" s="27"/>
      <c r="M1366" s="60"/>
      <c r="N1366" s="27"/>
      <c r="O1366" s="60"/>
    </row>
    <row r="1367" ht="14.25" customHeight="1">
      <c r="A1367" s="37"/>
      <c r="B1367" s="28"/>
      <c r="C1367" s="60"/>
      <c r="D1367" s="28"/>
      <c r="E1367" s="60"/>
      <c r="F1367" s="28"/>
      <c r="G1367" s="60"/>
      <c r="H1367" s="30"/>
      <c r="I1367" s="60"/>
      <c r="J1367" s="1"/>
      <c r="K1367" s="60"/>
      <c r="L1367" s="30"/>
      <c r="M1367" s="60"/>
      <c r="N1367" s="30"/>
      <c r="O1367" s="60"/>
    </row>
    <row r="1368" ht="14.25" customHeight="1">
      <c r="A1368" s="37"/>
      <c r="B1368" s="28"/>
      <c r="C1368" s="1"/>
      <c r="D1368" s="28"/>
      <c r="E1368" s="1"/>
      <c r="F1368" s="28"/>
      <c r="G1368" s="63"/>
      <c r="H1368" s="30"/>
      <c r="I1368" s="30"/>
      <c r="J1368" s="28"/>
      <c r="K1368" s="60"/>
      <c r="L1368" s="30"/>
      <c r="M1368" s="60"/>
      <c r="N1368" s="30"/>
      <c r="O1368" s="60"/>
    </row>
    <row r="1369" ht="14.25" customHeight="1">
      <c r="A1369" s="37"/>
      <c r="B1369" s="28"/>
      <c r="C1369" s="1"/>
      <c r="D1369" s="28"/>
      <c r="E1369" s="1"/>
      <c r="F1369" s="28"/>
      <c r="G1369" s="60"/>
      <c r="H1369" s="30"/>
      <c r="I1369" s="30"/>
      <c r="J1369" s="28"/>
      <c r="K1369" s="60"/>
      <c r="L1369" s="30"/>
      <c r="M1369" s="60"/>
      <c r="N1369" s="30"/>
      <c r="O1369" s="60"/>
    </row>
    <row r="1370" ht="14.25" customHeight="1">
      <c r="A1370" s="37"/>
      <c r="B1370" s="28"/>
      <c r="C1370" s="1"/>
      <c r="D1370" s="28"/>
      <c r="E1370" s="1"/>
      <c r="F1370" s="28"/>
      <c r="G1370" s="60"/>
      <c r="H1370" s="30"/>
      <c r="I1370" s="30"/>
      <c r="J1370" s="37"/>
      <c r="K1370" s="60"/>
      <c r="L1370" s="30"/>
      <c r="M1370" s="60"/>
      <c r="N1370" s="30"/>
      <c r="O1370" s="60"/>
    </row>
    <row r="1371" ht="14.25" customHeight="1">
      <c r="A1371" s="64"/>
      <c r="B1371" s="65"/>
      <c r="C1371" s="66"/>
      <c r="D1371" s="65"/>
      <c r="E1371" s="66"/>
      <c r="F1371" s="64"/>
      <c r="G1371" s="67"/>
      <c r="H1371" s="66"/>
      <c r="I1371" s="66"/>
      <c r="J1371" s="64"/>
      <c r="K1371" s="67"/>
      <c r="L1371" s="66"/>
      <c r="M1371" s="67"/>
      <c r="N1371" s="66"/>
      <c r="O1371" s="67"/>
    </row>
    <row r="1372" ht="14.25" customHeight="1">
      <c r="A1372" s="30"/>
      <c r="B1372" s="1"/>
      <c r="C1372" s="30"/>
      <c r="D1372" s="1"/>
      <c r="E1372" s="30"/>
      <c r="F1372" s="30"/>
      <c r="G1372" s="30"/>
      <c r="H1372" s="30"/>
      <c r="I1372" s="30"/>
      <c r="J1372" s="30"/>
      <c r="K1372" s="30"/>
      <c r="L1372" s="30"/>
      <c r="M1372" s="30"/>
      <c r="N1372" s="30"/>
      <c r="O1372" s="30"/>
    </row>
    <row r="1373" ht="14.25" customHeight="1">
      <c r="A1373" s="2" t="s">
        <v>2</v>
      </c>
      <c r="B1373" s="3" t="s">
        <v>3</v>
      </c>
      <c r="C1373" s="4">
        <f>M1335+2</f>
        <v>45614</v>
      </c>
      <c r="D1373" s="5" t="s">
        <v>4</v>
      </c>
      <c r="E1373" s="6">
        <f>C1373+1</f>
        <v>45615</v>
      </c>
      <c r="F1373" s="3" t="s">
        <v>5</v>
      </c>
      <c r="G1373" s="6">
        <f>E1373+1</f>
        <v>45616</v>
      </c>
      <c r="H1373" s="3" t="s">
        <v>6</v>
      </c>
      <c r="I1373" s="6">
        <f>G1373+1</f>
        <v>45617</v>
      </c>
      <c r="J1373" s="3" t="s">
        <v>7</v>
      </c>
      <c r="K1373" s="6">
        <f>I1373+1</f>
        <v>45618</v>
      </c>
      <c r="L1373" s="7" t="s">
        <v>8</v>
      </c>
      <c r="M1373" s="8">
        <f>K1373+1</f>
        <v>45619</v>
      </c>
      <c r="N1373" s="9" t="s">
        <v>9</v>
      </c>
      <c r="O1373" s="8">
        <f>M1373+1</f>
        <v>45620</v>
      </c>
    </row>
    <row r="1374" ht="14.25" customHeight="1">
      <c r="A1374" s="10">
        <f>A1336+1</f>
        <v>38</v>
      </c>
      <c r="B1374" s="11" t="s">
        <v>10</v>
      </c>
      <c r="C1374" s="12" t="s">
        <v>11</v>
      </c>
      <c r="D1374" s="11" t="s">
        <v>10</v>
      </c>
      <c r="E1374" s="12" t="s">
        <v>11</v>
      </c>
      <c r="F1374" s="11" t="s">
        <v>10</v>
      </c>
      <c r="G1374" s="12" t="s">
        <v>11</v>
      </c>
      <c r="H1374" s="11" t="s">
        <v>10</v>
      </c>
      <c r="I1374" s="12" t="s">
        <v>11</v>
      </c>
      <c r="J1374" s="11" t="s">
        <v>10</v>
      </c>
      <c r="K1374" s="12" t="s">
        <v>11</v>
      </c>
      <c r="L1374" s="11" t="s">
        <v>10</v>
      </c>
      <c r="M1374" s="12" t="s">
        <v>11</v>
      </c>
      <c r="N1374" s="11" t="s">
        <v>10</v>
      </c>
      <c r="O1374" s="12" t="s">
        <v>11</v>
      </c>
    </row>
    <row r="1375" ht="14.25" customHeight="1">
      <c r="A1375" s="13"/>
      <c r="B1375" s="14" t="s">
        <v>306</v>
      </c>
      <c r="C1375" s="15"/>
      <c r="D1375" s="14" t="s">
        <v>306</v>
      </c>
      <c r="E1375" s="15"/>
      <c r="F1375" s="14" t="s">
        <v>306</v>
      </c>
      <c r="G1375" s="15"/>
      <c r="H1375" s="14" t="s">
        <v>306</v>
      </c>
      <c r="I1375" s="15"/>
      <c r="J1375" s="14" t="s">
        <v>315</v>
      </c>
      <c r="K1375" s="15"/>
      <c r="L1375" s="14" t="s">
        <v>315</v>
      </c>
      <c r="M1375" s="15"/>
      <c r="N1375" s="14" t="s">
        <v>306</v>
      </c>
      <c r="O1375" s="15"/>
    </row>
    <row r="1376" ht="14.25" customHeight="1">
      <c r="A1376" s="13" t="s">
        <v>12</v>
      </c>
      <c r="B1376" s="20" t="s">
        <v>308</v>
      </c>
      <c r="C1376" s="17"/>
      <c r="D1376" s="20" t="s">
        <v>229</v>
      </c>
      <c r="E1376" s="17"/>
      <c r="F1376" s="20" t="s">
        <v>308</v>
      </c>
      <c r="G1376" s="17"/>
      <c r="H1376" s="20" t="s">
        <v>316</v>
      </c>
      <c r="I1376" s="17"/>
      <c r="J1376" s="20"/>
      <c r="K1376" s="17"/>
      <c r="L1376" s="20" t="s">
        <v>317</v>
      </c>
      <c r="M1376" s="17"/>
      <c r="N1376" s="20" t="s">
        <v>318</v>
      </c>
      <c r="O1376" s="17"/>
    </row>
    <row r="1377" ht="14.25" customHeight="1">
      <c r="A1377" s="13"/>
      <c r="B1377" s="46">
        <v>145.0</v>
      </c>
      <c r="C1377" s="48">
        <v>4.0</v>
      </c>
      <c r="D1377" s="46">
        <v>80.0</v>
      </c>
      <c r="E1377" s="48">
        <v>4.0</v>
      </c>
      <c r="F1377" s="46">
        <v>145.0</v>
      </c>
      <c r="G1377" s="48">
        <v>4.0</v>
      </c>
      <c r="H1377" s="46">
        <v>50.0</v>
      </c>
      <c r="I1377" s="48">
        <v>5.0</v>
      </c>
      <c r="J1377" s="46" t="s">
        <v>319</v>
      </c>
      <c r="K1377" s="48"/>
      <c r="L1377" s="27"/>
      <c r="M1377" s="24"/>
      <c r="N1377" s="27"/>
      <c r="O1377" s="24"/>
    </row>
    <row r="1378" ht="14.25" customHeight="1">
      <c r="A1378" s="28" t="s">
        <v>20</v>
      </c>
      <c r="B1378" s="46">
        <v>150.0</v>
      </c>
      <c r="C1378" s="48">
        <v>3.0</v>
      </c>
      <c r="D1378" s="46">
        <v>90.0</v>
      </c>
      <c r="E1378" s="48">
        <v>3.0</v>
      </c>
      <c r="F1378" s="46">
        <v>150.0</v>
      </c>
      <c r="G1378" s="48">
        <v>3.0</v>
      </c>
      <c r="H1378" s="46">
        <v>55.0</v>
      </c>
      <c r="I1378" s="48">
        <v>5.0</v>
      </c>
      <c r="J1378" s="46" t="s">
        <v>320</v>
      </c>
      <c r="K1378" s="48" t="s">
        <v>321</v>
      </c>
      <c r="L1378" s="28"/>
      <c r="M1378" s="24"/>
      <c r="N1378" s="28"/>
      <c r="O1378" s="24"/>
    </row>
    <row r="1379" ht="14.25" customHeight="1">
      <c r="A1379" s="29" t="s">
        <v>22</v>
      </c>
      <c r="B1379" s="46">
        <v>155.0</v>
      </c>
      <c r="C1379" s="48">
        <v>2.0</v>
      </c>
      <c r="D1379" s="46">
        <v>100.0</v>
      </c>
      <c r="E1379" s="48">
        <v>2.0</v>
      </c>
      <c r="F1379" s="46">
        <v>155.0</v>
      </c>
      <c r="G1379" s="48">
        <v>2.0</v>
      </c>
      <c r="H1379" s="46">
        <v>60.0</v>
      </c>
      <c r="I1379" s="48">
        <v>5.0</v>
      </c>
      <c r="J1379" s="46" t="s">
        <v>322</v>
      </c>
      <c r="K1379" s="48" t="s">
        <v>323</v>
      </c>
      <c r="L1379" s="23"/>
      <c r="M1379" s="24"/>
      <c r="N1379" s="23"/>
      <c r="O1379" s="24"/>
    </row>
    <row r="1380" ht="14.25" customHeight="1">
      <c r="A1380" s="28" t="s">
        <v>23</v>
      </c>
      <c r="B1380" s="28"/>
      <c r="C1380" s="26"/>
      <c r="D1380" s="46"/>
      <c r="E1380" s="48"/>
      <c r="F1380" s="28"/>
      <c r="G1380" s="26"/>
      <c r="H1380" s="1"/>
      <c r="I1380" s="24"/>
      <c r="J1380" s="46" t="s">
        <v>324</v>
      </c>
      <c r="K1380" s="48"/>
      <c r="L1380" s="32"/>
      <c r="M1380" s="26"/>
      <c r="N1380" s="32"/>
      <c r="O1380" s="26"/>
    </row>
    <row r="1381" ht="14.25" customHeight="1">
      <c r="A1381" s="13"/>
      <c r="B1381" s="33"/>
      <c r="C1381" s="26"/>
      <c r="D1381" s="13"/>
      <c r="E1381" s="24"/>
      <c r="F1381" s="33"/>
      <c r="G1381" s="26"/>
      <c r="H1381" s="13"/>
      <c r="I1381" s="34"/>
      <c r="J1381" s="13"/>
      <c r="K1381" s="24"/>
      <c r="L1381" s="13"/>
      <c r="M1381" s="24"/>
      <c r="N1381" s="13"/>
      <c r="O1381" s="24"/>
    </row>
    <row r="1382" ht="14.25" customHeight="1">
      <c r="A1382" s="28" t="s">
        <v>24</v>
      </c>
      <c r="B1382" s="35" t="s">
        <v>25</v>
      </c>
      <c r="C1382" s="36">
        <f>C1377*B1377 + B1378*C1378 + B1379*C1379 + B1380*C1380 + B1381*C1381</f>
        <v>1340</v>
      </c>
      <c r="D1382" s="35" t="s">
        <v>25</v>
      </c>
      <c r="E1382" s="36">
        <f>E1377*D1377 + D1378*E1378 + D1379*E1379 + D1380*E1380 + D1381*E1381</f>
        <v>790</v>
      </c>
      <c r="F1382" s="35" t="s">
        <v>25</v>
      </c>
      <c r="G1382" s="36">
        <f>G1377*F1377 + F1378*G1378 + F1379*G1379 + F1380*G1380 + F1381*G1381</f>
        <v>1340</v>
      </c>
      <c r="H1382" s="35" t="s">
        <v>25</v>
      </c>
      <c r="I1382" s="36">
        <f>I1377*H1377 + H1378*I1378 + H1379*I1379 + H1380*I1380 + H1381*I1381</f>
        <v>825</v>
      </c>
      <c r="J1382" s="35" t="s">
        <v>25</v>
      </c>
      <c r="K1382" s="36" t="str">
        <f>K1377*J1377 + J1378*K1378 + J1379*K1379 + J1380*K1380 + J1381*K1381</f>
        <v>#VALUE!</v>
      </c>
      <c r="L1382" s="35" t="s">
        <v>25</v>
      </c>
      <c r="M1382" s="36">
        <f>M1377*L1377 + L1378*M1378 + L1379*M1379 + L1380*M1380 + L1381*M1381</f>
        <v>0</v>
      </c>
      <c r="N1382" s="35" t="s">
        <v>25</v>
      </c>
      <c r="O1382" s="36">
        <f>O1377*N1377 + N1378*O1378 + N1379*O1379 + N1380*O1380 + N1381*O1381</f>
        <v>0</v>
      </c>
    </row>
    <row r="1383" ht="14.25" customHeight="1">
      <c r="A1383" s="37"/>
      <c r="B1383" s="13" t="s">
        <v>26</v>
      </c>
      <c r="C1383" s="40">
        <f>(B1377*C1377 + B1378*C1378 + B1379*C1379 + B1381*C1381)/SUM(C1377:C1381)</f>
        <v>148.8888889</v>
      </c>
      <c r="D1383" s="39" t="s">
        <v>26</v>
      </c>
      <c r="E1383" s="40">
        <f>(D1377*E1377 + D1378*E1378 + D1379*E1379 + D1381*E1381)/SUM(E1377:E1381)</f>
        <v>87.77777778</v>
      </c>
      <c r="F1383" s="13" t="s">
        <v>26</v>
      </c>
      <c r="G1383" s="40">
        <f>(F1377*G1377 + F1378*G1378 + F1379*G1379 + F1381*G1381)/SUM(G1377:G1381)</f>
        <v>148.8888889</v>
      </c>
      <c r="H1383" s="13" t="s">
        <v>26</v>
      </c>
      <c r="I1383" s="40">
        <f>(H1377*I1377 + H1378*I1378 + H1379*I1379 + H1381*I1381)/SUM(I1377:I1381)</f>
        <v>55</v>
      </c>
      <c r="J1383" s="39" t="s">
        <v>26</v>
      </c>
      <c r="K1383" s="40" t="str">
        <f>(J1377*K1377 + J1378*K1378 + J1379*K1379 + J1381*K1381)/SUM(K1377:K1381)</f>
        <v>#VALUE!</v>
      </c>
      <c r="L1383" s="13" t="s">
        <v>26</v>
      </c>
      <c r="M1383" s="40" t="str">
        <f>(L1377*M1377 + L1378*M1378 + L1379*M1379 + L1381*M1381)/SUM(M1377:M1381)</f>
        <v>#DIV/0!</v>
      </c>
      <c r="N1383" s="13" t="s">
        <v>26</v>
      </c>
      <c r="O1383" s="40" t="str">
        <f>(N1377*O1377 + N1378*O1378 + N1379*O1379 + N1381*O1381)/SUM(O1377:O1381)</f>
        <v>#DIV/0!</v>
      </c>
    </row>
    <row r="1384" ht="14.25" customHeight="1">
      <c r="A1384" s="28" t="s">
        <v>27</v>
      </c>
      <c r="B1384" s="11" t="s">
        <v>10</v>
      </c>
      <c r="C1384" s="12" t="s">
        <v>11</v>
      </c>
      <c r="D1384" s="11" t="s">
        <v>10</v>
      </c>
      <c r="E1384" s="12" t="s">
        <v>11</v>
      </c>
      <c r="F1384" s="11" t="s">
        <v>10</v>
      </c>
      <c r="G1384" s="12" t="s">
        <v>11</v>
      </c>
      <c r="H1384" s="11" t="s">
        <v>10</v>
      </c>
      <c r="I1384" s="12" t="s">
        <v>11</v>
      </c>
      <c r="J1384" s="11" t="s">
        <v>10</v>
      </c>
      <c r="K1384" s="12" t="s">
        <v>11</v>
      </c>
      <c r="L1384" s="11" t="s">
        <v>10</v>
      </c>
      <c r="M1384" s="12" t="s">
        <v>11</v>
      </c>
      <c r="N1384" s="11" t="s">
        <v>10</v>
      </c>
      <c r="O1384" s="12" t="s">
        <v>11</v>
      </c>
    </row>
    <row r="1385" ht="14.25" customHeight="1">
      <c r="A1385" s="41" t="s">
        <v>28</v>
      </c>
      <c r="B1385" s="20" t="s">
        <v>304</v>
      </c>
      <c r="C1385" s="17"/>
      <c r="D1385" s="20" t="s">
        <v>316</v>
      </c>
      <c r="E1385" s="17"/>
      <c r="F1385" s="20" t="s">
        <v>325</v>
      </c>
      <c r="G1385" s="17"/>
      <c r="H1385" s="45" t="s">
        <v>310</v>
      </c>
      <c r="I1385" s="17"/>
      <c r="J1385" s="20"/>
      <c r="K1385" s="17"/>
      <c r="L1385" s="42"/>
      <c r="M1385" s="44"/>
      <c r="N1385" s="70" t="s">
        <v>326</v>
      </c>
      <c r="O1385" s="44"/>
    </row>
    <row r="1386" ht="14.25" customHeight="1">
      <c r="A1386" s="28"/>
      <c r="B1386" s="46">
        <v>210.0</v>
      </c>
      <c r="C1386" s="48">
        <v>5.0</v>
      </c>
      <c r="D1386" s="46">
        <v>50.0</v>
      </c>
      <c r="E1386" s="48">
        <v>5.0</v>
      </c>
      <c r="F1386" s="46">
        <v>100.0</v>
      </c>
      <c r="G1386" s="48">
        <v>4.0</v>
      </c>
      <c r="H1386" s="1" t="s">
        <v>293</v>
      </c>
      <c r="I1386" s="54" t="s">
        <v>294</v>
      </c>
      <c r="J1386" s="46"/>
      <c r="K1386" s="48"/>
      <c r="L1386" s="46"/>
      <c r="M1386" s="26"/>
      <c r="N1386" s="46"/>
      <c r="O1386" s="26"/>
    </row>
    <row r="1387" ht="14.25" customHeight="1">
      <c r="A1387" s="28" t="s">
        <v>37</v>
      </c>
      <c r="B1387" s="46">
        <v>215.0</v>
      </c>
      <c r="C1387" s="48">
        <v>4.0</v>
      </c>
      <c r="D1387" s="46">
        <v>55.0</v>
      </c>
      <c r="E1387" s="48">
        <v>5.0</v>
      </c>
      <c r="F1387" s="46">
        <v>110.0</v>
      </c>
      <c r="G1387" s="48">
        <v>4.0</v>
      </c>
      <c r="H1387" s="1" t="s">
        <v>210</v>
      </c>
      <c r="I1387" s="54" t="s">
        <v>296</v>
      </c>
      <c r="J1387" s="46"/>
      <c r="K1387" s="48"/>
      <c r="L1387" s="46"/>
      <c r="M1387" s="26"/>
      <c r="N1387" s="46"/>
      <c r="O1387" s="26"/>
    </row>
    <row r="1388" ht="14.25" customHeight="1">
      <c r="A1388" s="28" t="s">
        <v>39</v>
      </c>
      <c r="B1388" s="46">
        <v>220.0</v>
      </c>
      <c r="C1388" s="48">
        <v>3.0</v>
      </c>
      <c r="D1388" s="46">
        <v>60.0</v>
      </c>
      <c r="E1388" s="48">
        <v>5.0</v>
      </c>
      <c r="F1388" s="46">
        <v>120.0</v>
      </c>
      <c r="G1388" s="48">
        <v>4.0</v>
      </c>
      <c r="H1388" s="1" t="s">
        <v>297</v>
      </c>
      <c r="I1388" s="26"/>
      <c r="J1388" s="46"/>
      <c r="K1388" s="48"/>
      <c r="L1388" s="46"/>
      <c r="M1388" s="26"/>
      <c r="N1388" s="46"/>
      <c r="O1388" s="26"/>
    </row>
    <row r="1389" ht="14.25" customHeight="1">
      <c r="A1389" s="28"/>
      <c r="B1389" s="46"/>
      <c r="C1389" s="54"/>
      <c r="D1389" s="46"/>
      <c r="E1389" s="54"/>
      <c r="F1389" s="46"/>
      <c r="G1389" s="54"/>
      <c r="H1389" s="1" t="s">
        <v>299</v>
      </c>
      <c r="I1389" s="26"/>
      <c r="J1389" s="46"/>
      <c r="K1389" s="48"/>
      <c r="L1389" s="46"/>
      <c r="M1389" s="26"/>
      <c r="N1389" s="46"/>
      <c r="O1389" s="26"/>
    </row>
    <row r="1390" ht="14.25" customHeight="1">
      <c r="A1390" s="28" t="s">
        <v>41</v>
      </c>
      <c r="B1390" s="32"/>
      <c r="C1390" s="24"/>
      <c r="D1390" s="32"/>
      <c r="E1390" s="24"/>
      <c r="F1390" s="28" t="s">
        <v>327</v>
      </c>
      <c r="G1390" s="24"/>
      <c r="H1390" s="28"/>
      <c r="I1390" s="24"/>
      <c r="J1390" s="31"/>
      <c r="K1390" s="24"/>
      <c r="L1390" s="32"/>
      <c r="M1390" s="24"/>
      <c r="N1390" s="32"/>
      <c r="O1390" s="24"/>
    </row>
    <row r="1391" ht="14.25" customHeight="1">
      <c r="A1391" s="28" t="s">
        <v>43</v>
      </c>
      <c r="B1391" s="32"/>
      <c r="C1391" s="26"/>
      <c r="D1391" s="32"/>
      <c r="E1391" s="26"/>
      <c r="F1391" s="32"/>
      <c r="G1391" s="26"/>
      <c r="H1391" s="28"/>
      <c r="I1391" s="24"/>
      <c r="J1391" s="13"/>
      <c r="K1391" s="24"/>
      <c r="L1391" s="32"/>
      <c r="M1391" s="26"/>
      <c r="N1391" s="32"/>
      <c r="O1391" s="26"/>
    </row>
    <row r="1392" ht="14.25" customHeight="1">
      <c r="A1392" s="28"/>
      <c r="B1392" s="35" t="s">
        <v>25</v>
      </c>
      <c r="C1392" s="36">
        <f>C1386*B1386 + B1387*C1387 + B1388*C1388 + B1389*C1389 + B1391*C1391</f>
        <v>2570</v>
      </c>
      <c r="D1392" s="35" t="s">
        <v>25</v>
      </c>
      <c r="E1392" s="36">
        <f>E1386*D1386 + D1387*E1387 + D1388*E1388 + D1389*E1389 + D1391*E1391</f>
        <v>825</v>
      </c>
      <c r="F1392" s="35" t="s">
        <v>25</v>
      </c>
      <c r="G1392" s="36">
        <f>G1386*F1386 + F1387*G1387 + F1388*G1388 + F1389*G1389 + F1391*G1391</f>
        <v>1320</v>
      </c>
      <c r="H1392" s="35" t="s">
        <v>25</v>
      </c>
      <c r="I1392" s="36" t="str">
        <f>I1386*H1386 + H1387*I1387 + H1388*I1388 + H1389*I1389 + H1391*I1391</f>
        <v>#VALUE!</v>
      </c>
      <c r="J1392" s="35" t="s">
        <v>25</v>
      </c>
      <c r="K1392" s="36">
        <f>K1386*J1386 + J1387*K1387 + J1388*K1388 + J1389*K1389 + J1391*K1391</f>
        <v>0</v>
      </c>
      <c r="L1392" s="35" t="s">
        <v>25</v>
      </c>
      <c r="M1392" s="36">
        <f>M1386*L1386 + L1387*M1387 + L1388*M1388 + L1389*M1389 + L1391*M1391</f>
        <v>0</v>
      </c>
      <c r="N1392" s="35" t="s">
        <v>25</v>
      </c>
      <c r="O1392" s="36">
        <f>O1386*N1386 + N1387*O1387 + N1388*O1388 + N1389*O1389 + N1391*O1391</f>
        <v>0</v>
      </c>
    </row>
    <row r="1393" ht="14.25" customHeight="1">
      <c r="A1393" s="28" t="s">
        <v>116</v>
      </c>
      <c r="B1393" s="39" t="s">
        <v>26</v>
      </c>
      <c r="C1393" s="40">
        <f>(B1386*C1386 + B1387*C1387 + B1388*C1388 + B1389*C1389 + B1391*C1391)/SUM(C1386:C1391)</f>
        <v>214.1666667</v>
      </c>
      <c r="D1393" s="39" t="s">
        <v>26</v>
      </c>
      <c r="E1393" s="40">
        <f>(D1386*E1386 + D1387*E1387 + D1388*E1388 + D1389*E1389 + D1391*E1391)/SUM(E1386:E1391)</f>
        <v>55</v>
      </c>
      <c r="F1393" s="39" t="s">
        <v>26</v>
      </c>
      <c r="G1393" s="40">
        <f>(F1386*G1386 + F1387*G1387 + F1388*G1388 + F1389*G1389 + F1391*G1391)/SUM(G1386:G1391)</f>
        <v>110</v>
      </c>
      <c r="H1393" s="39" t="s">
        <v>26</v>
      </c>
      <c r="I1393" s="40" t="str">
        <f>(H1386*I1386 + H1387*I1387 + H1388*I1388 + H1389*I1389 + H1391*I1391)/SUM(I1386:I1391)</f>
        <v>#VALUE!</v>
      </c>
      <c r="J1393" s="39" t="s">
        <v>26</v>
      </c>
      <c r="K1393" s="40" t="str">
        <f>(J1386*K1386 + J1387*K1387 + J1388*K1388 + J1389*K1389 + J1391*K1391)/SUM(K1386:K1391)</f>
        <v>#DIV/0!</v>
      </c>
      <c r="L1393" s="39" t="s">
        <v>26</v>
      </c>
      <c r="M1393" s="40" t="str">
        <f>(L1386*M1386 + L1387*M1387 + L1388*M1388 + L1389*M1389 + L1391*M1391)/SUM(M1386:M1391)</f>
        <v>#DIV/0!</v>
      </c>
      <c r="N1393" s="39" t="s">
        <v>26</v>
      </c>
      <c r="O1393" s="40" t="str">
        <f>(N1386*O1386 + N1387*O1387 + N1388*O1388 + N1389*O1389 + N1391*O1391)/SUM(O1386:O1391)</f>
        <v>#DIV/0!</v>
      </c>
    </row>
    <row r="1394" ht="14.25" customHeight="1">
      <c r="A1394" s="28" t="s">
        <v>117</v>
      </c>
      <c r="B1394" s="49" t="s">
        <v>249</v>
      </c>
      <c r="C1394" s="50"/>
      <c r="D1394" s="70" t="s">
        <v>302</v>
      </c>
      <c r="E1394" s="17"/>
      <c r="F1394" s="49"/>
      <c r="G1394" s="50"/>
      <c r="H1394" s="45"/>
      <c r="I1394" s="17"/>
      <c r="J1394" s="70"/>
      <c r="K1394" s="17"/>
      <c r="L1394" s="49"/>
      <c r="M1394" s="50" t="s">
        <v>49</v>
      </c>
      <c r="N1394" s="49"/>
      <c r="O1394" s="50" t="s">
        <v>49</v>
      </c>
    </row>
    <row r="1395" ht="14.25" customHeight="1">
      <c r="A1395" s="28" t="s">
        <v>120</v>
      </c>
      <c r="B1395" s="46" t="s">
        <v>150</v>
      </c>
      <c r="C1395" s="54">
        <v>5.0</v>
      </c>
      <c r="D1395" s="28"/>
      <c r="E1395" s="54">
        <v>5.0</v>
      </c>
      <c r="F1395" s="46"/>
      <c r="G1395" s="54"/>
      <c r="H1395" s="1"/>
      <c r="I1395" s="54"/>
      <c r="J1395" s="28"/>
      <c r="K1395" s="54"/>
      <c r="L1395" s="21"/>
      <c r="M1395" s="24"/>
      <c r="N1395" s="46" t="s">
        <v>141</v>
      </c>
      <c r="O1395" s="24"/>
    </row>
    <row r="1396" ht="14.25" customHeight="1">
      <c r="A1396" s="28"/>
      <c r="B1396" s="46"/>
      <c r="C1396" s="54">
        <v>5.0</v>
      </c>
      <c r="D1396" s="27"/>
      <c r="E1396" s="54">
        <v>5.0</v>
      </c>
      <c r="F1396" s="46"/>
      <c r="G1396" s="54"/>
      <c r="H1396" s="1"/>
      <c r="I1396" s="54"/>
      <c r="J1396" s="27"/>
      <c r="K1396" s="54"/>
      <c r="L1396" s="21"/>
      <c r="M1396" s="26"/>
      <c r="N1396" s="21"/>
      <c r="O1396" s="26"/>
    </row>
    <row r="1397" ht="14.25" customHeight="1">
      <c r="A1397" s="28"/>
      <c r="B1397" s="46"/>
      <c r="C1397" s="54">
        <v>5.0</v>
      </c>
      <c r="D1397" s="27"/>
      <c r="E1397" s="54">
        <v>5.0</v>
      </c>
      <c r="F1397" s="46"/>
      <c r="G1397" s="54"/>
      <c r="H1397" s="1"/>
      <c r="I1397" s="26"/>
      <c r="J1397" s="27"/>
      <c r="K1397" s="54"/>
      <c r="L1397" s="46"/>
      <c r="M1397" s="24"/>
      <c r="N1397" s="46"/>
      <c r="O1397" s="24"/>
    </row>
    <row r="1398" ht="14.25" customHeight="1">
      <c r="A1398" s="28"/>
      <c r="B1398" s="46"/>
      <c r="C1398" s="54"/>
      <c r="D1398" s="46"/>
      <c r="E1398" s="54"/>
      <c r="F1398" s="46"/>
      <c r="G1398" s="54"/>
      <c r="H1398" s="1"/>
      <c r="I1398" s="26"/>
      <c r="J1398" s="28"/>
      <c r="K1398" s="54"/>
      <c r="L1398" s="21"/>
      <c r="M1398" s="24"/>
      <c r="N1398" s="21"/>
      <c r="O1398" s="24"/>
    </row>
    <row r="1399" ht="14.25" customHeight="1">
      <c r="A1399" s="28"/>
      <c r="B1399" s="13"/>
      <c r="C1399" s="34"/>
      <c r="D1399" s="21"/>
      <c r="E1399" s="34"/>
      <c r="F1399" s="13"/>
      <c r="G1399" s="24"/>
      <c r="H1399" s="28"/>
      <c r="I1399" s="34"/>
      <c r="J1399" s="13"/>
      <c r="K1399" s="24"/>
      <c r="L1399" s="31"/>
      <c r="M1399" s="24"/>
      <c r="N1399" s="31"/>
      <c r="O1399" s="24"/>
    </row>
    <row r="1400" ht="14.25" customHeight="1">
      <c r="A1400" s="28"/>
      <c r="B1400" s="35" t="s">
        <v>25</v>
      </c>
      <c r="C1400" s="55" t="str">
        <f>C1395*B1395 + B1396*C1396 + B1397*C1397 + B1398*C1398 + B1399*C1399</f>
        <v>#VALUE!</v>
      </c>
      <c r="D1400" s="35" t="s">
        <v>25</v>
      </c>
      <c r="E1400" s="55">
        <f>E1395*D1395 + D1396*E1396 + D1397*E1397 + D1398*E1398 + D1399*E1399</f>
        <v>0</v>
      </c>
      <c r="F1400" s="35" t="s">
        <v>25</v>
      </c>
      <c r="G1400" s="55">
        <f>G1395*F1395 + F1396*G1396 + F1397*G1397 + F1398*G1398 + F1399*G1399</f>
        <v>0</v>
      </c>
      <c r="H1400" s="35" t="s">
        <v>25</v>
      </c>
      <c r="I1400" s="56">
        <f>I1395*H1395 + H1396*I1396 + H1397*I1397 + H1398*I1398 + H1399*I1399</f>
        <v>0</v>
      </c>
      <c r="J1400" s="35" t="s">
        <v>25</v>
      </c>
      <c r="K1400" s="36">
        <f>K1395*J1395 + J1396*K1396 + J1397*K1397 + J1398*K1398 + J1399*K1399</f>
        <v>0</v>
      </c>
      <c r="L1400" s="57" t="s">
        <v>25</v>
      </c>
      <c r="M1400" s="58">
        <f>M1395*L1395 + L1396*M1396 + L1397*M1397 + L1398*M1398 + L1399*M1399</f>
        <v>0</v>
      </c>
      <c r="N1400" s="57" t="s">
        <v>25</v>
      </c>
      <c r="O1400" s="58" t="str">
        <f>O1395*N1395 + N1396*O1396 + N1397*O1397 + N1398*O1398 + N1399*O1399</f>
        <v>#VALUE!</v>
      </c>
    </row>
    <row r="1401" ht="14.25" customHeight="1">
      <c r="A1401" s="28"/>
      <c r="B1401" s="39" t="s">
        <v>26</v>
      </c>
      <c r="C1401" s="40" t="str">
        <f>(B1395*C1395 + B1396*C1396 + B1397*C1397 + B1398*C1398 + B1399*C1399)/SUM(C1395:C1399)</f>
        <v>#VALUE!</v>
      </c>
      <c r="D1401" s="59" t="s">
        <v>26</v>
      </c>
      <c r="E1401" s="40">
        <f>(D1395*E1395 + D1396*E1396 + D1397*E1397 + D1398*E1398 + D1399*E1399)/SUM(E1395:E1399)</f>
        <v>0</v>
      </c>
      <c r="F1401" s="39" t="s">
        <v>26</v>
      </c>
      <c r="G1401" s="40" t="str">
        <f>(F1395*G1395 + F1396*G1396 + F1397*G1397 + F1398*G1398 + F1399*G1399)/SUM(G1395:G1399)</f>
        <v>#DIV/0!</v>
      </c>
      <c r="H1401" s="59" t="s">
        <v>26</v>
      </c>
      <c r="I1401" s="40" t="str">
        <f>(H1395*I1395 + H1396*I1396 + H1397*I1397 + H1398*I1398 + H1399*I1399)/SUM(I1395:I1399)</f>
        <v>#DIV/0!</v>
      </c>
      <c r="J1401" s="39" t="s">
        <v>26</v>
      </c>
      <c r="K1401" s="40" t="str">
        <f>(J1395*K1395 + J1396*K1396 + J1397*K1397 + J1398*K1398 + J1399*K1399)/SUM(K1395:K1399)</f>
        <v>#DIV/0!</v>
      </c>
      <c r="L1401" s="59" t="s">
        <v>26</v>
      </c>
      <c r="M1401" s="40" t="str">
        <f>(L1395*M1395 + L1396*M1396 + L1397*M1397 + L1398*M1398 + L1399*M1399)/SUM(M1399)</f>
        <v>#DIV/0!</v>
      </c>
      <c r="N1401" s="59" t="s">
        <v>26</v>
      </c>
      <c r="O1401" s="40" t="str">
        <f>(N1395*O1395 + N1396*O1396 + N1397*O1397 + N1398*O1398 + N1399*O1399)/SUM(O1399)</f>
        <v>#VALUE!</v>
      </c>
    </row>
    <row r="1402" ht="14.25" customHeight="1">
      <c r="A1402" s="28"/>
      <c r="B1402" s="28" t="s">
        <v>50</v>
      </c>
      <c r="C1402" s="30" t="s">
        <v>49</v>
      </c>
      <c r="D1402" s="28" t="s">
        <v>50</v>
      </c>
      <c r="E1402" s="30" t="s">
        <v>49</v>
      </c>
      <c r="F1402" s="28" t="s">
        <v>50</v>
      </c>
      <c r="G1402" s="30" t="s">
        <v>49</v>
      </c>
      <c r="H1402" s="28" t="s">
        <v>50</v>
      </c>
      <c r="I1402" s="30" t="s">
        <v>49</v>
      </c>
      <c r="J1402" s="28" t="s">
        <v>50</v>
      </c>
      <c r="K1402" s="30" t="s">
        <v>49</v>
      </c>
      <c r="L1402" s="28" t="s">
        <v>50</v>
      </c>
      <c r="M1402" s="60" t="s">
        <v>49</v>
      </c>
      <c r="N1402" s="28" t="s">
        <v>50</v>
      </c>
      <c r="O1402" s="60" t="s">
        <v>49</v>
      </c>
    </row>
    <row r="1403" ht="14.25" customHeight="1">
      <c r="A1403" s="28"/>
      <c r="B1403" s="27" t="s">
        <v>328</v>
      </c>
      <c r="C1403" s="60"/>
      <c r="D1403" s="27" t="s">
        <v>329</v>
      </c>
      <c r="E1403" s="60"/>
      <c r="F1403" s="27" t="s">
        <v>330</v>
      </c>
      <c r="G1403" s="60"/>
      <c r="H1403" s="27" t="s">
        <v>331</v>
      </c>
      <c r="I1403" s="60"/>
      <c r="J1403" s="27" t="s">
        <v>332</v>
      </c>
      <c r="K1403" s="60"/>
      <c r="L1403" s="27" t="s">
        <v>332</v>
      </c>
      <c r="M1403" s="60"/>
      <c r="N1403" s="27"/>
      <c r="O1403" s="60"/>
    </row>
    <row r="1404" ht="14.25" customHeight="1">
      <c r="A1404" s="28"/>
      <c r="B1404" s="27"/>
      <c r="C1404" s="60"/>
      <c r="D1404" s="27"/>
      <c r="E1404" s="60"/>
      <c r="F1404" s="27"/>
      <c r="G1404" s="60"/>
      <c r="H1404" s="27"/>
      <c r="I1404" s="60"/>
      <c r="J1404" s="27"/>
      <c r="K1404" s="60"/>
      <c r="L1404" s="27"/>
      <c r="M1404" s="60"/>
      <c r="N1404" s="27"/>
      <c r="O1404" s="60"/>
    </row>
    <row r="1405" ht="14.25" customHeight="1">
      <c r="A1405" s="37"/>
      <c r="B1405" s="28"/>
      <c r="C1405" s="60"/>
      <c r="D1405" s="28"/>
      <c r="E1405" s="60"/>
      <c r="F1405" s="28"/>
      <c r="G1405" s="60"/>
      <c r="H1405" s="30"/>
      <c r="I1405" s="60"/>
      <c r="J1405" s="1" t="s">
        <v>333</v>
      </c>
      <c r="K1405" s="60"/>
      <c r="L1405" s="1" t="s">
        <v>333</v>
      </c>
      <c r="M1405" s="60"/>
      <c r="N1405" s="30"/>
      <c r="O1405" s="60"/>
    </row>
    <row r="1406" ht="14.25" customHeight="1">
      <c r="A1406" s="37"/>
      <c r="B1406" s="28"/>
      <c r="C1406" s="1"/>
      <c r="D1406" s="28"/>
      <c r="E1406" s="1"/>
      <c r="F1406" s="28"/>
      <c r="G1406" s="63"/>
      <c r="H1406" s="30"/>
      <c r="I1406" s="30"/>
      <c r="J1406" s="28"/>
      <c r="K1406" s="60"/>
      <c r="L1406" s="30"/>
      <c r="M1406" s="60"/>
      <c r="N1406" s="30"/>
      <c r="O1406" s="60"/>
    </row>
    <row r="1407" ht="14.25" customHeight="1">
      <c r="A1407" s="37"/>
      <c r="B1407" s="28"/>
      <c r="C1407" s="1"/>
      <c r="D1407" s="28"/>
      <c r="E1407" s="1"/>
      <c r="F1407" s="28"/>
      <c r="G1407" s="60"/>
      <c r="H1407" s="28" t="s">
        <v>334</v>
      </c>
      <c r="I1407" s="30"/>
      <c r="J1407" s="28" t="s">
        <v>334</v>
      </c>
      <c r="K1407" s="60"/>
      <c r="L1407" s="30"/>
      <c r="M1407" s="60"/>
      <c r="N1407" s="30"/>
      <c r="O1407" s="60"/>
    </row>
    <row r="1408" ht="14.25" customHeight="1">
      <c r="A1408" s="37"/>
      <c r="B1408" s="28"/>
      <c r="C1408" s="1"/>
      <c r="D1408" s="28"/>
      <c r="E1408" s="1"/>
      <c r="F1408" s="28"/>
      <c r="G1408" s="60"/>
      <c r="H1408" s="30"/>
      <c r="I1408" s="30"/>
      <c r="J1408" s="37"/>
      <c r="K1408" s="60"/>
      <c r="L1408" s="30"/>
      <c r="M1408" s="60"/>
      <c r="N1408" s="30"/>
      <c r="O1408" s="60"/>
    </row>
    <row r="1409" ht="14.25" customHeight="1">
      <c r="A1409" s="64"/>
      <c r="B1409" s="65"/>
      <c r="C1409" s="66"/>
      <c r="D1409" s="65"/>
      <c r="E1409" s="66"/>
      <c r="F1409" s="64"/>
      <c r="G1409" s="67"/>
      <c r="H1409" s="66"/>
      <c r="I1409" s="66"/>
      <c r="J1409" s="64"/>
      <c r="K1409" s="67"/>
      <c r="L1409" s="66"/>
      <c r="M1409" s="67"/>
      <c r="N1409" s="66"/>
      <c r="O1409" s="67"/>
    </row>
    <row r="1410" ht="14.25" customHeight="1">
      <c r="A1410" s="30"/>
      <c r="B1410" s="1"/>
      <c r="C1410" s="30"/>
      <c r="D1410" s="1"/>
      <c r="E1410" s="30"/>
      <c r="F1410" s="30"/>
      <c r="G1410" s="30"/>
      <c r="H1410" s="30"/>
      <c r="I1410" s="30"/>
      <c r="J1410" s="30"/>
      <c r="K1410" s="30"/>
      <c r="L1410" s="30"/>
      <c r="M1410" s="30"/>
      <c r="N1410" s="30"/>
      <c r="O1410" s="30"/>
    </row>
    <row r="1411" ht="14.25" customHeight="1">
      <c r="A1411" s="2" t="s">
        <v>2</v>
      </c>
      <c r="B1411" s="3" t="s">
        <v>3</v>
      </c>
      <c r="C1411" s="4">
        <f>M1373+2</f>
        <v>45621</v>
      </c>
      <c r="D1411" s="5" t="s">
        <v>4</v>
      </c>
      <c r="E1411" s="6">
        <f>C1411+1</f>
        <v>45622</v>
      </c>
      <c r="F1411" s="3" t="s">
        <v>5</v>
      </c>
      <c r="G1411" s="6">
        <f>E1411+1</f>
        <v>45623</v>
      </c>
      <c r="H1411" s="3" t="s">
        <v>6</v>
      </c>
      <c r="I1411" s="6">
        <f>G1411+1</f>
        <v>45624</v>
      </c>
      <c r="J1411" s="3" t="s">
        <v>7</v>
      </c>
      <c r="K1411" s="6">
        <f>I1411+1</f>
        <v>45625</v>
      </c>
      <c r="L1411" s="7" t="s">
        <v>8</v>
      </c>
      <c r="M1411" s="8">
        <f>K1411+1</f>
        <v>45626</v>
      </c>
      <c r="N1411" s="9" t="s">
        <v>9</v>
      </c>
      <c r="O1411" s="8">
        <f>M1411+1</f>
        <v>45627</v>
      </c>
    </row>
    <row r="1412" ht="14.25" customHeight="1">
      <c r="A1412" s="10">
        <f>A1374+1</f>
        <v>39</v>
      </c>
      <c r="B1412" s="11" t="s">
        <v>10</v>
      </c>
      <c r="C1412" s="12" t="s">
        <v>11</v>
      </c>
      <c r="D1412" s="11" t="s">
        <v>10</v>
      </c>
      <c r="E1412" s="12" t="s">
        <v>11</v>
      </c>
      <c r="F1412" s="11" t="s">
        <v>10</v>
      </c>
      <c r="G1412" s="12" t="s">
        <v>11</v>
      </c>
      <c r="H1412" s="11" t="s">
        <v>10</v>
      </c>
      <c r="I1412" s="12" t="s">
        <v>11</v>
      </c>
      <c r="J1412" s="11" t="s">
        <v>10</v>
      </c>
      <c r="K1412" s="12" t="s">
        <v>11</v>
      </c>
      <c r="L1412" s="11" t="s">
        <v>10</v>
      </c>
      <c r="M1412" s="12" t="s">
        <v>11</v>
      </c>
      <c r="N1412" s="11" t="s">
        <v>10</v>
      </c>
      <c r="O1412" s="12" t="s">
        <v>11</v>
      </c>
    </row>
    <row r="1413" ht="14.25" customHeight="1">
      <c r="A1413" s="13"/>
      <c r="B1413" s="14" t="s">
        <v>17</v>
      </c>
      <c r="C1413" s="15"/>
      <c r="D1413" s="14" t="s">
        <v>17</v>
      </c>
      <c r="E1413" s="15"/>
      <c r="F1413" s="14" t="s">
        <v>17</v>
      </c>
      <c r="G1413" s="15"/>
      <c r="H1413" s="14" t="s">
        <v>335</v>
      </c>
      <c r="I1413" s="15"/>
      <c r="J1413" s="14" t="s">
        <v>336</v>
      </c>
      <c r="K1413" s="15"/>
      <c r="L1413" s="14" t="s">
        <v>306</v>
      </c>
      <c r="M1413" s="15"/>
      <c r="N1413" s="14" t="s">
        <v>306</v>
      </c>
      <c r="O1413" s="15"/>
    </row>
    <row r="1414" ht="14.25" customHeight="1">
      <c r="A1414" s="13" t="s">
        <v>12</v>
      </c>
      <c r="B1414" s="20" t="s">
        <v>337</v>
      </c>
      <c r="C1414" s="17"/>
      <c r="D1414" s="20" t="s">
        <v>229</v>
      </c>
      <c r="E1414" s="17"/>
      <c r="F1414" s="20" t="s">
        <v>337</v>
      </c>
      <c r="G1414" s="17"/>
      <c r="H1414" s="20"/>
      <c r="I1414" s="17"/>
      <c r="J1414" s="20" t="s">
        <v>84</v>
      </c>
      <c r="K1414" s="17"/>
      <c r="L1414" s="20" t="s">
        <v>337</v>
      </c>
      <c r="M1414" s="17"/>
      <c r="N1414" s="20" t="s">
        <v>338</v>
      </c>
      <c r="O1414" s="17"/>
    </row>
    <row r="1415" ht="14.25" customHeight="1">
      <c r="A1415" s="13"/>
      <c r="B1415" s="46">
        <v>100.0</v>
      </c>
      <c r="C1415" s="48">
        <v>4.0</v>
      </c>
      <c r="D1415" s="46">
        <v>80.0</v>
      </c>
      <c r="E1415" s="48">
        <v>4.0</v>
      </c>
      <c r="F1415" s="46">
        <v>100.0</v>
      </c>
      <c r="G1415" s="48">
        <v>4.0</v>
      </c>
      <c r="H1415" s="46"/>
      <c r="I1415" s="48"/>
      <c r="J1415" s="46" t="s">
        <v>339</v>
      </c>
      <c r="K1415" s="48"/>
      <c r="L1415" s="46">
        <v>100.0</v>
      </c>
      <c r="M1415" s="48">
        <v>4.0</v>
      </c>
      <c r="N1415" s="27"/>
      <c r="O1415" s="24"/>
    </row>
    <row r="1416" ht="14.25" customHeight="1">
      <c r="A1416" s="28" t="s">
        <v>20</v>
      </c>
      <c r="B1416" s="46">
        <v>120.0</v>
      </c>
      <c r="C1416" s="48">
        <v>3.0</v>
      </c>
      <c r="D1416" s="46">
        <v>90.0</v>
      </c>
      <c r="E1416" s="48">
        <v>3.0</v>
      </c>
      <c r="F1416" s="46">
        <v>120.0</v>
      </c>
      <c r="G1416" s="48">
        <v>3.0</v>
      </c>
      <c r="H1416" s="46"/>
      <c r="I1416" s="48"/>
      <c r="J1416" s="46"/>
      <c r="K1416" s="48"/>
      <c r="L1416" s="46">
        <v>120.0</v>
      </c>
      <c r="M1416" s="48">
        <v>3.0</v>
      </c>
      <c r="N1416" s="28"/>
      <c r="O1416" s="24"/>
    </row>
    <row r="1417" ht="14.25" customHeight="1">
      <c r="A1417" s="29" t="s">
        <v>22</v>
      </c>
      <c r="B1417" s="46">
        <v>125.0</v>
      </c>
      <c r="C1417" s="48">
        <v>2.0</v>
      </c>
      <c r="D1417" s="46">
        <v>100.0</v>
      </c>
      <c r="E1417" s="48">
        <v>2.0</v>
      </c>
      <c r="F1417" s="46">
        <v>125.0</v>
      </c>
      <c r="G1417" s="48">
        <v>2.0</v>
      </c>
      <c r="H1417" s="46"/>
      <c r="I1417" s="48"/>
      <c r="J1417" s="46"/>
      <c r="K1417" s="48"/>
      <c r="L1417" s="46">
        <v>125.0</v>
      </c>
      <c r="M1417" s="48">
        <v>2.0</v>
      </c>
      <c r="N1417" s="23"/>
      <c r="O1417" s="24"/>
    </row>
    <row r="1418" ht="14.25" customHeight="1">
      <c r="A1418" s="28" t="s">
        <v>23</v>
      </c>
      <c r="B1418" s="28"/>
      <c r="C1418" s="26"/>
      <c r="D1418" s="46"/>
      <c r="E1418" s="48"/>
      <c r="F1418" s="28"/>
      <c r="G1418" s="26"/>
      <c r="H1418" s="1"/>
      <c r="I1418" s="24"/>
      <c r="J1418" s="46"/>
      <c r="K1418" s="48"/>
      <c r="L1418" s="28"/>
      <c r="M1418" s="26"/>
      <c r="N1418" s="32"/>
      <c r="O1418" s="26"/>
    </row>
    <row r="1419" ht="14.25" customHeight="1">
      <c r="A1419" s="13"/>
      <c r="B1419" s="33"/>
      <c r="C1419" s="26"/>
      <c r="D1419" s="13"/>
      <c r="E1419" s="24"/>
      <c r="F1419" s="33"/>
      <c r="G1419" s="26"/>
      <c r="H1419" s="13"/>
      <c r="I1419" s="34"/>
      <c r="J1419" s="13"/>
      <c r="K1419" s="24"/>
      <c r="L1419" s="13"/>
      <c r="M1419" s="24"/>
      <c r="N1419" s="13"/>
      <c r="O1419" s="24"/>
    </row>
    <row r="1420" ht="14.25" customHeight="1">
      <c r="A1420" s="28" t="s">
        <v>24</v>
      </c>
      <c r="B1420" s="35" t="s">
        <v>25</v>
      </c>
      <c r="C1420" s="36">
        <f>C1415*B1415 + B1416*C1416 + B1417*C1417 + B1418*C1418 + B1419*C1419</f>
        <v>1010</v>
      </c>
      <c r="D1420" s="35" t="s">
        <v>25</v>
      </c>
      <c r="E1420" s="36">
        <f>E1415*D1415 + D1416*E1416 + D1417*E1417 + D1418*E1418 + D1419*E1419</f>
        <v>790</v>
      </c>
      <c r="F1420" s="35" t="s">
        <v>25</v>
      </c>
      <c r="G1420" s="36">
        <f>G1415*F1415 + F1416*G1416 + F1417*G1417 + F1418*G1418 + F1419*G1419</f>
        <v>1010</v>
      </c>
      <c r="H1420" s="35" t="s">
        <v>25</v>
      </c>
      <c r="I1420" s="36">
        <f>I1415*H1415 + H1416*I1416 + H1417*I1417 + H1418*I1418 + H1419*I1419</f>
        <v>0</v>
      </c>
      <c r="J1420" s="35" t="s">
        <v>25</v>
      </c>
      <c r="K1420" s="36" t="str">
        <f>K1415*J1415 + J1416*K1416 + J1417*K1417 + J1418*K1418 + J1419*K1419</f>
        <v>#VALUE!</v>
      </c>
      <c r="L1420" s="35" t="s">
        <v>25</v>
      </c>
      <c r="M1420" s="36">
        <f>M1415*L1415 + L1416*M1416 + L1417*M1417 + L1418*M1418 + L1419*M1419</f>
        <v>1010</v>
      </c>
      <c r="N1420" s="35" t="s">
        <v>25</v>
      </c>
      <c r="O1420" s="36">
        <f>O1415*N1415 + N1416*O1416 + N1417*O1417 + N1418*O1418 + N1419*O1419</f>
        <v>0</v>
      </c>
    </row>
    <row r="1421" ht="14.25" customHeight="1">
      <c r="A1421" s="37"/>
      <c r="B1421" s="13" t="s">
        <v>26</v>
      </c>
      <c r="C1421" s="40">
        <f>(B1415*C1415 + B1416*C1416 + B1417*C1417 + B1418*C1418 + B1419*C1419)/SUM(C1415:C1419)</f>
        <v>112.2222222</v>
      </c>
      <c r="D1421" s="39" t="s">
        <v>26</v>
      </c>
      <c r="E1421" s="40">
        <f>(D1415*E1415 + D1416*E1416 + D1417*E1417 + D1418*E1418 + D1419*E1419)/SUM(E1415:E1419)</f>
        <v>87.77777778</v>
      </c>
      <c r="F1421" s="13" t="s">
        <v>26</v>
      </c>
      <c r="G1421" s="40">
        <f>(F1415*G1415 + F1416*G1416 + F1417*G1417 + F1418*G1418 + F1419*G1419)/SUM(G1415:G1419)</f>
        <v>112.2222222</v>
      </c>
      <c r="H1421" s="13" t="s">
        <v>26</v>
      </c>
      <c r="I1421" s="40" t="str">
        <f>(H1415*I1415 + H1416*I1416 + H1417*I1417 + H1418*I1418 + H1419*I1419)/SUM(I1415:I1419)</f>
        <v>#DIV/0!</v>
      </c>
      <c r="J1421" s="39" t="s">
        <v>26</v>
      </c>
      <c r="K1421" s="40" t="str">
        <f>(J1415*K1415 + J1416*K1416 + J1417*K1417 + J1418*K1418 + J1419*K1419)/SUM(K1415:K1419)</f>
        <v>#VALUE!</v>
      </c>
      <c r="L1421" s="13" t="s">
        <v>26</v>
      </c>
      <c r="M1421" s="40">
        <f>(L1415*M1415 + L1416*M1416 + L1417*M1417 + L1418*M1418 + L1419*M1419)/SUM(M1415:M1419)</f>
        <v>112.2222222</v>
      </c>
      <c r="N1421" s="13" t="s">
        <v>26</v>
      </c>
      <c r="O1421" s="40" t="str">
        <f>(N1415*O1415 + N1416*O1416 + N1417*O1417 + N1418*O1418 + N1419*O1419)/SUM(O1415:O1419)</f>
        <v>#DIV/0!</v>
      </c>
    </row>
    <row r="1422" ht="14.25" customHeight="1">
      <c r="A1422" s="28" t="s">
        <v>27</v>
      </c>
      <c r="B1422" s="11" t="s">
        <v>10</v>
      </c>
      <c r="C1422" s="12" t="s">
        <v>11</v>
      </c>
      <c r="D1422" s="11" t="s">
        <v>10</v>
      </c>
      <c r="E1422" s="12" t="s">
        <v>11</v>
      </c>
      <c r="F1422" s="11" t="s">
        <v>10</v>
      </c>
      <c r="G1422" s="12" t="s">
        <v>11</v>
      </c>
      <c r="H1422" s="11" t="s">
        <v>10</v>
      </c>
      <c r="I1422" s="12" t="s">
        <v>11</v>
      </c>
      <c r="J1422" s="11" t="s">
        <v>10</v>
      </c>
      <c r="K1422" s="12" t="s">
        <v>11</v>
      </c>
      <c r="L1422" s="11" t="s">
        <v>10</v>
      </c>
      <c r="M1422" s="12" t="s">
        <v>11</v>
      </c>
      <c r="N1422" s="11" t="s">
        <v>10</v>
      </c>
      <c r="O1422" s="12" t="s">
        <v>11</v>
      </c>
    </row>
    <row r="1423" ht="14.25" customHeight="1">
      <c r="A1423" s="41" t="s">
        <v>28</v>
      </c>
      <c r="B1423" s="20" t="s">
        <v>304</v>
      </c>
      <c r="C1423" s="17"/>
      <c r="D1423" s="20" t="s">
        <v>316</v>
      </c>
      <c r="E1423" s="17"/>
      <c r="F1423" s="20" t="s">
        <v>325</v>
      </c>
      <c r="G1423" s="17"/>
      <c r="H1423" s="45"/>
      <c r="I1423" s="17"/>
      <c r="J1423" s="20" t="s">
        <v>340</v>
      </c>
      <c r="K1423" s="17"/>
      <c r="L1423" s="20" t="s">
        <v>304</v>
      </c>
      <c r="M1423" s="17"/>
      <c r="N1423" s="42"/>
      <c r="O1423" s="44"/>
    </row>
    <row r="1424" ht="14.25" customHeight="1">
      <c r="A1424" s="28"/>
      <c r="B1424" s="46">
        <v>215.0</v>
      </c>
      <c r="C1424" s="48">
        <v>5.0</v>
      </c>
      <c r="D1424" s="46">
        <v>50.0</v>
      </c>
      <c r="E1424" s="48">
        <v>5.0</v>
      </c>
      <c r="F1424" s="46">
        <v>110.0</v>
      </c>
      <c r="G1424" s="48">
        <v>4.0</v>
      </c>
      <c r="H1424" s="1"/>
      <c r="I1424" s="54"/>
      <c r="J1424" s="46">
        <v>50.0</v>
      </c>
      <c r="K1424" s="48"/>
      <c r="L1424" s="46">
        <v>215.0</v>
      </c>
      <c r="M1424" s="48">
        <v>5.0</v>
      </c>
      <c r="N1424" s="46"/>
      <c r="O1424" s="26"/>
    </row>
    <row r="1425" ht="14.25" customHeight="1">
      <c r="A1425" s="28" t="s">
        <v>37</v>
      </c>
      <c r="B1425" s="46">
        <v>220.0</v>
      </c>
      <c r="C1425" s="48">
        <v>4.0</v>
      </c>
      <c r="D1425" s="46">
        <v>55.0</v>
      </c>
      <c r="E1425" s="48">
        <v>5.0</v>
      </c>
      <c r="F1425" s="46">
        <v>115.0</v>
      </c>
      <c r="G1425" s="48">
        <v>4.0</v>
      </c>
      <c r="H1425" s="1"/>
      <c r="I1425" s="54"/>
      <c r="J1425" s="46">
        <v>60.0</v>
      </c>
      <c r="K1425" s="48"/>
      <c r="L1425" s="46">
        <v>220.0</v>
      </c>
      <c r="M1425" s="48">
        <v>4.0</v>
      </c>
      <c r="N1425" s="46"/>
      <c r="O1425" s="26"/>
    </row>
    <row r="1426" ht="14.25" customHeight="1">
      <c r="A1426" s="28" t="s">
        <v>39</v>
      </c>
      <c r="B1426" s="46">
        <v>225.0</v>
      </c>
      <c r="C1426" s="48">
        <v>3.0</v>
      </c>
      <c r="D1426" s="46">
        <v>60.0</v>
      </c>
      <c r="E1426" s="48">
        <v>5.0</v>
      </c>
      <c r="F1426" s="46">
        <v>120.0</v>
      </c>
      <c r="G1426" s="48">
        <v>4.0</v>
      </c>
      <c r="H1426" s="1"/>
      <c r="I1426" s="26"/>
      <c r="J1426" s="46">
        <v>60.0</v>
      </c>
      <c r="K1426" s="48"/>
      <c r="L1426" s="46">
        <v>225.0</v>
      </c>
      <c r="M1426" s="48">
        <v>3.0</v>
      </c>
      <c r="N1426" s="46"/>
      <c r="O1426" s="26"/>
    </row>
    <row r="1427" ht="14.25" customHeight="1">
      <c r="A1427" s="28"/>
      <c r="B1427" s="46"/>
      <c r="C1427" s="54"/>
      <c r="D1427" s="46"/>
      <c r="E1427" s="54"/>
      <c r="F1427" s="46"/>
      <c r="G1427" s="54"/>
      <c r="H1427" s="1"/>
      <c r="I1427" s="26"/>
      <c r="J1427" s="46">
        <v>30.0</v>
      </c>
      <c r="K1427" s="48"/>
      <c r="L1427" s="46"/>
      <c r="M1427" s="26"/>
      <c r="N1427" s="46"/>
      <c r="O1427" s="26"/>
    </row>
    <row r="1428" ht="14.25" customHeight="1">
      <c r="A1428" s="28" t="s">
        <v>41</v>
      </c>
      <c r="B1428" s="32"/>
      <c r="C1428" s="24"/>
      <c r="D1428" s="32"/>
      <c r="E1428" s="24"/>
      <c r="F1428" s="28" t="s">
        <v>327</v>
      </c>
      <c r="G1428" s="24"/>
      <c r="H1428" s="28"/>
      <c r="I1428" s="24"/>
      <c r="J1428" s="31"/>
      <c r="K1428" s="24"/>
      <c r="L1428" s="32"/>
      <c r="M1428" s="24"/>
      <c r="N1428" s="32"/>
      <c r="O1428" s="24"/>
    </row>
    <row r="1429" ht="14.25" customHeight="1">
      <c r="A1429" s="28" t="s">
        <v>43</v>
      </c>
      <c r="B1429" s="32"/>
      <c r="C1429" s="26"/>
      <c r="D1429" s="32"/>
      <c r="E1429" s="26"/>
      <c r="F1429" s="32"/>
      <c r="G1429" s="26"/>
      <c r="H1429" s="28"/>
      <c r="I1429" s="24"/>
      <c r="J1429" s="13"/>
      <c r="K1429" s="24"/>
      <c r="L1429" s="32"/>
      <c r="M1429" s="26"/>
      <c r="N1429" s="32"/>
      <c r="O1429" s="26"/>
    </row>
    <row r="1430" ht="14.25" customHeight="1">
      <c r="A1430" s="28"/>
      <c r="B1430" s="35" t="s">
        <v>25</v>
      </c>
      <c r="C1430" s="36">
        <f>C1424*B1424 + B1425*C1425 + B1426*C1426 + B1427*C1427 + B1429*C1429</f>
        <v>2630</v>
      </c>
      <c r="D1430" s="35" t="s">
        <v>25</v>
      </c>
      <c r="E1430" s="36">
        <f>E1424*D1424 + D1425*E1425 + D1426*E1426 + D1427*E1427 + D1429*E1429</f>
        <v>825</v>
      </c>
      <c r="F1430" s="35" t="s">
        <v>25</v>
      </c>
      <c r="G1430" s="36">
        <f>G1424*F1424 + F1425*G1425 + F1426*G1426 + F1427*G1427 + F1429*G1429</f>
        <v>1380</v>
      </c>
      <c r="H1430" s="35" t="s">
        <v>25</v>
      </c>
      <c r="I1430" s="36">
        <f>I1424*H1424 + H1425*I1425 + H1426*I1426 + H1427*I1427 + H1429*I1429</f>
        <v>0</v>
      </c>
      <c r="J1430" s="35" t="s">
        <v>25</v>
      </c>
      <c r="K1430" s="36">
        <f>K1424*J1424 + J1425*K1425 + J1426*K1426 + J1427*K1427 + J1429*K1429</f>
        <v>0</v>
      </c>
      <c r="L1430" s="35" t="s">
        <v>25</v>
      </c>
      <c r="M1430" s="36">
        <f>M1424*L1424 + L1425*M1425 + L1426*M1426 + L1427*M1427 + L1429*M1429</f>
        <v>2630</v>
      </c>
      <c r="N1430" s="35" t="s">
        <v>25</v>
      </c>
      <c r="O1430" s="36">
        <f>O1424*N1424 + N1425*O1425 + N1426*O1426 + N1427*O1427 + N1429*O1429</f>
        <v>0</v>
      </c>
    </row>
    <row r="1431" ht="14.25" customHeight="1">
      <c r="A1431" s="28" t="s">
        <v>116</v>
      </c>
      <c r="B1431" s="39" t="s">
        <v>26</v>
      </c>
      <c r="C1431" s="40">
        <f>(B1425*C1425 + B1426*C1426 + B1427*C1427 + B1428*C1428 + B1429*C1429)/SUM(C1425:C1429)</f>
        <v>222.1428571</v>
      </c>
      <c r="D1431" s="39" t="s">
        <v>26</v>
      </c>
      <c r="E1431" s="40">
        <f>(D1425*E1425 + D1426*E1426 + D1427*E1427 + D1428*E1428 + D1429*E1429)/SUM(E1425:E1429)</f>
        <v>57.5</v>
      </c>
      <c r="F1431" s="39" t="s">
        <v>26</v>
      </c>
      <c r="G1431" s="40" t="str">
        <f>(F1425*G1425 + F1426*G1426 + F1427*G1427 + F1428*G1428 + F1429*G1429)/SUM(G1425:G1429)</f>
        <v>#VALUE!</v>
      </c>
      <c r="H1431" s="39" t="s">
        <v>26</v>
      </c>
      <c r="I1431" s="40" t="str">
        <f>(H1424*I1424 + H1425*I1425 + H1426*I1426 + H1427*I1427 + H1429*I1429)/SUM(I1424:I1429)</f>
        <v>#DIV/0!</v>
      </c>
      <c r="J1431" s="39" t="s">
        <v>26</v>
      </c>
      <c r="K1431" s="40" t="str">
        <f>(J1425*K1425 + J1426*K1426 + J1427*K1427 + J1428*K1428 + J1429*K1429)/SUM(K1425:K1429)</f>
        <v>#DIV/0!</v>
      </c>
      <c r="L1431" s="39" t="s">
        <v>26</v>
      </c>
      <c r="M1431" s="40">
        <f>(L1425*M1425 + L1426*M1426 + L1427*M1427 + L1428*M1428 + L1429*M1429)/SUM(M1425:M1429)</f>
        <v>222.1428571</v>
      </c>
      <c r="N1431" s="39" t="s">
        <v>26</v>
      </c>
      <c r="O1431" s="40" t="str">
        <f>(N1425*O1425 + N1426*O1426 + N1427*O1427 + N1428*O1428 + N1429*O1429)/SUM(O1425:O1429)</f>
        <v>#DIV/0!</v>
      </c>
    </row>
    <row r="1432" ht="14.25" customHeight="1">
      <c r="A1432" s="28" t="s">
        <v>117</v>
      </c>
      <c r="B1432" s="49" t="s">
        <v>341</v>
      </c>
      <c r="C1432" s="50"/>
      <c r="D1432" s="70" t="s">
        <v>302</v>
      </c>
      <c r="E1432" s="17"/>
      <c r="F1432" s="20" t="s">
        <v>304</v>
      </c>
      <c r="G1432" s="17"/>
      <c r="H1432" s="45" t="s">
        <v>33</v>
      </c>
      <c r="I1432" s="17"/>
      <c r="J1432" s="20" t="s">
        <v>316</v>
      </c>
      <c r="K1432" s="17"/>
      <c r="L1432" s="49"/>
      <c r="M1432" s="50" t="s">
        <v>49</v>
      </c>
      <c r="N1432" s="49"/>
      <c r="O1432" s="50" t="s">
        <v>49</v>
      </c>
    </row>
    <row r="1433" ht="14.25" customHeight="1">
      <c r="A1433" s="28" t="s">
        <v>120</v>
      </c>
      <c r="B1433" s="46" t="s">
        <v>342</v>
      </c>
      <c r="C1433" s="54" t="s">
        <v>343</v>
      </c>
      <c r="D1433" s="28"/>
      <c r="E1433" s="54">
        <v>5.0</v>
      </c>
      <c r="F1433" s="46">
        <v>215.0</v>
      </c>
      <c r="G1433" s="48">
        <v>5.0</v>
      </c>
      <c r="H1433" s="1"/>
      <c r="I1433" s="54"/>
      <c r="J1433" s="46">
        <v>50.0</v>
      </c>
      <c r="K1433" s="48">
        <v>5.0</v>
      </c>
      <c r="L1433" s="21"/>
      <c r="M1433" s="24"/>
      <c r="N1433" s="21"/>
      <c r="O1433" s="24"/>
    </row>
    <row r="1434" ht="14.25" customHeight="1">
      <c r="A1434" s="28"/>
      <c r="B1434" s="46"/>
      <c r="C1434" s="54" t="s">
        <v>344</v>
      </c>
      <c r="D1434" s="27"/>
      <c r="E1434" s="54">
        <v>5.0</v>
      </c>
      <c r="F1434" s="46">
        <v>220.0</v>
      </c>
      <c r="G1434" s="48">
        <v>4.0</v>
      </c>
      <c r="H1434" s="1"/>
      <c r="I1434" s="54"/>
      <c r="J1434" s="46">
        <v>55.0</v>
      </c>
      <c r="K1434" s="48">
        <v>5.0</v>
      </c>
      <c r="L1434" s="21"/>
      <c r="M1434" s="26"/>
      <c r="N1434" s="21"/>
      <c r="O1434" s="26"/>
    </row>
    <row r="1435" ht="14.25" customHeight="1">
      <c r="A1435" s="28"/>
      <c r="B1435" s="46"/>
      <c r="C1435" s="54" t="s">
        <v>345</v>
      </c>
      <c r="D1435" s="27"/>
      <c r="E1435" s="54">
        <v>5.0</v>
      </c>
      <c r="F1435" s="46">
        <v>225.0</v>
      </c>
      <c r="G1435" s="48">
        <v>3.0</v>
      </c>
      <c r="H1435" s="1"/>
      <c r="I1435" s="26"/>
      <c r="J1435" s="46">
        <v>60.0</v>
      </c>
      <c r="K1435" s="48">
        <v>5.0</v>
      </c>
      <c r="L1435" s="46"/>
      <c r="M1435" s="24"/>
      <c r="N1435" s="46"/>
      <c r="O1435" s="24"/>
    </row>
    <row r="1436" ht="14.25" customHeight="1">
      <c r="A1436" s="28"/>
      <c r="B1436" s="46" t="s">
        <v>346</v>
      </c>
      <c r="C1436" s="54" t="s">
        <v>347</v>
      </c>
      <c r="D1436" s="46"/>
      <c r="E1436" s="54"/>
      <c r="F1436" s="46"/>
      <c r="G1436" s="54"/>
      <c r="H1436" s="1"/>
      <c r="I1436" s="26"/>
      <c r="J1436" s="28"/>
      <c r="K1436" s="54"/>
      <c r="L1436" s="21"/>
      <c r="M1436" s="24"/>
      <c r="N1436" s="21"/>
      <c r="O1436" s="24"/>
    </row>
    <row r="1437" ht="14.25" customHeight="1">
      <c r="A1437" s="28"/>
      <c r="B1437" s="13"/>
      <c r="C1437" s="34"/>
      <c r="D1437" s="21"/>
      <c r="E1437" s="34"/>
      <c r="F1437" s="13"/>
      <c r="G1437" s="24"/>
      <c r="H1437" s="28"/>
      <c r="I1437" s="34"/>
      <c r="J1437" s="13"/>
      <c r="K1437" s="24"/>
      <c r="L1437" s="31"/>
      <c r="M1437" s="24"/>
      <c r="N1437" s="31"/>
      <c r="O1437" s="24"/>
    </row>
    <row r="1438" ht="14.25" customHeight="1">
      <c r="A1438" s="28"/>
      <c r="B1438" s="35" t="s">
        <v>25</v>
      </c>
      <c r="C1438" s="55" t="str">
        <f>C1433*B1433 + B1434*C1434 + B1435*C1435 + B1436*C1436 + B1437*C1437</f>
        <v>#VALUE!</v>
      </c>
      <c r="D1438" s="35" t="s">
        <v>25</v>
      </c>
      <c r="E1438" s="55">
        <f>E1433*D1433 + D1434*E1434 + D1435*E1435 + D1436*E1436 + D1437*E1437</f>
        <v>0</v>
      </c>
      <c r="F1438" s="35" t="s">
        <v>25</v>
      </c>
      <c r="G1438" s="55">
        <f>G1433*F1433 + F1434*G1434 + F1435*G1435 + F1436*G1436 + F1437*G1437</f>
        <v>2630</v>
      </c>
      <c r="H1438" s="35" t="s">
        <v>25</v>
      </c>
      <c r="I1438" s="56">
        <f>I1433*H1433 + H1434*I1434 + H1435*I1435 + H1436*I1436 + H1437*I1437</f>
        <v>0</v>
      </c>
      <c r="J1438" s="35" t="s">
        <v>25</v>
      </c>
      <c r="K1438" s="36">
        <f>K1433*J1433 + J1434*K1434 + J1435*K1435 + J1436*K1436 + J1437*K1437</f>
        <v>825</v>
      </c>
      <c r="L1438" s="57" t="s">
        <v>25</v>
      </c>
      <c r="M1438" s="58">
        <f>M1433*L1433 + L1434*M1434 + L1435*M1435 + L1436*M1436 + L1437*M1437</f>
        <v>0</v>
      </c>
      <c r="N1438" s="57" t="s">
        <v>25</v>
      </c>
      <c r="O1438" s="58">
        <f>O1433*N1433 + N1434*O1434 + N1435*O1435 + N1436*O1436 + N1437*O1437</f>
        <v>0</v>
      </c>
    </row>
    <row r="1439" ht="14.25" customHeight="1">
      <c r="A1439" s="28"/>
      <c r="B1439" s="39" t="s">
        <v>26</v>
      </c>
      <c r="C1439" s="40" t="str">
        <f>(B1433*C1433 + B1434*C1434 + B1435*C1435 + B1436*C1436 + B1437*C1437)/SUM(C1433:C1437)</f>
        <v>#VALUE!</v>
      </c>
      <c r="D1439" s="59" t="s">
        <v>26</v>
      </c>
      <c r="E1439" s="40">
        <f>(D1433*E1433 + D1434*E1434 + D1435*E1435 + D1436*E1436 + D1437*E1437)/SUM(E1433:E1437)</f>
        <v>0</v>
      </c>
      <c r="F1439" s="39" t="s">
        <v>26</v>
      </c>
      <c r="G1439" s="40">
        <f>(F1433*G1433 + F1434*G1434 + F1435*G1435 + F1436*G1436 + F1437*G1437)/SUM(G1433:G1437)</f>
        <v>219.1666667</v>
      </c>
      <c r="H1439" s="59" t="s">
        <v>26</v>
      </c>
      <c r="I1439" s="40" t="str">
        <f>(H1433*I1433 + H1434*I1434 + H1435*I1435 + H1436*I1436 + H1437*I1437)/SUM(I1433:I1437)</f>
        <v>#DIV/0!</v>
      </c>
      <c r="J1439" s="39" t="s">
        <v>26</v>
      </c>
      <c r="K1439" s="40">
        <f>(J1433*K1433 + J1434*K1434 + J1435*K1435 + J1436*K1436 + J1437*K1437)/SUM(K1433:K1437)</f>
        <v>55</v>
      </c>
      <c r="L1439" s="59" t="s">
        <v>26</v>
      </c>
      <c r="M1439" s="40" t="str">
        <f>(L1433*M1433 + L1434*M1434 + L1435*M1435 + L1436*M1436 + L1437*M1437)/SUM(M1437)</f>
        <v>#DIV/0!</v>
      </c>
      <c r="N1439" s="59" t="s">
        <v>26</v>
      </c>
      <c r="O1439" s="40" t="str">
        <f>(N1433*O1433 + N1434*O1434 + N1435*O1435 + N1436*O1436 + N1437*O1437)/SUM(O1437)</f>
        <v>#DIV/0!</v>
      </c>
    </row>
    <row r="1440" ht="14.25" customHeight="1">
      <c r="A1440" s="28"/>
      <c r="B1440" s="28" t="s">
        <v>51</v>
      </c>
      <c r="C1440" s="30" t="s">
        <v>49</v>
      </c>
      <c r="D1440" s="28" t="s">
        <v>50</v>
      </c>
      <c r="E1440" s="30" t="s">
        <v>49</v>
      </c>
      <c r="F1440" s="28" t="s">
        <v>51</v>
      </c>
      <c r="G1440" s="30" t="s">
        <v>49</v>
      </c>
      <c r="H1440" s="28" t="s">
        <v>50</v>
      </c>
      <c r="I1440" s="30" t="s">
        <v>49</v>
      </c>
      <c r="J1440" s="28" t="s">
        <v>50</v>
      </c>
      <c r="K1440" s="30" t="s">
        <v>49</v>
      </c>
      <c r="L1440" s="28" t="s">
        <v>50</v>
      </c>
      <c r="M1440" s="60" t="s">
        <v>49</v>
      </c>
      <c r="N1440" s="28" t="s">
        <v>50</v>
      </c>
      <c r="O1440" s="60" t="s">
        <v>49</v>
      </c>
    </row>
    <row r="1441" ht="14.25" customHeight="1">
      <c r="A1441" s="28"/>
      <c r="B1441" s="27">
        <v>30.0</v>
      </c>
      <c r="C1441" s="60"/>
      <c r="D1441" s="27"/>
      <c r="E1441" s="60"/>
      <c r="F1441" s="27">
        <v>30.0</v>
      </c>
      <c r="G1441" s="60"/>
      <c r="H1441" s="27"/>
      <c r="I1441" s="60"/>
      <c r="J1441" s="27"/>
      <c r="K1441" s="60"/>
      <c r="L1441" s="27" t="s">
        <v>348</v>
      </c>
      <c r="M1441" s="60"/>
      <c r="N1441" s="27" t="s">
        <v>349</v>
      </c>
      <c r="O1441" s="60"/>
    </row>
    <row r="1442" ht="14.25" customHeight="1">
      <c r="A1442" s="28"/>
      <c r="B1442" s="27">
        <v>40.0</v>
      </c>
      <c r="C1442" s="60"/>
      <c r="D1442" s="27"/>
      <c r="E1442" s="60"/>
      <c r="F1442" s="27">
        <v>30.0</v>
      </c>
      <c r="G1442" s="60"/>
      <c r="H1442" s="27"/>
      <c r="I1442" s="60"/>
      <c r="J1442" s="27"/>
      <c r="K1442" s="60"/>
      <c r="L1442" s="27"/>
      <c r="M1442" s="60"/>
      <c r="N1442" s="27"/>
      <c r="O1442" s="60"/>
    </row>
    <row r="1443" ht="14.25" customHeight="1">
      <c r="A1443" s="37"/>
      <c r="B1443" s="28">
        <v>50.0</v>
      </c>
      <c r="C1443" s="60"/>
      <c r="D1443" s="28"/>
      <c r="E1443" s="60"/>
      <c r="F1443" s="28">
        <v>50.0</v>
      </c>
      <c r="G1443" s="60"/>
      <c r="H1443" s="30"/>
      <c r="I1443" s="60"/>
      <c r="J1443" s="1"/>
      <c r="K1443" s="60"/>
      <c r="L1443" s="1"/>
      <c r="M1443" s="60"/>
      <c r="N1443" s="30"/>
      <c r="O1443" s="60"/>
    </row>
    <row r="1444" ht="14.25" customHeight="1">
      <c r="A1444" s="37"/>
      <c r="B1444" s="28">
        <v>30.0</v>
      </c>
      <c r="C1444" s="1"/>
      <c r="D1444" s="28"/>
      <c r="E1444" s="1"/>
      <c r="F1444" s="28">
        <v>50.0</v>
      </c>
      <c r="G1444" s="63"/>
      <c r="H1444" s="30"/>
      <c r="I1444" s="30"/>
      <c r="J1444" s="28"/>
      <c r="K1444" s="60"/>
      <c r="L1444" s="30"/>
      <c r="M1444" s="60"/>
      <c r="N1444" s="30"/>
      <c r="O1444" s="60"/>
    </row>
    <row r="1445" ht="14.25" customHeight="1">
      <c r="A1445" s="37"/>
      <c r="B1445" s="28"/>
      <c r="C1445" s="1"/>
      <c r="D1445" s="28"/>
      <c r="E1445" s="1"/>
      <c r="F1445" s="28">
        <v>20.0</v>
      </c>
      <c r="G1445" s="60"/>
      <c r="H1445" s="28" t="s">
        <v>334</v>
      </c>
      <c r="I1445" s="30"/>
      <c r="J1445" s="28"/>
      <c r="K1445" s="60"/>
      <c r="L1445" s="30"/>
      <c r="M1445" s="60"/>
      <c r="N1445" s="30"/>
      <c r="O1445" s="60"/>
    </row>
    <row r="1446" ht="14.25" customHeight="1">
      <c r="A1446" s="37"/>
      <c r="B1446" s="28"/>
      <c r="C1446" s="1"/>
      <c r="D1446" s="28"/>
      <c r="E1446" s="1"/>
      <c r="F1446" s="28"/>
      <c r="G1446" s="60"/>
      <c r="H1446" s="30"/>
      <c r="I1446" s="30"/>
      <c r="J1446" s="37"/>
      <c r="K1446" s="60"/>
      <c r="L1446" s="30"/>
      <c r="M1446" s="60"/>
      <c r="N1446" s="30"/>
      <c r="O1446" s="60"/>
    </row>
    <row r="1447" ht="14.25" customHeight="1">
      <c r="A1447" s="64"/>
      <c r="B1447" s="65"/>
      <c r="C1447" s="66"/>
      <c r="D1447" s="65"/>
      <c r="E1447" s="66"/>
      <c r="F1447" s="64"/>
      <c r="G1447" s="67"/>
      <c r="H1447" s="66"/>
      <c r="I1447" s="66"/>
      <c r="J1447" s="64"/>
      <c r="K1447" s="67"/>
      <c r="L1447" s="66"/>
      <c r="M1447" s="67"/>
      <c r="N1447" s="66"/>
      <c r="O1447" s="67"/>
    </row>
    <row r="1448" ht="14.25" customHeight="1">
      <c r="A1448" s="30"/>
      <c r="B1448" s="1"/>
      <c r="C1448" s="30"/>
      <c r="D1448" s="1"/>
      <c r="E1448" s="30"/>
      <c r="F1448" s="30"/>
      <c r="G1448" s="30"/>
      <c r="H1448" s="30"/>
      <c r="I1448" s="30"/>
      <c r="J1448" s="30"/>
      <c r="K1448" s="30"/>
      <c r="L1448" s="30"/>
      <c r="M1448" s="30"/>
      <c r="N1448" s="30"/>
      <c r="O1448" s="30"/>
    </row>
    <row r="1449" ht="14.25" customHeight="1">
      <c r="A1449" s="2" t="s">
        <v>2</v>
      </c>
      <c r="B1449" s="3" t="s">
        <v>3</v>
      </c>
      <c r="C1449" s="4">
        <f>M1411+2</f>
        <v>45628</v>
      </c>
      <c r="D1449" s="5" t="s">
        <v>4</v>
      </c>
      <c r="E1449" s="6">
        <f>C1449+1</f>
        <v>45629</v>
      </c>
      <c r="F1449" s="3" t="s">
        <v>5</v>
      </c>
      <c r="G1449" s="6">
        <f>E1449+1</f>
        <v>45630</v>
      </c>
      <c r="H1449" s="3" t="s">
        <v>6</v>
      </c>
      <c r="I1449" s="6">
        <f>G1449+1</f>
        <v>45631</v>
      </c>
      <c r="J1449" s="3" t="s">
        <v>7</v>
      </c>
      <c r="K1449" s="6">
        <f>I1449+1</f>
        <v>45632</v>
      </c>
      <c r="L1449" s="7" t="s">
        <v>8</v>
      </c>
      <c r="M1449" s="8">
        <f>K1449+1</f>
        <v>45633</v>
      </c>
      <c r="N1449" s="9" t="s">
        <v>9</v>
      </c>
      <c r="O1449" s="8">
        <f>M1449+1</f>
        <v>45634</v>
      </c>
    </row>
    <row r="1450" ht="14.25" customHeight="1">
      <c r="A1450" s="10">
        <f>A1412+1</f>
        <v>40</v>
      </c>
      <c r="B1450" s="11" t="s">
        <v>10</v>
      </c>
      <c r="C1450" s="12" t="s">
        <v>11</v>
      </c>
      <c r="D1450" s="11" t="s">
        <v>10</v>
      </c>
      <c r="E1450" s="12" t="s">
        <v>11</v>
      </c>
      <c r="F1450" s="11" t="s">
        <v>10</v>
      </c>
      <c r="G1450" s="12" t="s">
        <v>11</v>
      </c>
      <c r="H1450" s="11" t="s">
        <v>10</v>
      </c>
      <c r="I1450" s="12" t="s">
        <v>11</v>
      </c>
      <c r="J1450" s="11" t="s">
        <v>10</v>
      </c>
      <c r="K1450" s="12" t="s">
        <v>11</v>
      </c>
      <c r="L1450" s="11" t="s">
        <v>10</v>
      </c>
      <c r="M1450" s="12" t="s">
        <v>11</v>
      </c>
      <c r="N1450" s="11" t="s">
        <v>10</v>
      </c>
      <c r="O1450" s="12" t="s">
        <v>11</v>
      </c>
    </row>
    <row r="1451" ht="14.25" customHeight="1">
      <c r="A1451" s="13"/>
      <c r="B1451" s="14" t="s">
        <v>17</v>
      </c>
      <c r="C1451" s="15"/>
      <c r="D1451" s="14" t="s">
        <v>350</v>
      </c>
      <c r="E1451" s="15"/>
      <c r="F1451" s="14" t="s">
        <v>350</v>
      </c>
      <c r="G1451" s="15"/>
      <c r="H1451" s="14" t="s">
        <v>17</v>
      </c>
      <c r="I1451" s="15"/>
      <c r="J1451" s="14" t="s">
        <v>351</v>
      </c>
      <c r="K1451" s="15"/>
      <c r="L1451" s="14" t="s">
        <v>351</v>
      </c>
      <c r="M1451" s="15"/>
      <c r="N1451" s="14" t="s">
        <v>352</v>
      </c>
      <c r="O1451" s="15"/>
    </row>
    <row r="1452" ht="14.25" customHeight="1">
      <c r="A1452" s="13" t="s">
        <v>12</v>
      </c>
      <c r="B1452" s="20"/>
      <c r="C1452" s="17"/>
      <c r="D1452" s="20"/>
      <c r="E1452" s="17"/>
      <c r="F1452" s="20"/>
      <c r="G1452" s="17"/>
      <c r="H1452" s="20"/>
      <c r="I1452" s="17"/>
      <c r="J1452" s="20" t="s">
        <v>353</v>
      </c>
      <c r="K1452" s="17"/>
      <c r="L1452" s="20" t="s">
        <v>353</v>
      </c>
      <c r="M1452" s="17"/>
      <c r="N1452" s="20"/>
      <c r="O1452" s="17"/>
    </row>
    <row r="1453" ht="14.25" customHeight="1">
      <c r="A1453" s="13"/>
      <c r="B1453" s="46"/>
      <c r="C1453" s="48"/>
      <c r="D1453" s="46" t="s">
        <v>354</v>
      </c>
      <c r="E1453" s="48"/>
      <c r="F1453" s="46" t="s">
        <v>354</v>
      </c>
      <c r="G1453" s="48"/>
      <c r="H1453" s="46"/>
      <c r="I1453" s="48"/>
      <c r="J1453" s="46"/>
      <c r="K1453" s="48"/>
      <c r="L1453" s="46"/>
      <c r="M1453" s="48"/>
      <c r="N1453" s="27"/>
      <c r="O1453" s="24"/>
    </row>
    <row r="1454" ht="14.25" customHeight="1">
      <c r="A1454" s="28" t="s">
        <v>20</v>
      </c>
      <c r="B1454" s="46"/>
      <c r="C1454" s="48"/>
      <c r="D1454" s="46" t="s">
        <v>355</v>
      </c>
      <c r="E1454" s="48">
        <v>5.12</v>
      </c>
      <c r="F1454" s="46" t="s">
        <v>355</v>
      </c>
      <c r="G1454" s="48">
        <v>5.1</v>
      </c>
      <c r="H1454" s="46"/>
      <c r="I1454" s="48"/>
      <c r="J1454" s="46"/>
      <c r="K1454" s="48"/>
      <c r="L1454" s="46"/>
      <c r="M1454" s="48"/>
      <c r="N1454" s="28"/>
      <c r="O1454" s="24"/>
    </row>
    <row r="1455" ht="14.25" customHeight="1">
      <c r="A1455" s="29" t="s">
        <v>22</v>
      </c>
      <c r="B1455" s="46"/>
      <c r="C1455" s="48"/>
      <c r="D1455" s="46" t="s">
        <v>356</v>
      </c>
      <c r="E1455" s="48">
        <v>5.11</v>
      </c>
      <c r="F1455" s="46" t="s">
        <v>356</v>
      </c>
      <c r="G1455" s="48">
        <v>5.14</v>
      </c>
      <c r="H1455" s="46"/>
      <c r="I1455" s="48"/>
      <c r="J1455" s="46"/>
      <c r="K1455" s="48"/>
      <c r="L1455" s="46"/>
      <c r="M1455" s="48"/>
      <c r="N1455" s="23"/>
      <c r="O1455" s="24"/>
    </row>
    <row r="1456" ht="14.25" customHeight="1">
      <c r="A1456" s="28" t="s">
        <v>23</v>
      </c>
      <c r="B1456" s="28"/>
      <c r="C1456" s="26"/>
      <c r="D1456" s="46" t="s">
        <v>357</v>
      </c>
      <c r="E1456" s="48"/>
      <c r="F1456" s="28" t="s">
        <v>358</v>
      </c>
      <c r="G1456" s="26"/>
      <c r="H1456" s="1"/>
      <c r="I1456" s="24"/>
      <c r="J1456" s="46"/>
      <c r="K1456" s="48"/>
      <c r="L1456" s="28"/>
      <c r="M1456" s="26"/>
      <c r="N1456" s="32"/>
      <c r="O1456" s="26"/>
    </row>
    <row r="1457" ht="14.25" customHeight="1">
      <c r="A1457" s="13"/>
      <c r="B1457" s="33"/>
      <c r="C1457" s="26"/>
      <c r="D1457" s="13"/>
      <c r="E1457" s="24"/>
      <c r="F1457" s="33"/>
      <c r="G1457" s="26"/>
      <c r="H1457" s="13"/>
      <c r="I1457" s="34"/>
      <c r="J1457" s="13"/>
      <c r="K1457" s="24"/>
      <c r="L1457" s="13"/>
      <c r="M1457" s="24"/>
      <c r="N1457" s="13"/>
      <c r="O1457" s="24"/>
    </row>
    <row r="1458" ht="14.25" customHeight="1">
      <c r="A1458" s="28" t="s">
        <v>24</v>
      </c>
      <c r="B1458" s="35" t="s">
        <v>25</v>
      </c>
      <c r="C1458" s="36">
        <f>C1453*B1453 + B1454*C1454 + B1455*C1455 + B1456*C1456 + B1457*C1457</f>
        <v>0</v>
      </c>
      <c r="D1458" s="35" t="s">
        <v>25</v>
      </c>
      <c r="E1458" s="36" t="str">
        <f>E1453*D1453 + D1454*E1454 + D1455*E1455 + D1456*E1456 + D1457*E1457</f>
        <v>#VALUE!</v>
      </c>
      <c r="F1458" s="35" t="s">
        <v>25</v>
      </c>
      <c r="G1458" s="36" t="str">
        <f>G1453*F1453 + F1454*G1454 + F1455*G1455 + F1456*G1456 + F1457*G1457</f>
        <v>#VALUE!</v>
      </c>
      <c r="H1458" s="35" t="s">
        <v>25</v>
      </c>
      <c r="I1458" s="36">
        <f>I1453*H1453 + H1454*I1454 + H1455*I1455 + H1456*I1456 + H1457*I1457</f>
        <v>0</v>
      </c>
      <c r="J1458" s="35" t="s">
        <v>25</v>
      </c>
      <c r="K1458" s="36">
        <f>K1453*J1453 + J1454*K1454 + J1455*K1455 + J1456*K1456 + J1457*K1457</f>
        <v>0</v>
      </c>
      <c r="L1458" s="35" t="s">
        <v>25</v>
      </c>
      <c r="M1458" s="36">
        <f>M1453*L1453 + L1454*M1454 + L1455*M1455 + L1456*M1456 + L1457*M1457</f>
        <v>0</v>
      </c>
      <c r="N1458" s="35" t="s">
        <v>25</v>
      </c>
      <c r="O1458" s="36">
        <f>O1453*N1453 + N1454*O1454 + N1455*O1455 + N1456*O1456 + N1457*O1457</f>
        <v>0</v>
      </c>
    </row>
    <row r="1459" ht="14.25" customHeight="1">
      <c r="A1459" s="37"/>
      <c r="B1459" s="13" t="s">
        <v>26</v>
      </c>
      <c r="C1459" s="40" t="str">
        <f>(B1453*C1453 + B1454*C1454 + B1455*C1455 + B1456*C1456 + B1457*C1457)/SUM(C1453:C1457)</f>
        <v>#DIV/0!</v>
      </c>
      <c r="D1459" s="39" t="s">
        <v>26</v>
      </c>
      <c r="E1459" s="40" t="str">
        <f>(D1453*E1453 + D1454*E1454 + D1455*E1455 + D1456*E1456 + D1457*E1457)/SUM(E1453:E1457)</f>
        <v>#VALUE!</v>
      </c>
      <c r="F1459" s="13" t="s">
        <v>26</v>
      </c>
      <c r="G1459" s="40" t="str">
        <f>(F1453*G1453 + F1454*G1454 + F1455*G1455 + F1456*G1456 + F1457*G1457)/SUM(G1453:G1457)</f>
        <v>#VALUE!</v>
      </c>
      <c r="H1459" s="13" t="s">
        <v>26</v>
      </c>
      <c r="I1459" s="40" t="str">
        <f>(H1453*I1453 + H1454*I1454 + H1455*I1455 + H1457*I1457)/SUM(I1453:I1457)</f>
        <v>#DIV/0!</v>
      </c>
      <c r="J1459" s="39" t="s">
        <v>26</v>
      </c>
      <c r="K1459" s="40" t="str">
        <f>(J1453*K1453 + J1454*K1454 + J1455*K1455 + J1456*K1456 + J1457*K1457)/SUM(K1453:K1457)</f>
        <v>#DIV/0!</v>
      </c>
      <c r="L1459" s="13" t="s">
        <v>26</v>
      </c>
      <c r="M1459" s="40" t="str">
        <f>(L1453*M1453 + L1454*M1454 + L1455*M1455 + L1456*M1456 + L1457*M1457)/SUM(M1453:M1457)</f>
        <v>#DIV/0!</v>
      </c>
      <c r="N1459" s="13" t="s">
        <v>26</v>
      </c>
      <c r="O1459" s="40" t="str">
        <f>(N1453*O1453 + N1454*O1454 + N1455*O1455 + N1456*O1456 + N1457*O1457)/SUM(O1453:O1457)</f>
        <v>#DIV/0!</v>
      </c>
    </row>
    <row r="1460" ht="14.25" customHeight="1">
      <c r="A1460" s="28" t="s">
        <v>27</v>
      </c>
      <c r="B1460" s="11" t="s">
        <v>10</v>
      </c>
      <c r="C1460" s="12" t="s">
        <v>11</v>
      </c>
      <c r="D1460" s="11" t="s">
        <v>10</v>
      </c>
      <c r="E1460" s="12" t="s">
        <v>11</v>
      </c>
      <c r="F1460" s="11" t="s">
        <v>10</v>
      </c>
      <c r="G1460" s="12" t="s">
        <v>11</v>
      </c>
      <c r="H1460" s="11" t="s">
        <v>10</v>
      </c>
      <c r="I1460" s="12" t="s">
        <v>11</v>
      </c>
      <c r="J1460" s="11" t="s">
        <v>10</v>
      </c>
      <c r="K1460" s="12" t="s">
        <v>11</v>
      </c>
      <c r="L1460" s="11" t="s">
        <v>10</v>
      </c>
      <c r="M1460" s="12" t="s">
        <v>11</v>
      </c>
      <c r="N1460" s="11" t="s">
        <v>10</v>
      </c>
      <c r="O1460" s="12" t="s">
        <v>11</v>
      </c>
    </row>
    <row r="1461" ht="14.25" customHeight="1">
      <c r="A1461" s="41" t="s">
        <v>28</v>
      </c>
      <c r="B1461" s="20"/>
      <c r="C1461" s="17"/>
      <c r="D1461" s="20"/>
      <c r="E1461" s="17"/>
      <c r="F1461" s="20"/>
      <c r="G1461" s="17"/>
      <c r="H1461" s="45"/>
      <c r="I1461" s="17"/>
      <c r="J1461" s="20"/>
      <c r="K1461" s="17"/>
      <c r="L1461" s="20"/>
      <c r="M1461" s="17"/>
      <c r="N1461" s="42"/>
      <c r="O1461" s="44"/>
    </row>
    <row r="1462" ht="14.25" customHeight="1">
      <c r="A1462" s="28"/>
      <c r="B1462" s="46"/>
      <c r="C1462" s="48"/>
      <c r="D1462" s="46"/>
      <c r="E1462" s="48"/>
      <c r="F1462" s="46"/>
      <c r="G1462" s="48"/>
      <c r="H1462" s="1"/>
      <c r="I1462" s="54"/>
      <c r="J1462" s="46"/>
      <c r="K1462" s="48"/>
      <c r="L1462" s="46"/>
      <c r="M1462" s="48"/>
      <c r="N1462" s="46"/>
      <c r="O1462" s="26"/>
    </row>
    <row r="1463" ht="14.25" customHeight="1">
      <c r="A1463" s="28" t="s">
        <v>37</v>
      </c>
      <c r="B1463" s="46"/>
      <c r="C1463" s="48"/>
      <c r="D1463" s="46"/>
      <c r="E1463" s="48"/>
      <c r="F1463" s="46"/>
      <c r="G1463" s="48"/>
      <c r="H1463" s="1"/>
      <c r="I1463" s="54"/>
      <c r="J1463" s="46"/>
      <c r="K1463" s="48"/>
      <c r="L1463" s="46"/>
      <c r="M1463" s="48"/>
      <c r="N1463" s="46"/>
      <c r="O1463" s="26"/>
    </row>
    <row r="1464" ht="14.25" customHeight="1">
      <c r="A1464" s="28" t="s">
        <v>39</v>
      </c>
      <c r="B1464" s="46"/>
      <c r="C1464" s="48"/>
      <c r="D1464" s="46"/>
      <c r="E1464" s="48"/>
      <c r="F1464" s="46"/>
      <c r="G1464" s="48"/>
      <c r="H1464" s="1"/>
      <c r="I1464" s="26"/>
      <c r="J1464" s="46"/>
      <c r="K1464" s="48"/>
      <c r="L1464" s="46"/>
      <c r="M1464" s="48"/>
      <c r="N1464" s="46"/>
      <c r="O1464" s="26"/>
    </row>
    <row r="1465" ht="14.25" customHeight="1">
      <c r="A1465" s="28"/>
      <c r="B1465" s="46"/>
      <c r="C1465" s="54"/>
      <c r="D1465" s="46"/>
      <c r="E1465" s="54"/>
      <c r="F1465" s="46"/>
      <c r="G1465" s="54"/>
      <c r="H1465" s="1"/>
      <c r="I1465" s="26"/>
      <c r="J1465" s="46"/>
      <c r="K1465" s="48"/>
      <c r="L1465" s="46"/>
      <c r="M1465" s="26"/>
      <c r="N1465" s="46"/>
      <c r="O1465" s="26"/>
    </row>
    <row r="1466" ht="14.25" customHeight="1">
      <c r="A1466" s="28" t="s">
        <v>41</v>
      </c>
      <c r="B1466" s="32"/>
      <c r="C1466" s="24"/>
      <c r="D1466" s="32"/>
      <c r="E1466" s="24"/>
      <c r="F1466" s="28"/>
      <c r="G1466" s="24"/>
      <c r="H1466" s="28"/>
      <c r="I1466" s="24"/>
      <c r="J1466" s="31"/>
      <c r="K1466" s="24"/>
      <c r="L1466" s="32"/>
      <c r="M1466" s="24"/>
      <c r="N1466" s="32"/>
      <c r="O1466" s="24"/>
    </row>
    <row r="1467" ht="14.25" customHeight="1">
      <c r="A1467" s="28" t="s">
        <v>43</v>
      </c>
      <c r="B1467" s="32"/>
      <c r="C1467" s="26"/>
      <c r="D1467" s="32"/>
      <c r="E1467" s="26"/>
      <c r="F1467" s="32"/>
      <c r="G1467" s="26"/>
      <c r="H1467" s="28"/>
      <c r="I1467" s="24"/>
      <c r="J1467" s="13"/>
      <c r="K1467" s="24"/>
      <c r="L1467" s="32"/>
      <c r="M1467" s="26"/>
      <c r="N1467" s="32"/>
      <c r="O1467" s="26"/>
    </row>
    <row r="1468" ht="14.25" customHeight="1">
      <c r="A1468" s="28"/>
      <c r="B1468" s="35" t="s">
        <v>25</v>
      </c>
      <c r="C1468" s="36">
        <f>C1462*B1462 + B1463*C1463 + B1464*C1464 + B1465*C1465 + B1467*C1467</f>
        <v>0</v>
      </c>
      <c r="D1468" s="35" t="s">
        <v>25</v>
      </c>
      <c r="E1468" s="36">
        <f>E1462*D1462 + D1463*E1463 + D1464*E1464 + D1465*E1465 + D1467*E1467</f>
        <v>0</v>
      </c>
      <c r="F1468" s="35" t="s">
        <v>25</v>
      </c>
      <c r="G1468" s="36">
        <f>G1462*F1462 + F1463*G1463 + F1464*G1464 + F1465*G1465 + F1467*G1467</f>
        <v>0</v>
      </c>
      <c r="H1468" s="35" t="s">
        <v>25</v>
      </c>
      <c r="I1468" s="36">
        <f>I1462*H1462 + H1463*I1463 + H1464*I1464 + H1465*I1465 + H1467*I1467</f>
        <v>0</v>
      </c>
      <c r="J1468" s="35" t="s">
        <v>25</v>
      </c>
      <c r="K1468" s="36">
        <f>K1462*J1462 + J1463*K1463 + J1464*K1464 + J1465*K1465 + J1467*K1467</f>
        <v>0</v>
      </c>
      <c r="L1468" s="35" t="s">
        <v>25</v>
      </c>
      <c r="M1468" s="36">
        <f>M1462*L1462 + L1463*M1463 + L1464*M1464 + L1465*M1465 + L1467*M1467</f>
        <v>0</v>
      </c>
      <c r="N1468" s="35" t="s">
        <v>25</v>
      </c>
      <c r="O1468" s="36">
        <f>O1462*N1462 + N1463*O1463 + N1464*O1464 + N1465*O1465 + N1467*O1467</f>
        <v>0</v>
      </c>
    </row>
    <row r="1469" ht="14.25" customHeight="1">
      <c r="A1469" s="28" t="s">
        <v>116</v>
      </c>
      <c r="B1469" s="39" t="s">
        <v>26</v>
      </c>
      <c r="C1469" s="40" t="str">
        <f>(B1463*C1463 + B1464*C1464 + B1465*C1465 + B1466*C1466 + B1467*C1467)/SUM(C1463:C1467)</f>
        <v>#DIV/0!</v>
      </c>
      <c r="D1469" s="39" t="s">
        <v>26</v>
      </c>
      <c r="E1469" s="40" t="str">
        <f>(D1463*E1463 + D1464*E1464 + D1465*E1465 + D1466*E1466 + D1467*E1467)/SUM(E1463:E1467)</f>
        <v>#DIV/0!</v>
      </c>
      <c r="F1469" s="39" t="s">
        <v>26</v>
      </c>
      <c r="G1469" s="40" t="str">
        <f>(F1463*G1463 + F1464*G1464 + F1465*G1465 + F1466*G1466 + F1467*G1467)/SUM(G1463:G1467)</f>
        <v>#DIV/0!</v>
      </c>
      <c r="H1469" s="39" t="s">
        <v>26</v>
      </c>
      <c r="I1469" s="40" t="str">
        <f>(H1463*I1463 + H1464*I1464 + H1465*I1465 + H1466*I1466 + H1467*I1467)/SUM(I1463:I1467)</f>
        <v>#DIV/0!</v>
      </c>
      <c r="J1469" s="39" t="s">
        <v>26</v>
      </c>
      <c r="K1469" s="40" t="str">
        <f>(J1463*K1463 + J1464*K1464 + J1465*K1465 + J1466*K1466 + J1467*K1467)/SUM(K1463:K1467)</f>
        <v>#DIV/0!</v>
      </c>
      <c r="L1469" s="39" t="s">
        <v>26</v>
      </c>
      <c r="M1469" s="40" t="str">
        <f>(L1463*M1463 + L1464*M1464 + L1465*M1465 + L1466*M1466 + L1467*M1467)/SUM(M1463:M1467)</f>
        <v>#DIV/0!</v>
      </c>
      <c r="N1469" s="39" t="s">
        <v>26</v>
      </c>
      <c r="O1469" s="40" t="str">
        <f>(N1463*O1463 + N1464*O1464 + N1465*O1465 + N1466*O1466 + N1467*O1467)/SUM(O1463:O1467)</f>
        <v>#DIV/0!</v>
      </c>
    </row>
    <row r="1470" ht="14.25" customHeight="1">
      <c r="A1470" s="28" t="s">
        <v>117</v>
      </c>
      <c r="B1470" s="49"/>
      <c r="C1470" s="50"/>
      <c r="D1470" s="70" t="s">
        <v>302</v>
      </c>
      <c r="E1470" s="17"/>
      <c r="F1470" s="20"/>
      <c r="G1470" s="17"/>
      <c r="H1470" s="45" t="s">
        <v>33</v>
      </c>
      <c r="I1470" s="17"/>
      <c r="J1470" s="20"/>
      <c r="K1470" s="17"/>
      <c r="L1470" s="49"/>
      <c r="M1470" s="50" t="s">
        <v>49</v>
      </c>
      <c r="N1470" s="49"/>
      <c r="O1470" s="50" t="s">
        <v>49</v>
      </c>
    </row>
    <row r="1471" ht="14.25" customHeight="1">
      <c r="A1471" s="28" t="s">
        <v>120</v>
      </c>
      <c r="B1471" s="46"/>
      <c r="C1471" s="54"/>
      <c r="D1471" s="28"/>
      <c r="E1471" s="54">
        <v>5.0</v>
      </c>
      <c r="F1471" s="46"/>
      <c r="G1471" s="48"/>
      <c r="H1471" s="1"/>
      <c r="I1471" s="54"/>
      <c r="J1471" s="46"/>
      <c r="K1471" s="48"/>
      <c r="L1471" s="21"/>
      <c r="M1471" s="24"/>
      <c r="N1471" s="21"/>
      <c r="O1471" s="24"/>
    </row>
    <row r="1472" ht="14.25" customHeight="1">
      <c r="A1472" s="28"/>
      <c r="B1472" s="46"/>
      <c r="C1472" s="54"/>
      <c r="D1472" s="27"/>
      <c r="E1472" s="54">
        <v>5.0</v>
      </c>
      <c r="F1472" s="46"/>
      <c r="G1472" s="48"/>
      <c r="H1472" s="1"/>
      <c r="I1472" s="54"/>
      <c r="J1472" s="46"/>
      <c r="K1472" s="48"/>
      <c r="L1472" s="21"/>
      <c r="M1472" s="26"/>
      <c r="N1472" s="21"/>
      <c r="O1472" s="26"/>
    </row>
    <row r="1473" ht="14.25" customHeight="1">
      <c r="A1473" s="28"/>
      <c r="B1473" s="46"/>
      <c r="C1473" s="54"/>
      <c r="D1473" s="27"/>
      <c r="E1473" s="54">
        <v>5.0</v>
      </c>
      <c r="F1473" s="46"/>
      <c r="G1473" s="48"/>
      <c r="H1473" s="1"/>
      <c r="I1473" s="26"/>
      <c r="J1473" s="46"/>
      <c r="K1473" s="48"/>
      <c r="L1473" s="46"/>
      <c r="M1473" s="24"/>
      <c r="N1473" s="46"/>
      <c r="O1473" s="24"/>
    </row>
    <row r="1474" ht="14.25" customHeight="1">
      <c r="A1474" s="28"/>
      <c r="B1474" s="46"/>
      <c r="C1474" s="54"/>
      <c r="D1474" s="46"/>
      <c r="E1474" s="54"/>
      <c r="F1474" s="46"/>
      <c r="G1474" s="54"/>
      <c r="H1474" s="1"/>
      <c r="I1474" s="26"/>
      <c r="J1474" s="28"/>
      <c r="K1474" s="54"/>
      <c r="L1474" s="21"/>
      <c r="M1474" s="24"/>
      <c r="N1474" s="21"/>
      <c r="O1474" s="24"/>
    </row>
    <row r="1475" ht="14.25" customHeight="1">
      <c r="A1475" s="28"/>
      <c r="B1475" s="13"/>
      <c r="C1475" s="34"/>
      <c r="D1475" s="21"/>
      <c r="E1475" s="34"/>
      <c r="F1475" s="13"/>
      <c r="G1475" s="24"/>
      <c r="H1475" s="28"/>
      <c r="I1475" s="34"/>
      <c r="J1475" s="13"/>
      <c r="K1475" s="24"/>
      <c r="L1475" s="31"/>
      <c r="M1475" s="24"/>
      <c r="N1475" s="31"/>
      <c r="O1475" s="24"/>
    </row>
    <row r="1476" ht="14.25" customHeight="1">
      <c r="A1476" s="28"/>
      <c r="B1476" s="35" t="s">
        <v>25</v>
      </c>
      <c r="C1476" s="55">
        <f>C1471*B1471 + B1472*C1472 + B1473*C1473 + B1474*C1474 + B1475*C1475</f>
        <v>0</v>
      </c>
      <c r="D1476" s="35" t="s">
        <v>25</v>
      </c>
      <c r="E1476" s="55">
        <f>E1471*D1471 + D1472*E1472 + D1473*E1473 + D1474*E1474 + D1475*E1475</f>
        <v>0</v>
      </c>
      <c r="F1476" s="35" t="s">
        <v>25</v>
      </c>
      <c r="G1476" s="55">
        <f>G1471*F1471 + F1472*G1472 + F1473*G1473 + F1474*G1474 + F1475*G1475</f>
        <v>0</v>
      </c>
      <c r="H1476" s="35" t="s">
        <v>25</v>
      </c>
      <c r="I1476" s="56">
        <f>I1471*H1471 + H1472*I1472 + H1473*I1473 + H1474*I1474 + H1475*I1475</f>
        <v>0</v>
      </c>
      <c r="J1476" s="35" t="s">
        <v>25</v>
      </c>
      <c r="K1476" s="36">
        <f>K1471*J1471 + J1472*K1472 + J1473*K1473 + J1474*K1474 + J1475*K1475</f>
        <v>0</v>
      </c>
      <c r="L1476" s="57" t="s">
        <v>25</v>
      </c>
      <c r="M1476" s="58">
        <f>M1471*L1471 + L1472*M1472 + L1473*M1473 + L1474*M1474 + L1475*M1475</f>
        <v>0</v>
      </c>
      <c r="N1476" s="57" t="s">
        <v>25</v>
      </c>
      <c r="O1476" s="58">
        <f>O1471*N1471 + N1472*O1472 + N1473*O1473 + N1474*O1474 + N1475*O1475</f>
        <v>0</v>
      </c>
    </row>
    <row r="1477" ht="14.25" customHeight="1">
      <c r="A1477" s="28"/>
      <c r="B1477" s="39" t="s">
        <v>26</v>
      </c>
      <c r="C1477" s="40" t="str">
        <f>(B1471*C1471 + B1472*C1472 + B1473*C1473 + B1474*C1474 + B1475*C1475)/SUM(C1471:C1475)</f>
        <v>#DIV/0!</v>
      </c>
      <c r="D1477" s="59" t="s">
        <v>26</v>
      </c>
      <c r="E1477" s="40">
        <f>(D1471*E1471 + D1472*E1472 + D1473*E1473 + D1474*E1474 + D1475*E1475)/SUM(E1471:E1475)</f>
        <v>0</v>
      </c>
      <c r="F1477" s="39" t="s">
        <v>26</v>
      </c>
      <c r="G1477" s="40" t="str">
        <f>(F1471*G1471 + F1472*G1472 + F1473*G1473 + F1474*G1474 + F1475*G1475)/SUM(G1471:G1475)</f>
        <v>#DIV/0!</v>
      </c>
      <c r="H1477" s="59" t="s">
        <v>26</v>
      </c>
      <c r="I1477" s="40" t="str">
        <f>(H1471*I1471 + H1472*I1472 + H1473*I1473 + H1474*I1474 + H1475*I1475)/SUM(I1471:I1475)</f>
        <v>#DIV/0!</v>
      </c>
      <c r="J1477" s="39" t="s">
        <v>26</v>
      </c>
      <c r="K1477" s="40" t="str">
        <f>(J1471*K1471 + J1472*K1472 + J1473*K1473 + J1474*K1474 + J1475*K1475)/SUM(K1471:K1475)</f>
        <v>#DIV/0!</v>
      </c>
      <c r="L1477" s="59" t="s">
        <v>26</v>
      </c>
      <c r="M1477" s="40" t="str">
        <f>(L1471*M1471 + L1472*M1472 + L1473*M1473 + L1474*M1474 + L1475*M1475)/SUM(M1475)</f>
        <v>#DIV/0!</v>
      </c>
      <c r="N1477" s="59" t="s">
        <v>26</v>
      </c>
      <c r="O1477" s="40" t="str">
        <f>(N1471*O1471 + N1472*O1472 + N1473*O1473 + N1474*O1474 + N1475*O1475)/SUM(O1475)</f>
        <v>#DIV/0!</v>
      </c>
    </row>
    <row r="1478" ht="14.25" customHeight="1">
      <c r="A1478" s="28"/>
      <c r="B1478" s="28" t="s">
        <v>51</v>
      </c>
      <c r="C1478" s="30" t="s">
        <v>49</v>
      </c>
      <c r="D1478" s="28" t="s">
        <v>50</v>
      </c>
      <c r="E1478" s="30" t="s">
        <v>49</v>
      </c>
      <c r="F1478" s="28" t="s">
        <v>51</v>
      </c>
      <c r="G1478" s="30" t="s">
        <v>49</v>
      </c>
      <c r="H1478" s="28" t="s">
        <v>50</v>
      </c>
      <c r="I1478" s="30" t="s">
        <v>49</v>
      </c>
      <c r="J1478" s="28" t="s">
        <v>50</v>
      </c>
      <c r="K1478" s="30" t="s">
        <v>49</v>
      </c>
      <c r="L1478" s="28" t="s">
        <v>50</v>
      </c>
      <c r="M1478" s="60" t="s">
        <v>49</v>
      </c>
      <c r="N1478" s="28" t="s">
        <v>50</v>
      </c>
      <c r="O1478" s="60" t="s">
        <v>49</v>
      </c>
    </row>
    <row r="1479" ht="14.25" customHeight="1">
      <c r="A1479" s="28"/>
      <c r="B1479" s="27"/>
      <c r="C1479" s="60"/>
      <c r="D1479" s="27"/>
      <c r="E1479" s="60"/>
      <c r="F1479" s="27"/>
      <c r="G1479" s="60"/>
      <c r="H1479" s="27"/>
      <c r="I1479" s="60"/>
      <c r="J1479" s="27"/>
      <c r="K1479" s="60"/>
      <c r="L1479" s="27"/>
      <c r="M1479" s="60"/>
      <c r="N1479" s="27"/>
      <c r="O1479" s="60"/>
    </row>
    <row r="1480" ht="14.25" customHeight="1">
      <c r="A1480" s="28"/>
      <c r="B1480" s="27"/>
      <c r="C1480" s="60"/>
      <c r="D1480" s="27"/>
      <c r="E1480" s="60"/>
      <c r="F1480" s="27"/>
      <c r="G1480" s="60"/>
      <c r="H1480" s="27"/>
      <c r="I1480" s="60"/>
      <c r="J1480" s="27"/>
      <c r="K1480" s="60"/>
      <c r="L1480" s="27"/>
      <c r="M1480" s="60"/>
      <c r="N1480" s="27"/>
      <c r="O1480" s="60"/>
    </row>
    <row r="1481" ht="14.25" customHeight="1">
      <c r="A1481" s="37"/>
      <c r="B1481" s="28"/>
      <c r="C1481" s="60"/>
      <c r="D1481" s="28"/>
      <c r="E1481" s="60"/>
      <c r="F1481" s="28"/>
      <c r="G1481" s="60"/>
      <c r="H1481" s="30"/>
      <c r="I1481" s="60"/>
      <c r="J1481" s="1"/>
      <c r="K1481" s="60"/>
      <c r="L1481" s="1"/>
      <c r="M1481" s="60"/>
      <c r="N1481" s="30"/>
      <c r="O1481" s="60"/>
    </row>
    <row r="1482" ht="14.25" customHeight="1">
      <c r="A1482" s="37"/>
      <c r="B1482" s="28"/>
      <c r="C1482" s="1"/>
      <c r="D1482" s="28"/>
      <c r="E1482" s="1"/>
      <c r="F1482" s="28"/>
      <c r="G1482" s="63"/>
      <c r="H1482" s="30"/>
      <c r="I1482" s="30"/>
      <c r="J1482" s="28"/>
      <c r="K1482" s="60"/>
      <c r="L1482" s="30"/>
      <c r="M1482" s="60"/>
      <c r="N1482" s="30"/>
      <c r="O1482" s="60"/>
    </row>
    <row r="1483" ht="14.25" customHeight="1">
      <c r="A1483" s="37"/>
      <c r="B1483" s="28"/>
      <c r="C1483" s="1"/>
      <c r="D1483" s="28"/>
      <c r="E1483" s="1"/>
      <c r="F1483" s="28"/>
      <c r="G1483" s="60"/>
      <c r="H1483" s="28"/>
      <c r="I1483" s="30"/>
      <c r="J1483" s="28"/>
      <c r="K1483" s="60"/>
      <c r="L1483" s="30"/>
      <c r="M1483" s="60"/>
      <c r="N1483" s="30"/>
      <c r="O1483" s="60"/>
    </row>
    <row r="1484" ht="14.25" customHeight="1">
      <c r="A1484" s="37"/>
      <c r="B1484" s="28"/>
      <c r="C1484" s="1"/>
      <c r="D1484" s="28"/>
      <c r="E1484" s="1"/>
      <c r="F1484" s="28"/>
      <c r="G1484" s="60"/>
      <c r="H1484" s="30"/>
      <c r="I1484" s="30"/>
      <c r="J1484" s="37"/>
      <c r="K1484" s="60"/>
      <c r="L1484" s="30"/>
      <c r="M1484" s="60"/>
      <c r="N1484" s="30"/>
      <c r="O1484" s="60"/>
    </row>
    <row r="1485" ht="14.25" customHeight="1">
      <c r="A1485" s="64"/>
      <c r="B1485" s="65"/>
      <c r="C1485" s="66"/>
      <c r="D1485" s="65"/>
      <c r="E1485" s="66"/>
      <c r="F1485" s="64"/>
      <c r="G1485" s="67"/>
      <c r="H1485" s="66"/>
      <c r="I1485" s="66"/>
      <c r="J1485" s="64"/>
      <c r="K1485" s="67"/>
      <c r="L1485" s="66"/>
      <c r="M1485" s="67"/>
      <c r="N1485" s="66"/>
      <c r="O1485" s="67"/>
    </row>
    <row r="1486" ht="14.25" customHeight="1">
      <c r="A1486" s="30"/>
      <c r="B1486" s="1"/>
      <c r="C1486" s="30"/>
      <c r="D1486" s="1"/>
      <c r="E1486" s="30"/>
      <c r="F1486" s="30"/>
      <c r="G1486" s="30"/>
      <c r="H1486" s="30"/>
      <c r="I1486" s="30"/>
      <c r="J1486" s="30"/>
      <c r="K1486" s="30"/>
      <c r="L1486" s="30"/>
      <c r="M1486" s="30"/>
      <c r="N1486" s="30"/>
      <c r="O1486" s="30"/>
    </row>
    <row r="1487" ht="14.25" customHeight="1">
      <c r="A1487" s="2" t="s">
        <v>2</v>
      </c>
      <c r="B1487" s="3" t="s">
        <v>3</v>
      </c>
      <c r="C1487" s="4">
        <f>M1449+2</f>
        <v>45635</v>
      </c>
      <c r="D1487" s="5" t="s">
        <v>4</v>
      </c>
      <c r="E1487" s="6">
        <f>C1487+1</f>
        <v>45636</v>
      </c>
      <c r="F1487" s="3" t="s">
        <v>5</v>
      </c>
      <c r="G1487" s="6">
        <f>E1487+1</f>
        <v>45637</v>
      </c>
      <c r="H1487" s="3" t="s">
        <v>6</v>
      </c>
      <c r="I1487" s="6">
        <f>G1487+1</f>
        <v>45638</v>
      </c>
      <c r="J1487" s="3" t="s">
        <v>7</v>
      </c>
      <c r="K1487" s="6">
        <f>I1487+1</f>
        <v>45639</v>
      </c>
      <c r="L1487" s="7" t="s">
        <v>8</v>
      </c>
      <c r="M1487" s="8">
        <f>K1487+1</f>
        <v>45640</v>
      </c>
      <c r="N1487" s="9" t="s">
        <v>9</v>
      </c>
      <c r="O1487" s="8">
        <f>M1487+1</f>
        <v>45641</v>
      </c>
    </row>
    <row r="1488" ht="14.25" customHeight="1">
      <c r="A1488" s="10">
        <f>A1450+1</f>
        <v>41</v>
      </c>
      <c r="B1488" s="11" t="s">
        <v>10</v>
      </c>
      <c r="C1488" s="12" t="s">
        <v>11</v>
      </c>
      <c r="D1488" s="11" t="s">
        <v>10</v>
      </c>
      <c r="E1488" s="12" t="s">
        <v>11</v>
      </c>
      <c r="F1488" s="11" t="s">
        <v>10</v>
      </c>
      <c r="G1488" s="12" t="s">
        <v>11</v>
      </c>
      <c r="H1488" s="11" t="s">
        <v>10</v>
      </c>
      <c r="I1488" s="12" t="s">
        <v>11</v>
      </c>
      <c r="J1488" s="11" t="s">
        <v>10</v>
      </c>
      <c r="K1488" s="12" t="s">
        <v>11</v>
      </c>
      <c r="L1488" s="11" t="s">
        <v>10</v>
      </c>
      <c r="M1488" s="12" t="s">
        <v>11</v>
      </c>
      <c r="N1488" s="11" t="s">
        <v>10</v>
      </c>
      <c r="O1488" s="12" t="s">
        <v>11</v>
      </c>
    </row>
    <row r="1489" ht="14.25" customHeight="1">
      <c r="A1489" s="13"/>
      <c r="B1489" s="14" t="s">
        <v>352</v>
      </c>
      <c r="C1489" s="15"/>
      <c r="D1489" s="14" t="s">
        <v>352</v>
      </c>
      <c r="E1489" s="15"/>
      <c r="F1489" s="14" t="s">
        <v>359</v>
      </c>
      <c r="G1489" s="15"/>
      <c r="H1489" s="14" t="s">
        <v>359</v>
      </c>
      <c r="I1489" s="15"/>
      <c r="J1489" s="14" t="s">
        <v>360</v>
      </c>
      <c r="K1489" s="15"/>
      <c r="L1489" s="14" t="s">
        <v>361</v>
      </c>
      <c r="M1489" s="15"/>
      <c r="N1489" s="14" t="s">
        <v>351</v>
      </c>
      <c r="O1489" s="15"/>
    </row>
    <row r="1490" ht="14.25" customHeight="1">
      <c r="A1490" s="13" t="s">
        <v>12</v>
      </c>
      <c r="B1490" s="20"/>
      <c r="C1490" s="17"/>
      <c r="D1490" s="20" t="s">
        <v>362</v>
      </c>
      <c r="E1490" s="17"/>
      <c r="F1490" s="20" t="s">
        <v>33</v>
      </c>
      <c r="G1490" s="17"/>
      <c r="H1490" s="20" t="s">
        <v>33</v>
      </c>
      <c r="I1490" s="17"/>
      <c r="J1490" s="20"/>
      <c r="K1490" s="17"/>
      <c r="L1490" s="20" t="s">
        <v>33</v>
      </c>
      <c r="M1490" s="17"/>
      <c r="N1490" s="20" t="s">
        <v>363</v>
      </c>
      <c r="O1490" s="17"/>
    </row>
    <row r="1491" ht="14.25" customHeight="1">
      <c r="A1491" s="13"/>
      <c r="B1491" s="46"/>
      <c r="C1491" s="48"/>
      <c r="D1491" s="46"/>
      <c r="E1491" s="48"/>
      <c r="F1491" s="46"/>
      <c r="G1491" s="48"/>
      <c r="H1491" s="46"/>
      <c r="I1491" s="48"/>
      <c r="J1491" s="46"/>
      <c r="K1491" s="48"/>
      <c r="L1491" s="46"/>
      <c r="M1491" s="48"/>
      <c r="N1491" s="27">
        <v>180.0</v>
      </c>
      <c r="O1491" s="54">
        <v>3.0</v>
      </c>
    </row>
    <row r="1492" ht="14.25" customHeight="1">
      <c r="A1492" s="28" t="s">
        <v>20</v>
      </c>
      <c r="B1492" s="46"/>
      <c r="C1492" s="48"/>
      <c r="D1492" s="46"/>
      <c r="E1492" s="48"/>
      <c r="F1492" s="46"/>
      <c r="G1492" s="48"/>
      <c r="H1492" s="46"/>
      <c r="I1492" s="48"/>
      <c r="J1492" s="46"/>
      <c r="K1492" s="48"/>
      <c r="L1492" s="46"/>
      <c r="M1492" s="48"/>
      <c r="N1492" s="28">
        <v>190.0</v>
      </c>
      <c r="O1492" s="54">
        <v>3.0</v>
      </c>
    </row>
    <row r="1493" ht="14.25" customHeight="1">
      <c r="A1493" s="29" t="s">
        <v>22</v>
      </c>
      <c r="B1493" s="46"/>
      <c r="C1493" s="48"/>
      <c r="D1493" s="46"/>
      <c r="E1493" s="48"/>
      <c r="F1493" s="46"/>
      <c r="G1493" s="48"/>
      <c r="H1493" s="46"/>
      <c r="I1493" s="48"/>
      <c r="J1493" s="46"/>
      <c r="K1493" s="48"/>
      <c r="L1493" s="46"/>
      <c r="M1493" s="48"/>
      <c r="N1493" s="1">
        <v>200.0</v>
      </c>
      <c r="O1493" s="54">
        <v>3.0</v>
      </c>
    </row>
    <row r="1494" ht="14.25" customHeight="1">
      <c r="A1494" s="28" t="s">
        <v>23</v>
      </c>
      <c r="B1494" s="28"/>
      <c r="C1494" s="26"/>
      <c r="D1494" s="46"/>
      <c r="E1494" s="48"/>
      <c r="F1494" s="28"/>
      <c r="G1494" s="26"/>
      <c r="H1494" s="1"/>
      <c r="I1494" s="24"/>
      <c r="J1494" s="46"/>
      <c r="K1494" s="48"/>
      <c r="L1494" s="28"/>
      <c r="M1494" s="26"/>
      <c r="N1494" s="28">
        <v>210.0</v>
      </c>
      <c r="O1494" s="54">
        <v>3.0</v>
      </c>
    </row>
    <row r="1495" ht="14.25" customHeight="1">
      <c r="A1495" s="13"/>
      <c r="B1495" s="33"/>
      <c r="C1495" s="26"/>
      <c r="D1495" s="13"/>
      <c r="E1495" s="24"/>
      <c r="F1495" s="33"/>
      <c r="G1495" s="26"/>
      <c r="H1495" s="13"/>
      <c r="I1495" s="34"/>
      <c r="J1495" s="13"/>
      <c r="K1495" s="24"/>
      <c r="L1495" s="13"/>
      <c r="M1495" s="24"/>
      <c r="N1495" s="13"/>
      <c r="O1495" s="24"/>
    </row>
    <row r="1496" ht="14.25" customHeight="1">
      <c r="A1496" s="28" t="s">
        <v>24</v>
      </c>
      <c r="B1496" s="35" t="s">
        <v>25</v>
      </c>
      <c r="C1496" s="36">
        <f>C1491*B1491 + B1492*C1492 + B1493*C1493 + B1494*C1494 + B1495*C1495</f>
        <v>0</v>
      </c>
      <c r="D1496" s="35" t="s">
        <v>25</v>
      </c>
      <c r="E1496" s="36">
        <f>E1491*D1491 + D1492*E1492 + D1493*E1493 + D1494*E1494 + D1495*E1495</f>
        <v>0</v>
      </c>
      <c r="F1496" s="35" t="s">
        <v>25</v>
      </c>
      <c r="G1496" s="36">
        <f>G1491*F1491 + F1492*G1492 + F1493*G1493 + F1494*G1494 + F1495*G1495</f>
        <v>0</v>
      </c>
      <c r="H1496" s="35" t="s">
        <v>25</v>
      </c>
      <c r="I1496" s="36">
        <f>I1491*H1491 + H1492*I1492 + H1493*I1493 + H1494*I1494 + H1495*I1495</f>
        <v>0</v>
      </c>
      <c r="J1496" s="35" t="s">
        <v>25</v>
      </c>
      <c r="K1496" s="36">
        <f>K1491*J1491 + J1492*K1492 + J1493*K1493 + J1494*K1494 + J1495*K1495</f>
        <v>0</v>
      </c>
      <c r="L1496" s="35" t="s">
        <v>25</v>
      </c>
      <c r="M1496" s="36">
        <f>M1491*L1491 + L1492*M1492 + L1493*M1493 + L1494*M1494 + L1495*M1495</f>
        <v>0</v>
      </c>
      <c r="N1496" s="35" t="s">
        <v>25</v>
      </c>
      <c r="O1496" s="36">
        <f>O1491*N1491 + N1492*O1492 + N1493*O1493 + N1494*O1494 + N1495*O1495</f>
        <v>2340</v>
      </c>
    </row>
    <row r="1497" ht="14.25" customHeight="1">
      <c r="A1497" s="37"/>
      <c r="B1497" s="13" t="s">
        <v>26</v>
      </c>
      <c r="C1497" s="40" t="str">
        <f>(B1491*C1491 + B1492*C1492 + B1493*C1493 + B1494*C1494 + B1495*C1495)/SUM(C1491:C1495)</f>
        <v>#DIV/0!</v>
      </c>
      <c r="D1497" s="39" t="s">
        <v>26</v>
      </c>
      <c r="E1497" s="40" t="str">
        <f>(D1491*E1491 + D1492*E1492 + D1493*E1493 + D1494*E1494 + D1495*E1495)/SUM(E1491:E1495)</f>
        <v>#DIV/0!</v>
      </c>
      <c r="F1497" s="13" t="s">
        <v>26</v>
      </c>
      <c r="G1497" s="40" t="str">
        <f>(F1491*G1491 + F1492*G1492 + F1493*G1493 + F1494*G1494 + F1495*G1495)/SUM(G1491:G1495)</f>
        <v>#DIV/0!</v>
      </c>
      <c r="H1497" s="13" t="s">
        <v>26</v>
      </c>
      <c r="I1497" s="40" t="str">
        <f>(H1491*I1491 + H1492*I1492 + H1493*I1493 + H1494*I1494 + H1495*I1495)/SUM(I1491:I1495)</f>
        <v>#DIV/0!</v>
      </c>
      <c r="J1497" s="39" t="s">
        <v>26</v>
      </c>
      <c r="K1497" s="40" t="str">
        <f>(J1491*K1491 + J1492*K1492 + J1493*K1493 + J1494*K1494 + J1495*K1495)/SUM(K1491:K1495)</f>
        <v>#DIV/0!</v>
      </c>
      <c r="L1497" s="13" t="s">
        <v>26</v>
      </c>
      <c r="M1497" s="40" t="str">
        <f>(L1491*M1491 + L1492*M1492 + L1493*M1493 + L1494*M1494 + L1495*M1495)/SUM(M1491:M1495)</f>
        <v>#DIV/0!</v>
      </c>
      <c r="N1497" s="13" t="s">
        <v>26</v>
      </c>
      <c r="O1497" s="40">
        <f>(N1491*O1491 + N1492*O1492 + N1493*O1493 + N1494*O1494 + N1495*O1495)/SUM(O1491:O1495)</f>
        <v>195</v>
      </c>
    </row>
    <row r="1498" ht="14.25" customHeight="1">
      <c r="A1498" s="28" t="s">
        <v>27</v>
      </c>
      <c r="B1498" s="11" t="s">
        <v>10</v>
      </c>
      <c r="C1498" s="12" t="s">
        <v>11</v>
      </c>
      <c r="D1498" s="11" t="s">
        <v>10</v>
      </c>
      <c r="E1498" s="12" t="s">
        <v>11</v>
      </c>
      <c r="F1498" s="11" t="s">
        <v>10</v>
      </c>
      <c r="G1498" s="12" t="s">
        <v>11</v>
      </c>
      <c r="H1498" s="11" t="s">
        <v>10</v>
      </c>
      <c r="I1498" s="12" t="s">
        <v>11</v>
      </c>
      <c r="J1498" s="11" t="s">
        <v>10</v>
      </c>
      <c r="K1498" s="12" t="s">
        <v>11</v>
      </c>
      <c r="L1498" s="11" t="s">
        <v>10</v>
      </c>
      <c r="M1498" s="12" t="s">
        <v>11</v>
      </c>
      <c r="N1498" s="11" t="s">
        <v>10</v>
      </c>
      <c r="O1498" s="12" t="s">
        <v>11</v>
      </c>
    </row>
    <row r="1499" ht="14.25" customHeight="1">
      <c r="A1499" s="41" t="s">
        <v>28</v>
      </c>
      <c r="B1499" s="20"/>
      <c r="C1499" s="17"/>
      <c r="D1499" s="20"/>
      <c r="E1499" s="17"/>
      <c r="F1499" s="20"/>
      <c r="G1499" s="17"/>
      <c r="H1499" s="45"/>
      <c r="I1499" s="17"/>
      <c r="J1499" s="20"/>
      <c r="K1499" s="17"/>
      <c r="L1499" s="20" t="s">
        <v>364</v>
      </c>
      <c r="M1499" s="17"/>
      <c r="N1499" s="70" t="s">
        <v>245</v>
      </c>
      <c r="O1499" s="44"/>
    </row>
    <row r="1500" ht="14.25" customHeight="1">
      <c r="A1500" s="28"/>
      <c r="B1500" s="46"/>
      <c r="C1500" s="48"/>
      <c r="D1500" s="46"/>
      <c r="E1500" s="48"/>
      <c r="F1500" s="46"/>
      <c r="G1500" s="48"/>
      <c r="H1500" s="1"/>
      <c r="I1500" s="54"/>
      <c r="J1500" s="46"/>
      <c r="K1500" s="48"/>
      <c r="L1500" s="46"/>
      <c r="M1500" s="48"/>
      <c r="N1500" s="46">
        <v>60.0</v>
      </c>
      <c r="O1500" s="54">
        <v>3.0</v>
      </c>
    </row>
    <row r="1501" ht="14.25" customHeight="1">
      <c r="A1501" s="28" t="s">
        <v>37</v>
      </c>
      <c r="B1501" s="46"/>
      <c r="C1501" s="48"/>
      <c r="D1501" s="46"/>
      <c r="E1501" s="48"/>
      <c r="F1501" s="46"/>
      <c r="G1501" s="48"/>
      <c r="H1501" s="1"/>
      <c r="I1501" s="54"/>
      <c r="J1501" s="46"/>
      <c r="K1501" s="48"/>
      <c r="L1501" s="46"/>
      <c r="M1501" s="48"/>
      <c r="N1501" s="46">
        <v>60.0</v>
      </c>
      <c r="O1501" s="54">
        <v>3.0</v>
      </c>
    </row>
    <row r="1502" ht="14.25" customHeight="1">
      <c r="A1502" s="28" t="s">
        <v>39</v>
      </c>
      <c r="B1502" s="46"/>
      <c r="C1502" s="48"/>
      <c r="D1502" s="46"/>
      <c r="E1502" s="48"/>
      <c r="F1502" s="46"/>
      <c r="G1502" s="48"/>
      <c r="H1502" s="1"/>
      <c r="I1502" s="26"/>
      <c r="J1502" s="46"/>
      <c r="K1502" s="48"/>
      <c r="L1502" s="46"/>
      <c r="M1502" s="48"/>
      <c r="N1502" s="46">
        <v>60.0</v>
      </c>
      <c r="O1502" s="54">
        <v>3.0</v>
      </c>
    </row>
    <row r="1503" ht="14.25" customHeight="1">
      <c r="A1503" s="28"/>
      <c r="B1503" s="46"/>
      <c r="C1503" s="54"/>
      <c r="D1503" s="46"/>
      <c r="E1503" s="54"/>
      <c r="F1503" s="46"/>
      <c r="G1503" s="54"/>
      <c r="H1503" s="1"/>
      <c r="I1503" s="26"/>
      <c r="J1503" s="46"/>
      <c r="K1503" s="48"/>
      <c r="L1503" s="46"/>
      <c r="M1503" s="26"/>
      <c r="N1503" s="46"/>
      <c r="O1503" s="26"/>
    </row>
    <row r="1504" ht="14.25" customHeight="1">
      <c r="A1504" s="28" t="s">
        <v>41</v>
      </c>
      <c r="B1504" s="32"/>
      <c r="C1504" s="24"/>
      <c r="D1504" s="32"/>
      <c r="E1504" s="24"/>
      <c r="F1504" s="28"/>
      <c r="G1504" s="24"/>
      <c r="H1504" s="28"/>
      <c r="I1504" s="24"/>
      <c r="J1504" s="31"/>
      <c r="K1504" s="24"/>
      <c r="L1504" s="32"/>
      <c r="M1504" s="24"/>
      <c r="N1504" s="32"/>
      <c r="O1504" s="24"/>
    </row>
    <row r="1505" ht="14.25" customHeight="1">
      <c r="A1505" s="28" t="s">
        <v>43</v>
      </c>
      <c r="B1505" s="32"/>
      <c r="C1505" s="26"/>
      <c r="D1505" s="32"/>
      <c r="E1505" s="26"/>
      <c r="F1505" s="32"/>
      <c r="G1505" s="26"/>
      <c r="H1505" s="28"/>
      <c r="I1505" s="24"/>
      <c r="J1505" s="13"/>
      <c r="K1505" s="24"/>
      <c r="L1505" s="32"/>
      <c r="M1505" s="26"/>
      <c r="N1505" s="32"/>
      <c r="O1505" s="26"/>
    </row>
    <row r="1506" ht="14.25" customHeight="1">
      <c r="A1506" s="28"/>
      <c r="B1506" s="35" t="s">
        <v>25</v>
      </c>
      <c r="C1506" s="36">
        <f>C1500*B1500 + B1501*C1501 + B1502*C1502 + B1503*C1503 + B1505*C1505</f>
        <v>0</v>
      </c>
      <c r="D1506" s="35" t="s">
        <v>25</v>
      </c>
      <c r="E1506" s="36">
        <f>E1500*D1500 + D1501*E1501 + D1502*E1502 + D1503*E1503 + D1505*E1505</f>
        <v>0</v>
      </c>
      <c r="F1506" s="35" t="s">
        <v>25</v>
      </c>
      <c r="G1506" s="36">
        <f>G1500*F1500 + F1501*G1501 + F1502*G1502 + F1503*G1503 + F1505*G1505</f>
        <v>0</v>
      </c>
      <c r="H1506" s="35" t="s">
        <v>25</v>
      </c>
      <c r="I1506" s="36">
        <f>I1500*H1500 + H1501*I1501 + H1502*I1502 + H1503*I1503 + H1505*I1505</f>
        <v>0</v>
      </c>
      <c r="J1506" s="35" t="s">
        <v>25</v>
      </c>
      <c r="K1506" s="36">
        <f>K1500*J1500 + J1501*K1501 + J1502*K1502 + J1503*K1503 + J1505*K1505</f>
        <v>0</v>
      </c>
      <c r="L1506" s="35" t="s">
        <v>25</v>
      </c>
      <c r="M1506" s="36">
        <f>M1500*L1500 + L1501*M1501 + L1502*M1502 + L1503*M1503 + L1505*M1505</f>
        <v>0</v>
      </c>
      <c r="N1506" s="35" t="s">
        <v>25</v>
      </c>
      <c r="O1506" s="36">
        <f>O1500*N1500 + N1501*O1501 + N1502*O1502 + N1503*O1503 + N1505*O1505</f>
        <v>540</v>
      </c>
    </row>
    <row r="1507" ht="14.25" customHeight="1">
      <c r="A1507" s="28" t="s">
        <v>116</v>
      </c>
      <c r="B1507" s="39" t="s">
        <v>26</v>
      </c>
      <c r="C1507" s="40" t="str">
        <f>(B1501*C1501 + B1502*C1502 + B1503*C1503 + B1504*C1504 + B1505*C1505)/SUM(C1501:C1505)</f>
        <v>#DIV/0!</v>
      </c>
      <c r="D1507" s="39" t="s">
        <v>26</v>
      </c>
      <c r="E1507" s="40" t="str">
        <f>(D1501*E1501 + D1502*E1502 + D1503*E1503 + D1504*E1504 + D1505*E1505)/SUM(E1501:E1505)</f>
        <v>#DIV/0!</v>
      </c>
      <c r="F1507" s="39" t="s">
        <v>26</v>
      </c>
      <c r="G1507" s="40" t="str">
        <f>(F1501*G1501 + F1502*G1502 + F1503*G1503 + F1504*G1504 + F1505*G1505)/SUM(G1501:G1505)</f>
        <v>#DIV/0!</v>
      </c>
      <c r="H1507" s="39" t="s">
        <v>26</v>
      </c>
      <c r="I1507" s="40" t="str">
        <f>(H1501*I1501 + H1502*I1502 + H1503*I1503 + H1504*I1504 + H1505*I1505)/SUM(I1501:I1505)</f>
        <v>#DIV/0!</v>
      </c>
      <c r="J1507" s="39" t="s">
        <v>26</v>
      </c>
      <c r="K1507" s="40" t="str">
        <f>(J1501*K1501 + J1502*K1502 + J1503*K1503 + J1504*K1504 + J1505*K1505)/SUM(K1501:K1505)</f>
        <v>#DIV/0!</v>
      </c>
      <c r="L1507" s="39" t="s">
        <v>26</v>
      </c>
      <c r="M1507" s="40" t="str">
        <f>(L1501*M1501 + L1502*M1502 + L1503*M1503 + L1504*M1504 + L1505*M1505)/SUM(M1501:M1505)</f>
        <v>#DIV/0!</v>
      </c>
      <c r="N1507" s="39" t="s">
        <v>26</v>
      </c>
      <c r="O1507" s="40">
        <f>(N1501*O1501 + N1502*O1502 + N1503*O1503 + N1504*O1504 + N1505*O1505)/SUM(O1501:O1505)</f>
        <v>60</v>
      </c>
    </row>
    <row r="1508" ht="14.25" customHeight="1">
      <c r="A1508" s="28" t="s">
        <v>117</v>
      </c>
      <c r="B1508" s="49"/>
      <c r="C1508" s="50"/>
      <c r="D1508" s="70"/>
      <c r="E1508" s="17"/>
      <c r="F1508" s="20"/>
      <c r="G1508" s="17"/>
      <c r="H1508" s="45"/>
      <c r="I1508" s="17"/>
      <c r="J1508" s="20"/>
      <c r="K1508" s="17"/>
      <c r="L1508" s="49"/>
      <c r="M1508" s="50"/>
      <c r="N1508" s="49" t="s">
        <v>365</v>
      </c>
      <c r="O1508" s="50"/>
    </row>
    <row r="1509" ht="14.25" customHeight="1">
      <c r="A1509" s="28" t="s">
        <v>120</v>
      </c>
      <c r="B1509" s="46"/>
      <c r="C1509" s="54"/>
      <c r="D1509" s="28"/>
      <c r="E1509" s="54"/>
      <c r="F1509" s="46"/>
      <c r="G1509" s="48"/>
      <c r="H1509" s="1"/>
      <c r="I1509" s="54"/>
      <c r="J1509" s="46"/>
      <c r="K1509" s="48"/>
      <c r="L1509" s="21"/>
      <c r="M1509" s="24"/>
      <c r="N1509" s="46" t="s">
        <v>366</v>
      </c>
      <c r="O1509" s="24"/>
    </row>
    <row r="1510" ht="14.25" customHeight="1">
      <c r="A1510" s="28"/>
      <c r="B1510" s="46"/>
      <c r="C1510" s="54"/>
      <c r="D1510" s="27"/>
      <c r="E1510" s="54"/>
      <c r="F1510" s="46"/>
      <c r="G1510" s="48"/>
      <c r="H1510" s="1"/>
      <c r="I1510" s="54"/>
      <c r="J1510" s="46"/>
      <c r="K1510" s="48"/>
      <c r="L1510" s="21"/>
      <c r="M1510" s="26"/>
      <c r="N1510" s="46" t="s">
        <v>367</v>
      </c>
      <c r="O1510" s="54" t="s">
        <v>368</v>
      </c>
    </row>
    <row r="1511" ht="14.25" customHeight="1">
      <c r="A1511" s="28"/>
      <c r="B1511" s="46"/>
      <c r="C1511" s="54"/>
      <c r="D1511" s="27"/>
      <c r="E1511" s="54"/>
      <c r="F1511" s="46"/>
      <c r="G1511" s="48"/>
      <c r="H1511" s="1"/>
      <c r="I1511" s="26"/>
      <c r="J1511" s="46"/>
      <c r="K1511" s="48"/>
      <c r="L1511" s="46"/>
      <c r="M1511" s="24"/>
      <c r="N1511" s="46" t="s">
        <v>369</v>
      </c>
      <c r="O1511" s="24"/>
    </row>
    <row r="1512" ht="14.25" customHeight="1">
      <c r="A1512" s="28"/>
      <c r="B1512" s="46"/>
      <c r="C1512" s="54"/>
      <c r="D1512" s="46"/>
      <c r="E1512" s="54"/>
      <c r="F1512" s="46"/>
      <c r="G1512" s="54"/>
      <c r="H1512" s="1"/>
      <c r="I1512" s="26"/>
      <c r="J1512" s="28"/>
      <c r="K1512" s="54"/>
      <c r="L1512" s="21"/>
      <c r="M1512" s="24"/>
      <c r="N1512" s="46" t="s">
        <v>370</v>
      </c>
      <c r="O1512" s="24"/>
    </row>
    <row r="1513" ht="14.25" customHeight="1">
      <c r="A1513" s="28"/>
      <c r="B1513" s="13"/>
      <c r="C1513" s="34"/>
      <c r="D1513" s="21"/>
      <c r="E1513" s="34"/>
      <c r="F1513" s="13"/>
      <c r="G1513" s="24"/>
      <c r="H1513" s="28"/>
      <c r="I1513" s="34"/>
      <c r="J1513" s="13"/>
      <c r="K1513" s="24"/>
      <c r="L1513" s="31"/>
      <c r="M1513" s="24"/>
      <c r="N1513" s="31"/>
      <c r="O1513" s="24"/>
    </row>
    <row r="1514" ht="14.25" customHeight="1">
      <c r="A1514" s="28"/>
      <c r="B1514" s="35" t="s">
        <v>25</v>
      </c>
      <c r="C1514" s="55">
        <f>C1509*B1509 + B1510*C1510 + B1511*C1511 + B1512*C1512 + B1513*C1513</f>
        <v>0</v>
      </c>
      <c r="D1514" s="35" t="s">
        <v>25</v>
      </c>
      <c r="E1514" s="55">
        <f>E1509*D1509 + D1510*E1510 + D1511*E1511 + D1512*E1512 + D1513*E1513</f>
        <v>0</v>
      </c>
      <c r="F1514" s="35" t="s">
        <v>25</v>
      </c>
      <c r="G1514" s="55">
        <f>G1509*F1509 + F1510*G1510 + F1511*G1511 + F1512*G1512 + F1513*G1513</f>
        <v>0</v>
      </c>
      <c r="H1514" s="35" t="s">
        <v>25</v>
      </c>
      <c r="I1514" s="56">
        <f>I1509*H1509 + H1510*I1510 + H1511*I1511 + H1512*I1512 + H1513*I1513</f>
        <v>0</v>
      </c>
      <c r="J1514" s="35" t="s">
        <v>25</v>
      </c>
      <c r="K1514" s="36">
        <f>K1509*J1509 + J1510*K1510 + J1511*K1511 + J1512*K1512 + J1513*K1513</f>
        <v>0</v>
      </c>
      <c r="L1514" s="57" t="s">
        <v>25</v>
      </c>
      <c r="M1514" s="58">
        <f>M1509*L1509 + L1510*M1510 + L1511*M1511 + L1512*M1512 + L1513*M1513</f>
        <v>0</v>
      </c>
      <c r="N1514" s="57" t="s">
        <v>25</v>
      </c>
      <c r="O1514" s="58" t="str">
        <f>O1509*N1509 + N1510*O1510 + N1511*O1511 + N1512*O1512 + N1513*O1513</f>
        <v>#VALUE!</v>
      </c>
    </row>
    <row r="1515" ht="14.25" customHeight="1">
      <c r="A1515" s="28"/>
      <c r="B1515" s="39" t="s">
        <v>26</v>
      </c>
      <c r="C1515" s="40" t="str">
        <f>(B1509*C1509 + B1510*C1510 + B1511*C1511 + B1512*C1512 + B1513*C1513)/SUM(C1509:C1513)</f>
        <v>#DIV/0!</v>
      </c>
      <c r="D1515" s="59" t="s">
        <v>26</v>
      </c>
      <c r="E1515" s="40" t="str">
        <f>(D1509*E1509 + D1510*E1510 + D1511*E1511 + D1512*E1512 + D1513*E1513)/SUM(E1509:E1513)</f>
        <v>#DIV/0!</v>
      </c>
      <c r="F1515" s="39" t="s">
        <v>26</v>
      </c>
      <c r="G1515" s="40" t="str">
        <f>(F1509*G1509 + F1510*G1510 + F1511*G1511 + F1512*G1512 + F1513*G1513)/SUM(G1509:G1513)</f>
        <v>#DIV/0!</v>
      </c>
      <c r="H1515" s="59" t="s">
        <v>26</v>
      </c>
      <c r="I1515" s="40" t="str">
        <f>(H1509*I1509 + H1510*I1510 + H1511*I1511 + H1512*I1512 + H1513*I1513)/SUM(I1509:I1513)</f>
        <v>#DIV/0!</v>
      </c>
      <c r="J1515" s="39" t="s">
        <v>26</v>
      </c>
      <c r="K1515" s="40" t="str">
        <f>(J1509*K1509 + J1510*K1510 + J1511*K1511 + J1512*K1512 + J1513*K1513)/SUM(K1509:K1513)</f>
        <v>#DIV/0!</v>
      </c>
      <c r="L1515" s="59" t="s">
        <v>26</v>
      </c>
      <c r="M1515" s="40" t="str">
        <f>(L1509*M1509 + L1510*M1510 + L1511*M1511 + L1512*M1512 + L1513*M1513)/SUM(M1513)</f>
        <v>#DIV/0!</v>
      </c>
      <c r="N1515" s="59" t="s">
        <v>26</v>
      </c>
      <c r="O1515" s="40" t="str">
        <f>(N1509*O1509 + N1510*O1510 + N1511*O1511 + N1512*O1512 + N1513*O1513)/SUM(O1513)</f>
        <v>#VALUE!</v>
      </c>
    </row>
    <row r="1516" ht="14.25" customHeight="1">
      <c r="A1516" s="28"/>
      <c r="B1516" s="28" t="s">
        <v>51</v>
      </c>
      <c r="C1516" s="30" t="s">
        <v>49</v>
      </c>
      <c r="D1516" s="28" t="s">
        <v>50</v>
      </c>
      <c r="E1516" s="30" t="s">
        <v>49</v>
      </c>
      <c r="F1516" s="28" t="s">
        <v>51</v>
      </c>
      <c r="G1516" s="30" t="s">
        <v>49</v>
      </c>
      <c r="H1516" s="28" t="s">
        <v>50</v>
      </c>
      <c r="I1516" s="30" t="s">
        <v>49</v>
      </c>
      <c r="J1516" s="28" t="s">
        <v>50</v>
      </c>
      <c r="K1516" s="30" t="s">
        <v>49</v>
      </c>
      <c r="L1516" s="28" t="s">
        <v>50</v>
      </c>
      <c r="M1516" s="60" t="s">
        <v>49</v>
      </c>
      <c r="N1516" s="28" t="s">
        <v>50</v>
      </c>
      <c r="O1516" s="60" t="s">
        <v>49</v>
      </c>
    </row>
    <row r="1517" ht="14.25" customHeight="1">
      <c r="A1517" s="28"/>
      <c r="B1517" s="27"/>
      <c r="C1517" s="60"/>
      <c r="D1517" s="27"/>
      <c r="E1517" s="60"/>
      <c r="F1517" s="27"/>
      <c r="G1517" s="60"/>
      <c r="H1517" s="27"/>
      <c r="I1517" s="60"/>
      <c r="J1517" s="27"/>
      <c r="K1517" s="60"/>
      <c r="L1517" s="27"/>
      <c r="M1517" s="60"/>
      <c r="N1517" s="27"/>
      <c r="O1517" s="60"/>
    </row>
    <row r="1518" ht="14.25" customHeight="1">
      <c r="A1518" s="28"/>
      <c r="B1518" s="27"/>
      <c r="C1518" s="60"/>
      <c r="D1518" s="27"/>
      <c r="E1518" s="60"/>
      <c r="F1518" s="27"/>
      <c r="G1518" s="60"/>
      <c r="H1518" s="27"/>
      <c r="I1518" s="60"/>
      <c r="J1518" s="27"/>
      <c r="K1518" s="60"/>
      <c r="L1518" s="27"/>
      <c r="M1518" s="60"/>
      <c r="N1518" s="27"/>
      <c r="O1518" s="60"/>
    </row>
    <row r="1519" ht="14.25" customHeight="1">
      <c r="A1519" s="37"/>
      <c r="B1519" s="28"/>
      <c r="C1519" s="60"/>
      <c r="D1519" s="28"/>
      <c r="E1519" s="60"/>
      <c r="F1519" s="28"/>
      <c r="G1519" s="60"/>
      <c r="H1519" s="30"/>
      <c r="I1519" s="60"/>
      <c r="J1519" s="1"/>
      <c r="K1519" s="60"/>
      <c r="L1519" s="1"/>
      <c r="M1519" s="60"/>
      <c r="N1519" s="30"/>
      <c r="O1519" s="60"/>
    </row>
    <row r="1520" ht="14.25" customHeight="1">
      <c r="A1520" s="37"/>
      <c r="B1520" s="28"/>
      <c r="C1520" s="1"/>
      <c r="D1520" s="28"/>
      <c r="E1520" s="1"/>
      <c r="F1520" s="28"/>
      <c r="G1520" s="63"/>
      <c r="H1520" s="30"/>
      <c r="I1520" s="30"/>
      <c r="J1520" s="28"/>
      <c r="K1520" s="60"/>
      <c r="L1520" s="30"/>
      <c r="M1520" s="60"/>
      <c r="N1520" s="30"/>
      <c r="O1520" s="60"/>
    </row>
    <row r="1521" ht="14.25" customHeight="1">
      <c r="A1521" s="37"/>
      <c r="B1521" s="28"/>
      <c r="C1521" s="1"/>
      <c r="D1521" s="28"/>
      <c r="E1521" s="1"/>
      <c r="F1521" s="28"/>
      <c r="G1521" s="60"/>
      <c r="H1521" s="28"/>
      <c r="I1521" s="30"/>
      <c r="J1521" s="28"/>
      <c r="K1521" s="60"/>
      <c r="L1521" s="30"/>
      <c r="M1521" s="60"/>
      <c r="N1521" s="30"/>
      <c r="O1521" s="60"/>
    </row>
    <row r="1522" ht="14.25" customHeight="1">
      <c r="A1522" s="37"/>
      <c r="B1522" s="28"/>
      <c r="C1522" s="1"/>
      <c r="D1522" s="28"/>
      <c r="E1522" s="1"/>
      <c r="F1522" s="28"/>
      <c r="G1522" s="60"/>
      <c r="H1522" s="30"/>
      <c r="I1522" s="30"/>
      <c r="J1522" s="37"/>
      <c r="K1522" s="60"/>
      <c r="L1522" s="30"/>
      <c r="M1522" s="60"/>
      <c r="N1522" s="30"/>
      <c r="O1522" s="60"/>
    </row>
    <row r="1523" ht="14.25" customHeight="1">
      <c r="A1523" s="64"/>
      <c r="B1523" s="65"/>
      <c r="C1523" s="66"/>
      <c r="D1523" s="65"/>
      <c r="E1523" s="66"/>
      <c r="F1523" s="64"/>
      <c r="G1523" s="67"/>
      <c r="H1523" s="66"/>
      <c r="I1523" s="66"/>
      <c r="J1523" s="64"/>
      <c r="K1523" s="67"/>
      <c r="L1523" s="66"/>
      <c r="M1523" s="67"/>
      <c r="N1523" s="66"/>
      <c r="O1523" s="67"/>
    </row>
    <row r="1524" ht="14.25" customHeight="1">
      <c r="A1524" s="30"/>
      <c r="B1524" s="1"/>
      <c r="C1524" s="30"/>
      <c r="D1524" s="1"/>
      <c r="E1524" s="30"/>
      <c r="F1524" s="30"/>
      <c r="G1524" s="30"/>
      <c r="H1524" s="30"/>
      <c r="I1524" s="30"/>
      <c r="J1524" s="30"/>
      <c r="K1524" s="30"/>
      <c r="L1524" s="30"/>
      <c r="M1524" s="30"/>
      <c r="N1524" s="30"/>
      <c r="O1524" s="30"/>
    </row>
    <row r="1525" ht="14.25" customHeight="1">
      <c r="A1525" s="2" t="s">
        <v>2</v>
      </c>
      <c r="B1525" s="3" t="s">
        <v>3</v>
      </c>
      <c r="C1525" s="4">
        <f>M1487+2</f>
        <v>45642</v>
      </c>
      <c r="D1525" s="5" t="s">
        <v>4</v>
      </c>
      <c r="E1525" s="6">
        <f>C1525+1</f>
        <v>45643</v>
      </c>
      <c r="F1525" s="3" t="s">
        <v>5</v>
      </c>
      <c r="G1525" s="6">
        <f>E1525+1</f>
        <v>45644</v>
      </c>
      <c r="H1525" s="3" t="s">
        <v>6</v>
      </c>
      <c r="I1525" s="6">
        <f>G1525+1</f>
        <v>45645</v>
      </c>
      <c r="J1525" s="3" t="s">
        <v>7</v>
      </c>
      <c r="K1525" s="6">
        <f>I1525+1</f>
        <v>45646</v>
      </c>
      <c r="L1525" s="7" t="s">
        <v>8</v>
      </c>
      <c r="M1525" s="8">
        <f>K1525+1</f>
        <v>45647</v>
      </c>
      <c r="N1525" s="9" t="s">
        <v>9</v>
      </c>
      <c r="O1525" s="8">
        <f>M1525+1</f>
        <v>45648</v>
      </c>
    </row>
    <row r="1526" ht="14.25" customHeight="1">
      <c r="A1526" s="10">
        <f>A1488+1</f>
        <v>42</v>
      </c>
      <c r="B1526" s="11" t="s">
        <v>10</v>
      </c>
      <c r="C1526" s="12" t="s">
        <v>11</v>
      </c>
      <c r="D1526" s="11" t="s">
        <v>10</v>
      </c>
      <c r="E1526" s="12" t="s">
        <v>11</v>
      </c>
      <c r="F1526" s="11" t="s">
        <v>10</v>
      </c>
      <c r="G1526" s="12" t="s">
        <v>11</v>
      </c>
      <c r="H1526" s="11" t="s">
        <v>10</v>
      </c>
      <c r="I1526" s="12" t="s">
        <v>11</v>
      </c>
      <c r="J1526" s="11" t="s">
        <v>10</v>
      </c>
      <c r="K1526" s="12" t="s">
        <v>11</v>
      </c>
      <c r="L1526" s="11" t="s">
        <v>10</v>
      </c>
      <c r="M1526" s="12" t="s">
        <v>11</v>
      </c>
      <c r="N1526" s="11" t="s">
        <v>10</v>
      </c>
      <c r="O1526" s="12" t="s">
        <v>11</v>
      </c>
    </row>
    <row r="1527" ht="14.25" customHeight="1">
      <c r="A1527" s="13"/>
      <c r="B1527" s="14" t="s">
        <v>306</v>
      </c>
      <c r="C1527" s="15"/>
      <c r="D1527" s="14" t="s">
        <v>306</v>
      </c>
      <c r="E1527" s="15"/>
      <c r="F1527" s="14" t="s">
        <v>306</v>
      </c>
      <c r="G1527" s="15"/>
      <c r="H1527" s="14" t="s">
        <v>315</v>
      </c>
      <c r="I1527" s="15"/>
      <c r="J1527" s="14" t="s">
        <v>352</v>
      </c>
      <c r="K1527" s="15"/>
      <c r="L1527" s="14" t="s">
        <v>17</v>
      </c>
      <c r="M1527" s="15"/>
      <c r="N1527" s="14" t="s">
        <v>17</v>
      </c>
      <c r="O1527" s="15"/>
    </row>
    <row r="1528" ht="14.25" customHeight="1">
      <c r="A1528" s="13" t="s">
        <v>12</v>
      </c>
      <c r="B1528" s="20" t="s">
        <v>142</v>
      </c>
      <c r="C1528" s="17"/>
      <c r="D1528" s="20" t="s">
        <v>229</v>
      </c>
      <c r="E1528" s="17"/>
      <c r="F1528" s="20" t="s">
        <v>316</v>
      </c>
      <c r="G1528" s="17"/>
      <c r="H1528" s="20"/>
      <c r="I1528" s="17"/>
      <c r="J1528" s="20"/>
      <c r="K1528" s="17"/>
      <c r="L1528" s="20"/>
      <c r="M1528" s="17"/>
      <c r="N1528" s="20"/>
      <c r="O1528" s="17"/>
    </row>
    <row r="1529" ht="14.25" customHeight="1">
      <c r="A1529" s="13"/>
      <c r="B1529" s="46">
        <v>110.0</v>
      </c>
      <c r="C1529" s="48">
        <v>4.0</v>
      </c>
      <c r="D1529" s="46">
        <v>70.0</v>
      </c>
      <c r="E1529" s="48">
        <v>4.0</v>
      </c>
      <c r="F1529" s="46">
        <v>60.0</v>
      </c>
      <c r="G1529" s="48">
        <v>3.0</v>
      </c>
      <c r="H1529" s="46"/>
      <c r="I1529" s="48"/>
      <c r="J1529" s="46"/>
      <c r="K1529" s="48"/>
      <c r="L1529" s="46"/>
      <c r="M1529" s="48"/>
      <c r="N1529" s="27"/>
      <c r="O1529" s="24"/>
    </row>
    <row r="1530" ht="14.25" customHeight="1">
      <c r="A1530" s="28" t="s">
        <v>20</v>
      </c>
      <c r="B1530" s="46">
        <v>120.0</v>
      </c>
      <c r="C1530" s="48">
        <v>3.0</v>
      </c>
      <c r="D1530" s="46">
        <v>80.0</v>
      </c>
      <c r="E1530" s="48">
        <v>3.0</v>
      </c>
      <c r="F1530" s="46">
        <v>60.0</v>
      </c>
      <c r="G1530" s="48">
        <v>3.0</v>
      </c>
      <c r="H1530" s="46"/>
      <c r="I1530" s="48"/>
      <c r="J1530" s="46"/>
      <c r="K1530" s="48"/>
      <c r="L1530" s="46"/>
      <c r="M1530" s="48"/>
      <c r="N1530" s="28"/>
      <c r="O1530" s="24"/>
    </row>
    <row r="1531" ht="14.25" customHeight="1">
      <c r="A1531" s="29" t="s">
        <v>22</v>
      </c>
      <c r="B1531" s="46">
        <v>130.0</v>
      </c>
      <c r="C1531" s="48">
        <v>2.0</v>
      </c>
      <c r="D1531" s="46">
        <v>90.0</v>
      </c>
      <c r="E1531" s="48">
        <v>2.0</v>
      </c>
      <c r="F1531" s="46">
        <v>60.0</v>
      </c>
      <c r="G1531" s="48">
        <v>3.0</v>
      </c>
      <c r="H1531" s="46"/>
      <c r="I1531" s="48"/>
      <c r="J1531" s="46"/>
      <c r="K1531" s="48"/>
      <c r="L1531" s="46"/>
      <c r="M1531" s="48"/>
      <c r="N1531" s="23"/>
      <c r="O1531" s="24"/>
    </row>
    <row r="1532" ht="14.25" customHeight="1">
      <c r="A1532" s="28" t="s">
        <v>23</v>
      </c>
      <c r="B1532" s="28" t="s">
        <v>371</v>
      </c>
      <c r="C1532" s="26"/>
      <c r="D1532" s="46"/>
      <c r="E1532" s="48"/>
      <c r="F1532" s="28"/>
      <c r="G1532" s="26"/>
      <c r="H1532" s="1"/>
      <c r="I1532" s="24"/>
      <c r="J1532" s="46"/>
      <c r="K1532" s="48"/>
      <c r="L1532" s="28"/>
      <c r="M1532" s="26"/>
      <c r="N1532" s="32"/>
      <c r="O1532" s="26"/>
    </row>
    <row r="1533" ht="14.25" customHeight="1">
      <c r="A1533" s="13"/>
      <c r="B1533" s="33"/>
      <c r="C1533" s="26"/>
      <c r="D1533" s="13"/>
      <c r="E1533" s="24"/>
      <c r="F1533" s="33"/>
      <c r="G1533" s="26"/>
      <c r="H1533" s="13"/>
      <c r="I1533" s="34"/>
      <c r="J1533" s="13"/>
      <c r="K1533" s="24"/>
      <c r="L1533" s="13"/>
      <c r="M1533" s="24"/>
      <c r="N1533" s="13"/>
      <c r="O1533" s="24"/>
    </row>
    <row r="1534" ht="14.25" customHeight="1">
      <c r="A1534" s="28" t="s">
        <v>24</v>
      </c>
      <c r="B1534" s="35" t="s">
        <v>25</v>
      </c>
      <c r="C1534" s="36" t="str">
        <f>C1529*B1529 + B1530*C1530 + B1531*C1531 + B1532*C1532 + B1533*C1533</f>
        <v>#VALUE!</v>
      </c>
      <c r="D1534" s="35" t="s">
        <v>25</v>
      </c>
      <c r="E1534" s="36">
        <f>E1529*D1529 + D1530*E1530 + D1531*E1531 + D1532*E1532 + D1533*E1533</f>
        <v>700</v>
      </c>
      <c r="F1534" s="35" t="s">
        <v>25</v>
      </c>
      <c r="G1534" s="36">
        <f>G1529*F1529 + F1530*G1530 + F1531*G1531 + F1532*G1532 + F1533*G1533</f>
        <v>540</v>
      </c>
      <c r="H1534" s="35" t="s">
        <v>25</v>
      </c>
      <c r="I1534" s="36">
        <f>I1529*H1529 + H1530*I1530 + H1531*I1531 + H1532*I1532 + H1533*I1533</f>
        <v>0</v>
      </c>
      <c r="J1534" s="35" t="s">
        <v>25</v>
      </c>
      <c r="K1534" s="36">
        <f>K1529*J1529 + J1530*K1530 + J1531*K1531 + J1532*K1532 + J1533*K1533</f>
        <v>0</v>
      </c>
      <c r="L1534" s="35" t="s">
        <v>25</v>
      </c>
      <c r="M1534" s="36">
        <f>M1529*L1529 + L1530*M1530 + L1531*M1531 + L1532*M1532 + L1533*M1533</f>
        <v>0</v>
      </c>
      <c r="N1534" s="35" t="s">
        <v>25</v>
      </c>
      <c r="O1534" s="36">
        <f>O1529*N1529 + N1530*O1530 + N1531*O1531 + N1532*O1532 + N1533*O1533</f>
        <v>0</v>
      </c>
    </row>
    <row r="1535" ht="14.25" customHeight="1">
      <c r="A1535" s="37"/>
      <c r="B1535" s="13" t="s">
        <v>26</v>
      </c>
      <c r="C1535" s="40" t="str">
        <f>(B1529*C1529 + B1530*C1530 + B1531*C1531 + B1532*C1532 + B1533*C1533)/SUM(C1529:C1533)</f>
        <v>#VALUE!</v>
      </c>
      <c r="D1535" s="39" t="s">
        <v>26</v>
      </c>
      <c r="E1535" s="40">
        <f>(D1529*E1529 + D1530*E1530 + D1531*E1531 + D1532*E1532 + D1533*E1533)/SUM(E1529:E1533)</f>
        <v>77.77777778</v>
      </c>
      <c r="F1535" s="13" t="s">
        <v>26</v>
      </c>
      <c r="G1535" s="40">
        <f>(F1529*G1529 + F1530*G1530 + F1531*G1531 + F1532*G1532 + F1533*G1533)/SUM(G1529:G1533)</f>
        <v>60</v>
      </c>
      <c r="H1535" s="13" t="s">
        <v>26</v>
      </c>
      <c r="I1535" s="40" t="str">
        <f>(H1529*I1529 + H1530*I1530 + H1531*I1531 + H1532*I1532 + H1533*I1533)/SUM(I1529:I1533)</f>
        <v>#DIV/0!</v>
      </c>
      <c r="J1535" s="39" t="s">
        <v>26</v>
      </c>
      <c r="K1535" s="40" t="str">
        <f>(J1529*K1529 + J1530*K1530 + J1531*K1531 + J1532*K1532 + J1533*K1533)/SUM(K1529:K1533)</f>
        <v>#DIV/0!</v>
      </c>
      <c r="L1535" s="13" t="s">
        <v>26</v>
      </c>
      <c r="M1535" s="40" t="str">
        <f>(L1529*M1529 + L1530*M1530 + L1531*M1531 + L1532*M1532 + L1533*M1533)/SUM(M1529:M1533)</f>
        <v>#DIV/0!</v>
      </c>
      <c r="N1535" s="13" t="s">
        <v>26</v>
      </c>
      <c r="O1535" s="40" t="str">
        <f>(N1529*O1529 + N1530*O1530 + N1531*O1531 + N1532*O1532 + N1533*O1533)/SUM(O1529:O1533)</f>
        <v>#DIV/0!</v>
      </c>
    </row>
    <row r="1536" ht="14.25" customHeight="1">
      <c r="A1536" s="28" t="s">
        <v>27</v>
      </c>
      <c r="B1536" s="11" t="s">
        <v>10</v>
      </c>
      <c r="C1536" s="12" t="s">
        <v>11</v>
      </c>
      <c r="D1536" s="11" t="s">
        <v>10</v>
      </c>
      <c r="E1536" s="12" t="s">
        <v>11</v>
      </c>
      <c r="F1536" s="11" t="s">
        <v>10</v>
      </c>
      <c r="G1536" s="12" t="s">
        <v>11</v>
      </c>
      <c r="H1536" s="11" t="s">
        <v>10</v>
      </c>
      <c r="I1536" s="12" t="s">
        <v>11</v>
      </c>
      <c r="J1536" s="11" t="s">
        <v>10</v>
      </c>
      <c r="K1536" s="12" t="s">
        <v>11</v>
      </c>
      <c r="L1536" s="11" t="s">
        <v>10</v>
      </c>
      <c r="M1536" s="12" t="s">
        <v>11</v>
      </c>
      <c r="N1536" s="11" t="s">
        <v>10</v>
      </c>
      <c r="O1536" s="12" t="s">
        <v>11</v>
      </c>
    </row>
    <row r="1537" ht="14.25" customHeight="1">
      <c r="A1537" s="41" t="s">
        <v>28</v>
      </c>
      <c r="B1537" s="20"/>
      <c r="C1537" s="17"/>
      <c r="D1537" s="20" t="s">
        <v>316</v>
      </c>
      <c r="E1537" s="17"/>
      <c r="F1537" s="20" t="s">
        <v>290</v>
      </c>
      <c r="G1537" s="17"/>
      <c r="H1537" s="45"/>
      <c r="I1537" s="17"/>
      <c r="J1537" s="20"/>
      <c r="K1537" s="17"/>
      <c r="L1537" s="20"/>
      <c r="M1537" s="17"/>
      <c r="N1537" s="42"/>
      <c r="O1537" s="44"/>
    </row>
    <row r="1538" ht="14.25" customHeight="1">
      <c r="A1538" s="28"/>
      <c r="B1538" s="46"/>
      <c r="C1538" s="48"/>
      <c r="D1538" s="46">
        <v>50.0</v>
      </c>
      <c r="E1538" s="48">
        <v>5.0</v>
      </c>
      <c r="F1538" s="46" t="s">
        <v>372</v>
      </c>
      <c r="G1538" s="48"/>
      <c r="H1538" s="1"/>
      <c r="I1538" s="54"/>
      <c r="J1538" s="46"/>
      <c r="K1538" s="48"/>
      <c r="L1538" s="46"/>
      <c r="M1538" s="48"/>
      <c r="N1538" s="46"/>
      <c r="O1538" s="26"/>
    </row>
    <row r="1539" ht="14.25" customHeight="1">
      <c r="A1539" s="28" t="s">
        <v>37</v>
      </c>
      <c r="B1539" s="46"/>
      <c r="C1539" s="48"/>
      <c r="D1539" s="46">
        <v>55.0</v>
      </c>
      <c r="E1539" s="48">
        <v>5.0</v>
      </c>
      <c r="F1539" s="46" t="s">
        <v>373</v>
      </c>
      <c r="G1539" s="48" t="s">
        <v>374</v>
      </c>
      <c r="H1539" s="1"/>
      <c r="I1539" s="54"/>
      <c r="J1539" s="46"/>
      <c r="K1539" s="48"/>
      <c r="L1539" s="46"/>
      <c r="M1539" s="48"/>
      <c r="N1539" s="46"/>
      <c r="O1539" s="26"/>
    </row>
    <row r="1540" ht="14.25" customHeight="1">
      <c r="A1540" s="28" t="s">
        <v>39</v>
      </c>
      <c r="B1540" s="46"/>
      <c r="C1540" s="48"/>
      <c r="D1540" s="46">
        <v>60.0</v>
      </c>
      <c r="E1540" s="48">
        <v>5.0</v>
      </c>
      <c r="F1540" s="46"/>
      <c r="G1540" s="48" t="s">
        <v>375</v>
      </c>
      <c r="H1540" s="1"/>
      <c r="I1540" s="26"/>
      <c r="J1540" s="46"/>
      <c r="K1540" s="48"/>
      <c r="L1540" s="46"/>
      <c r="M1540" s="48"/>
      <c r="N1540" s="46"/>
      <c r="O1540" s="26"/>
    </row>
    <row r="1541" ht="14.25" customHeight="1">
      <c r="A1541" s="28"/>
      <c r="B1541" s="46"/>
      <c r="C1541" s="54"/>
      <c r="D1541" s="46"/>
      <c r="E1541" s="54"/>
      <c r="F1541" s="46"/>
      <c r="G1541" s="48" t="s">
        <v>345</v>
      </c>
      <c r="H1541" s="1"/>
      <c r="I1541" s="26"/>
      <c r="J1541" s="46"/>
      <c r="K1541" s="48"/>
      <c r="L1541" s="46"/>
      <c r="M1541" s="26"/>
      <c r="N1541" s="46"/>
      <c r="O1541" s="26"/>
    </row>
    <row r="1542" ht="14.25" customHeight="1">
      <c r="A1542" s="28" t="s">
        <v>41</v>
      </c>
      <c r="B1542" s="32"/>
      <c r="C1542" s="24"/>
      <c r="D1542" s="32"/>
      <c r="E1542" s="24"/>
      <c r="F1542" s="28"/>
      <c r="G1542" s="71"/>
      <c r="H1542" s="28"/>
      <c r="I1542" s="24"/>
      <c r="J1542" s="31"/>
      <c r="K1542" s="24"/>
      <c r="L1542" s="32"/>
      <c r="M1542" s="24"/>
      <c r="N1542" s="32"/>
      <c r="O1542" s="24"/>
    </row>
    <row r="1543" ht="14.25" customHeight="1">
      <c r="A1543" s="28" t="s">
        <v>43</v>
      </c>
      <c r="B1543" s="32"/>
      <c r="C1543" s="26"/>
      <c r="D1543" s="32"/>
      <c r="E1543" s="26"/>
      <c r="F1543" s="32"/>
      <c r="G1543" s="26"/>
      <c r="H1543" s="28"/>
      <c r="I1543" s="24"/>
      <c r="J1543" s="13"/>
      <c r="K1543" s="24"/>
      <c r="L1543" s="32"/>
      <c r="M1543" s="26"/>
      <c r="N1543" s="32"/>
      <c r="O1543" s="26"/>
    </row>
    <row r="1544" ht="14.25" customHeight="1">
      <c r="A1544" s="28"/>
      <c r="B1544" s="35" t="s">
        <v>25</v>
      </c>
      <c r="C1544" s="36">
        <f>C1538*B1538 + B1539*C1539 + B1540*C1540 + B1541*C1541 + B1543*C1543</f>
        <v>0</v>
      </c>
      <c r="D1544" s="35" t="s">
        <v>25</v>
      </c>
      <c r="E1544" s="36">
        <f>E1538*D1538 + D1539*E1539 + D1540*E1540 + D1541*E1541 + D1543*E1543</f>
        <v>825</v>
      </c>
      <c r="F1544" s="35" t="s">
        <v>25</v>
      </c>
      <c r="G1544" s="36" t="str">
        <f>G1538*F1538 + F1539*G1539 + F1540*G1540 + F1541*G1541 + F1543*G1543</f>
        <v>#VALUE!</v>
      </c>
      <c r="H1544" s="35" t="s">
        <v>25</v>
      </c>
      <c r="I1544" s="36">
        <f>I1538*H1538 + H1539*I1539 + H1540*I1540 + H1541*I1541 + H1543*I1543</f>
        <v>0</v>
      </c>
      <c r="J1544" s="35" t="s">
        <v>25</v>
      </c>
      <c r="K1544" s="36">
        <f>K1538*J1538 + J1539*K1539 + J1540*K1540 + J1541*K1541 + J1543*K1543</f>
        <v>0</v>
      </c>
      <c r="L1544" s="35" t="s">
        <v>25</v>
      </c>
      <c r="M1544" s="36">
        <f>M1538*L1538 + L1539*M1539 + L1540*M1540 + L1541*M1541 + L1543*M1543</f>
        <v>0</v>
      </c>
      <c r="N1544" s="35" t="s">
        <v>25</v>
      </c>
      <c r="O1544" s="36">
        <f>O1538*N1538 + N1539*O1539 + N1540*O1540 + N1541*O1541 + N1543*O1543</f>
        <v>0</v>
      </c>
    </row>
    <row r="1545" ht="14.25" customHeight="1">
      <c r="A1545" s="28" t="s">
        <v>116</v>
      </c>
      <c r="B1545" s="39" t="s">
        <v>26</v>
      </c>
      <c r="C1545" s="40" t="str">
        <f>(B1539*C1539 + B1540*C1540 + B1541*C1541 + B1542*C1542 + B1543*C1543)/SUM(C1539:C1543)</f>
        <v>#DIV/0!</v>
      </c>
      <c r="D1545" s="39" t="s">
        <v>26</v>
      </c>
      <c r="E1545" s="40">
        <f>(D1539*E1539 + D1540*E1540 + D1541*E1541 + D1542*E1542 + D1543*E1543)/SUM(E1539:E1543)</f>
        <v>57.5</v>
      </c>
      <c r="F1545" s="39" t="s">
        <v>26</v>
      </c>
      <c r="G1545" s="40" t="str">
        <f>(F1539*G1539 + F1540*G1540 + F1541*G1541 + F1542*G1542 + F1543*G1543)/SUM(G1539:G1543)</f>
        <v>#VALUE!</v>
      </c>
      <c r="H1545" s="39" t="s">
        <v>26</v>
      </c>
      <c r="I1545" s="40" t="str">
        <f>(H1538*I1538 + H1539*I1539 + H1540*I1540 + H1541*I1541 + H1543*I1543)/SUM(I1538:I1543)</f>
        <v>#DIV/0!</v>
      </c>
      <c r="J1545" s="39" t="s">
        <v>26</v>
      </c>
      <c r="K1545" s="40" t="str">
        <f>(J1539*K1539 + J1540*K1540 + J1541*K1541 + J1542*K1542 + J1543*K1543)/SUM(K1539:K1543)</f>
        <v>#DIV/0!</v>
      </c>
      <c r="L1545" s="39" t="s">
        <v>26</v>
      </c>
      <c r="M1545" s="40" t="str">
        <f>(L1539*M1539 + L1540*M1540 + L1541*M1541 + L1542*M1542 + L1543*M1543)/SUM(M1539:M1543)</f>
        <v>#DIV/0!</v>
      </c>
      <c r="N1545" s="39" t="s">
        <v>26</v>
      </c>
      <c r="O1545" s="40" t="str">
        <f>(N1539*O1539 + N1540*O1540 + N1541*O1541 + N1542*O1542 + N1543*O1543)/SUM(O1539:O1543)</f>
        <v>#DIV/0!</v>
      </c>
    </row>
    <row r="1546" ht="14.25" customHeight="1">
      <c r="A1546" s="28" t="s">
        <v>117</v>
      </c>
      <c r="B1546" s="49" t="s">
        <v>376</v>
      </c>
      <c r="C1546" s="50"/>
      <c r="D1546" s="70" t="s">
        <v>302</v>
      </c>
      <c r="E1546" s="17"/>
      <c r="F1546" s="20"/>
      <c r="G1546" s="17"/>
      <c r="H1546" s="45" t="s">
        <v>33</v>
      </c>
      <c r="I1546" s="17"/>
      <c r="J1546" s="20"/>
      <c r="K1546" s="17"/>
      <c r="L1546" s="49"/>
      <c r="M1546" s="50" t="s">
        <v>49</v>
      </c>
      <c r="N1546" s="49"/>
      <c r="O1546" s="50" t="s">
        <v>49</v>
      </c>
    </row>
    <row r="1547" ht="14.25" customHeight="1">
      <c r="A1547" s="28" t="s">
        <v>120</v>
      </c>
      <c r="B1547" s="46" t="s">
        <v>342</v>
      </c>
      <c r="C1547" s="54" t="s">
        <v>343</v>
      </c>
      <c r="D1547" s="28"/>
      <c r="E1547" s="54">
        <v>5.0</v>
      </c>
      <c r="F1547" s="46"/>
      <c r="G1547" s="48"/>
      <c r="H1547" s="1"/>
      <c r="I1547" s="54"/>
      <c r="J1547" s="46"/>
      <c r="K1547" s="48"/>
      <c r="L1547" s="21"/>
      <c r="M1547" s="24"/>
      <c r="N1547" s="21"/>
      <c r="O1547" s="24"/>
    </row>
    <row r="1548" ht="14.25" customHeight="1">
      <c r="A1548" s="28"/>
      <c r="B1548" s="46"/>
      <c r="C1548" s="54" t="s">
        <v>344</v>
      </c>
      <c r="D1548" s="27"/>
      <c r="E1548" s="54">
        <v>5.0</v>
      </c>
      <c r="F1548" s="46"/>
      <c r="G1548" s="48"/>
      <c r="H1548" s="1"/>
      <c r="I1548" s="54"/>
      <c r="J1548" s="46"/>
      <c r="K1548" s="48"/>
      <c r="L1548" s="21"/>
      <c r="M1548" s="26"/>
      <c r="N1548" s="21"/>
      <c r="O1548" s="26"/>
    </row>
    <row r="1549" ht="14.25" customHeight="1">
      <c r="A1549" s="28"/>
      <c r="B1549" s="46"/>
      <c r="C1549" s="54" t="s">
        <v>345</v>
      </c>
      <c r="D1549" s="27"/>
      <c r="E1549" s="54">
        <v>5.0</v>
      </c>
      <c r="F1549" s="46"/>
      <c r="G1549" s="48"/>
      <c r="H1549" s="1"/>
      <c r="I1549" s="26"/>
      <c r="J1549" s="46"/>
      <c r="K1549" s="48"/>
      <c r="L1549" s="46"/>
      <c r="M1549" s="24"/>
      <c r="N1549" s="46"/>
      <c r="O1549" s="24"/>
    </row>
    <row r="1550" ht="14.25" customHeight="1">
      <c r="A1550" s="28"/>
      <c r="B1550" s="46" t="s">
        <v>346</v>
      </c>
      <c r="C1550" s="54" t="s">
        <v>347</v>
      </c>
      <c r="D1550" s="46"/>
      <c r="E1550" s="54"/>
      <c r="F1550" s="46"/>
      <c r="G1550" s="54"/>
      <c r="H1550" s="1"/>
      <c r="I1550" s="26"/>
      <c r="J1550" s="28"/>
      <c r="K1550" s="54"/>
      <c r="L1550" s="21"/>
      <c r="M1550" s="24"/>
      <c r="N1550" s="21"/>
      <c r="O1550" s="24"/>
    </row>
    <row r="1551" ht="14.25" customHeight="1">
      <c r="A1551" s="28"/>
      <c r="B1551" s="13"/>
      <c r="C1551" s="34"/>
      <c r="D1551" s="21"/>
      <c r="E1551" s="34"/>
      <c r="F1551" s="13"/>
      <c r="G1551" s="24"/>
      <c r="H1551" s="28"/>
      <c r="I1551" s="34"/>
      <c r="J1551" s="13"/>
      <c r="K1551" s="24"/>
      <c r="L1551" s="31"/>
      <c r="M1551" s="24"/>
      <c r="N1551" s="31"/>
      <c r="O1551" s="24"/>
    </row>
    <row r="1552" ht="14.25" customHeight="1">
      <c r="A1552" s="28"/>
      <c r="B1552" s="35" t="s">
        <v>25</v>
      </c>
      <c r="C1552" s="55" t="str">
        <f>C1547*B1547 + B1548*C1548 + B1549*C1549 + B1550*C1550 + B1551*C1551</f>
        <v>#VALUE!</v>
      </c>
      <c r="D1552" s="35" t="s">
        <v>25</v>
      </c>
      <c r="E1552" s="55">
        <f>E1547*D1547 + D1548*E1548 + D1549*E1549 + D1550*E1550 + D1551*E1551</f>
        <v>0</v>
      </c>
      <c r="F1552" s="35" t="s">
        <v>25</v>
      </c>
      <c r="G1552" s="55">
        <f>G1547*F1547 + F1548*G1548 + F1549*G1549 + F1550*G1550 + F1551*G1551</f>
        <v>0</v>
      </c>
      <c r="H1552" s="35" t="s">
        <v>25</v>
      </c>
      <c r="I1552" s="56">
        <f>I1547*H1547 + H1548*I1548 + H1549*I1549 + H1550*I1550 + H1551*I1551</f>
        <v>0</v>
      </c>
      <c r="J1552" s="35" t="s">
        <v>25</v>
      </c>
      <c r="K1552" s="36">
        <f>K1547*J1547 + J1548*K1548 + J1549*K1549 + J1550*K1550 + J1551*K1551</f>
        <v>0</v>
      </c>
      <c r="L1552" s="57" t="s">
        <v>25</v>
      </c>
      <c r="M1552" s="58">
        <f>M1547*L1547 + L1548*M1548 + L1549*M1549 + L1550*M1550 + L1551*M1551</f>
        <v>0</v>
      </c>
      <c r="N1552" s="57" t="s">
        <v>25</v>
      </c>
      <c r="O1552" s="58">
        <f>O1547*N1547 + N1548*O1548 + N1549*O1549 + N1550*O1550 + N1551*O1551</f>
        <v>0</v>
      </c>
    </row>
    <row r="1553" ht="14.25" customHeight="1">
      <c r="A1553" s="28"/>
      <c r="B1553" s="39" t="s">
        <v>26</v>
      </c>
      <c r="C1553" s="40" t="str">
        <f>(B1547*C1547 + B1548*C1548 + B1549*C1549 + B1550*C1550 + B1551*C1551)/SUM(C1547:C1551)</f>
        <v>#VALUE!</v>
      </c>
      <c r="D1553" s="59" t="s">
        <v>26</v>
      </c>
      <c r="E1553" s="40">
        <f>(D1547*E1547 + D1548*E1548 + D1549*E1549 + D1550*E1550 + D1551*E1551)/SUM(E1547:E1551)</f>
        <v>0</v>
      </c>
      <c r="F1553" s="39" t="s">
        <v>26</v>
      </c>
      <c r="G1553" s="40" t="str">
        <f>(F1547*G1547 + F1548*G1548 + F1549*G1549 + F1550*G1550 + F1551*G1551)/SUM(G1547:G1551)</f>
        <v>#DIV/0!</v>
      </c>
      <c r="H1553" s="59" t="s">
        <v>26</v>
      </c>
      <c r="I1553" s="40" t="str">
        <f>(H1547*I1547 + H1548*I1548 + H1549*I1549 + H1550*I1550 + H1551*I1551)/SUM(I1547:I1551)</f>
        <v>#DIV/0!</v>
      </c>
      <c r="J1553" s="39" t="s">
        <v>26</v>
      </c>
      <c r="K1553" s="40" t="str">
        <f>(J1547*K1547 + J1548*K1548 + J1549*K1549 + J1550*K1550 + J1551*K1551)/SUM(K1547:K1551)</f>
        <v>#DIV/0!</v>
      </c>
      <c r="L1553" s="59" t="s">
        <v>26</v>
      </c>
      <c r="M1553" s="40" t="str">
        <f>(L1547*M1547 + L1548*M1548 + L1549*M1549 + L1550*M1550 + L1551*M1551)/SUM(M1547:M1551)</f>
        <v>#DIV/0!</v>
      </c>
      <c r="N1553" s="59" t="s">
        <v>26</v>
      </c>
      <c r="O1553" s="40" t="str">
        <f>(N1547*O1547 + N1548*O1548 + N1549*O1549 + N1550*O1550 + N1551*O1551)/SUM(O1547:O1551)</f>
        <v>#DIV/0!</v>
      </c>
    </row>
    <row r="1554" ht="14.25" customHeight="1">
      <c r="A1554" s="28"/>
      <c r="B1554" s="28" t="s">
        <v>51</v>
      </c>
      <c r="C1554" s="30" t="s">
        <v>49</v>
      </c>
      <c r="D1554" s="28" t="s">
        <v>50</v>
      </c>
      <c r="E1554" s="30" t="s">
        <v>49</v>
      </c>
      <c r="F1554" s="28" t="s">
        <v>51</v>
      </c>
      <c r="G1554" s="30" t="s">
        <v>49</v>
      </c>
      <c r="H1554" s="28" t="s">
        <v>50</v>
      </c>
      <c r="I1554" s="30" t="s">
        <v>49</v>
      </c>
      <c r="J1554" s="28" t="s">
        <v>50</v>
      </c>
      <c r="K1554" s="30" t="s">
        <v>49</v>
      </c>
      <c r="L1554" s="28" t="s">
        <v>50</v>
      </c>
      <c r="M1554" s="60" t="s">
        <v>49</v>
      </c>
      <c r="N1554" s="28" t="s">
        <v>50</v>
      </c>
      <c r="O1554" s="60" t="s">
        <v>49</v>
      </c>
    </row>
    <row r="1555" ht="14.25" customHeight="1">
      <c r="A1555" s="28"/>
      <c r="B1555" s="27" t="s">
        <v>377</v>
      </c>
      <c r="C1555" s="60"/>
      <c r="D1555" s="27" t="s">
        <v>378</v>
      </c>
      <c r="E1555" s="60"/>
      <c r="F1555" s="27" t="s">
        <v>379</v>
      </c>
      <c r="G1555" s="60"/>
      <c r="H1555" s="27"/>
      <c r="I1555" s="60"/>
      <c r="J1555" s="27"/>
      <c r="K1555" s="60"/>
      <c r="L1555" s="27"/>
      <c r="M1555" s="60"/>
      <c r="N1555" s="27"/>
      <c r="O1555" s="60"/>
    </row>
    <row r="1556" ht="14.25" customHeight="1">
      <c r="A1556" s="28"/>
      <c r="B1556" s="27" t="s">
        <v>380</v>
      </c>
      <c r="C1556" s="60"/>
      <c r="D1556" s="27" t="s">
        <v>378</v>
      </c>
      <c r="E1556" s="60"/>
      <c r="F1556" s="28" t="s">
        <v>379</v>
      </c>
      <c r="G1556" s="60"/>
      <c r="H1556" s="27"/>
      <c r="I1556" s="60"/>
      <c r="J1556" s="27"/>
      <c r="K1556" s="60"/>
      <c r="L1556" s="27"/>
      <c r="M1556" s="60"/>
      <c r="N1556" s="27"/>
      <c r="O1556" s="60"/>
    </row>
    <row r="1557" ht="14.25" customHeight="1">
      <c r="A1557" s="37"/>
      <c r="B1557" s="28"/>
      <c r="C1557" s="60"/>
      <c r="D1557" s="28"/>
      <c r="E1557" s="60"/>
      <c r="F1557" s="28"/>
      <c r="G1557" s="60"/>
      <c r="H1557" s="30"/>
      <c r="I1557" s="60"/>
      <c r="J1557" s="1"/>
      <c r="K1557" s="60"/>
      <c r="L1557" s="1"/>
      <c r="M1557" s="60"/>
      <c r="N1557" s="30"/>
      <c r="O1557" s="60"/>
    </row>
    <row r="1558" ht="14.25" customHeight="1">
      <c r="A1558" s="37"/>
      <c r="B1558" s="28"/>
      <c r="C1558" s="1"/>
      <c r="D1558" s="28"/>
      <c r="E1558" s="1"/>
      <c r="F1558" s="28"/>
      <c r="G1558" s="63"/>
      <c r="H1558" s="30"/>
      <c r="I1558" s="30"/>
      <c r="J1558" s="28"/>
      <c r="K1558" s="60"/>
      <c r="L1558" s="30"/>
      <c r="M1558" s="60"/>
      <c r="N1558" s="30"/>
      <c r="O1558" s="60"/>
    </row>
    <row r="1559" ht="14.25" customHeight="1">
      <c r="A1559" s="37"/>
      <c r="B1559" s="28"/>
      <c r="C1559" s="1"/>
      <c r="D1559" s="28"/>
      <c r="E1559" s="1"/>
      <c r="F1559" s="28"/>
      <c r="G1559" s="60"/>
      <c r="H1559" s="28"/>
      <c r="I1559" s="30"/>
      <c r="J1559" s="28"/>
      <c r="K1559" s="60"/>
      <c r="L1559" s="30"/>
      <c r="M1559" s="60"/>
      <c r="N1559" s="30"/>
      <c r="O1559" s="60"/>
    </row>
    <row r="1560" ht="14.25" customHeight="1">
      <c r="A1560" s="37"/>
      <c r="B1560" s="28"/>
      <c r="C1560" s="1"/>
      <c r="D1560" s="28"/>
      <c r="E1560" s="1"/>
      <c r="F1560" s="28"/>
      <c r="G1560" s="60"/>
      <c r="H1560" s="30"/>
      <c r="I1560" s="30"/>
      <c r="J1560" s="37"/>
      <c r="K1560" s="60"/>
      <c r="L1560" s="30"/>
      <c r="M1560" s="60"/>
      <c r="N1560" s="30"/>
      <c r="O1560" s="60"/>
    </row>
    <row r="1561" ht="14.25" customHeight="1">
      <c r="A1561" s="64"/>
      <c r="B1561" s="65"/>
      <c r="C1561" s="66"/>
      <c r="D1561" s="65"/>
      <c r="E1561" s="66"/>
      <c r="F1561" s="64"/>
      <c r="G1561" s="67"/>
      <c r="H1561" s="66"/>
      <c r="I1561" s="66"/>
      <c r="J1561" s="64"/>
      <c r="K1561" s="67"/>
      <c r="L1561" s="66"/>
      <c r="M1561" s="67"/>
      <c r="N1561" s="66"/>
      <c r="O1561" s="67"/>
    </row>
    <row r="1562" ht="14.25" customHeight="1">
      <c r="A1562" s="30"/>
      <c r="B1562" s="1"/>
      <c r="C1562" s="30"/>
      <c r="D1562" s="1"/>
      <c r="E1562" s="30"/>
      <c r="F1562" s="30"/>
      <c r="G1562" s="30"/>
      <c r="H1562" s="30"/>
      <c r="I1562" s="30"/>
      <c r="J1562" s="30"/>
      <c r="K1562" s="30"/>
      <c r="L1562" s="30"/>
      <c r="M1562" s="30"/>
      <c r="N1562" s="30"/>
      <c r="O1562" s="30"/>
    </row>
    <row r="1563" ht="14.25" customHeight="1">
      <c r="A1563" s="2" t="s">
        <v>2</v>
      </c>
      <c r="B1563" s="3" t="s">
        <v>3</v>
      </c>
      <c r="C1563" s="4">
        <f>M1525+2</f>
        <v>45649</v>
      </c>
      <c r="D1563" s="5" t="s">
        <v>4</v>
      </c>
      <c r="E1563" s="6">
        <f>C1563+1</f>
        <v>45650</v>
      </c>
      <c r="F1563" s="3" t="s">
        <v>5</v>
      </c>
      <c r="G1563" s="6">
        <f>E1563+1</f>
        <v>45651</v>
      </c>
      <c r="H1563" s="3" t="s">
        <v>6</v>
      </c>
      <c r="I1563" s="6">
        <f>G1563+1</f>
        <v>45652</v>
      </c>
      <c r="J1563" s="3" t="s">
        <v>7</v>
      </c>
      <c r="K1563" s="6">
        <f>I1563+1</f>
        <v>45653</v>
      </c>
      <c r="L1563" s="7" t="s">
        <v>8</v>
      </c>
      <c r="M1563" s="8">
        <f>K1563+1</f>
        <v>45654</v>
      </c>
      <c r="N1563" s="9" t="s">
        <v>9</v>
      </c>
      <c r="O1563" s="8">
        <f>M1563+1</f>
        <v>45655</v>
      </c>
    </row>
    <row r="1564" ht="14.25" customHeight="1">
      <c r="A1564" s="10">
        <f>A1526+1</f>
        <v>43</v>
      </c>
      <c r="B1564" s="11" t="s">
        <v>10</v>
      </c>
      <c r="C1564" s="12" t="s">
        <v>11</v>
      </c>
      <c r="D1564" s="11" t="s">
        <v>10</v>
      </c>
      <c r="E1564" s="12" t="s">
        <v>11</v>
      </c>
      <c r="F1564" s="11" t="s">
        <v>10</v>
      </c>
      <c r="G1564" s="12" t="s">
        <v>11</v>
      </c>
      <c r="H1564" s="11" t="s">
        <v>10</v>
      </c>
      <c r="I1564" s="12" t="s">
        <v>11</v>
      </c>
      <c r="J1564" s="11" t="s">
        <v>10</v>
      </c>
      <c r="K1564" s="12" t="s">
        <v>11</v>
      </c>
      <c r="L1564" s="11" t="s">
        <v>10</v>
      </c>
      <c r="M1564" s="12" t="s">
        <v>11</v>
      </c>
      <c r="N1564" s="11" t="s">
        <v>10</v>
      </c>
      <c r="O1564" s="12" t="s">
        <v>11</v>
      </c>
    </row>
    <row r="1565" ht="14.25" customHeight="1">
      <c r="A1565" s="13"/>
      <c r="B1565" s="14"/>
      <c r="C1565" s="15"/>
      <c r="D1565" s="14"/>
      <c r="E1565" s="15"/>
      <c r="F1565" s="14"/>
      <c r="G1565" s="15"/>
      <c r="H1565" s="14"/>
      <c r="I1565" s="15"/>
      <c r="J1565" s="14"/>
      <c r="K1565" s="15"/>
      <c r="L1565" s="14"/>
      <c r="M1565" s="15"/>
      <c r="N1565" s="14" t="s">
        <v>381</v>
      </c>
      <c r="O1565" s="15"/>
    </row>
    <row r="1566" ht="14.25" customHeight="1">
      <c r="A1566" s="13" t="s">
        <v>12</v>
      </c>
      <c r="B1566" s="20" t="s">
        <v>142</v>
      </c>
      <c r="C1566" s="17"/>
      <c r="D1566" s="18" t="s">
        <v>14</v>
      </c>
      <c r="E1566" s="17"/>
      <c r="F1566" s="20" t="s">
        <v>143</v>
      </c>
      <c r="G1566" s="17"/>
      <c r="H1566" s="18" t="s">
        <v>14</v>
      </c>
      <c r="I1566" s="17"/>
      <c r="J1566" s="20" t="s">
        <v>142</v>
      </c>
      <c r="K1566" s="17"/>
      <c r="L1566" s="18" t="s">
        <v>14</v>
      </c>
      <c r="M1566" s="17"/>
      <c r="N1566" s="20"/>
      <c r="O1566" s="17"/>
    </row>
    <row r="1567" ht="14.25" customHeight="1">
      <c r="A1567" s="13"/>
      <c r="B1567" s="46">
        <v>110.0</v>
      </c>
      <c r="C1567" s="48">
        <v>5.0</v>
      </c>
      <c r="D1567" s="1" t="s">
        <v>129</v>
      </c>
      <c r="E1567" s="24" t="s">
        <v>77</v>
      </c>
      <c r="F1567" s="46">
        <v>70.0</v>
      </c>
      <c r="G1567" s="48">
        <v>5.0</v>
      </c>
      <c r="H1567" s="1" t="s">
        <v>129</v>
      </c>
      <c r="I1567" s="24" t="s">
        <v>77</v>
      </c>
      <c r="J1567" s="46">
        <v>110.0</v>
      </c>
      <c r="K1567" s="48">
        <v>5.0</v>
      </c>
      <c r="L1567" s="1" t="s">
        <v>129</v>
      </c>
      <c r="M1567" s="24" t="s">
        <v>77</v>
      </c>
      <c r="N1567" s="27"/>
      <c r="O1567" s="24"/>
    </row>
    <row r="1568" ht="14.25" customHeight="1">
      <c r="A1568" s="28" t="s">
        <v>20</v>
      </c>
      <c r="B1568" s="46">
        <v>120.0</v>
      </c>
      <c r="C1568" s="48">
        <v>5.0</v>
      </c>
      <c r="D1568" s="23" t="s">
        <v>80</v>
      </c>
      <c r="E1568" s="26" t="s">
        <v>81</v>
      </c>
      <c r="F1568" s="46">
        <v>80.0</v>
      </c>
      <c r="G1568" s="48">
        <v>5.0</v>
      </c>
      <c r="H1568" s="23" t="s">
        <v>80</v>
      </c>
      <c r="I1568" s="26" t="s">
        <v>81</v>
      </c>
      <c r="J1568" s="46">
        <v>120.0</v>
      </c>
      <c r="K1568" s="48">
        <v>5.0</v>
      </c>
      <c r="L1568" s="23" t="s">
        <v>80</v>
      </c>
      <c r="M1568" s="26" t="s">
        <v>81</v>
      </c>
      <c r="N1568" s="28"/>
      <c r="O1568" s="24"/>
    </row>
    <row r="1569" ht="14.25" customHeight="1">
      <c r="A1569" s="29" t="s">
        <v>22</v>
      </c>
      <c r="B1569" s="46">
        <v>130.0</v>
      </c>
      <c r="C1569" s="48">
        <v>5.0</v>
      </c>
      <c r="D1569" s="1" t="s">
        <v>132</v>
      </c>
      <c r="E1569" s="26" t="s">
        <v>84</v>
      </c>
      <c r="F1569" s="46">
        <v>85.0</v>
      </c>
      <c r="G1569" s="48">
        <v>5.0</v>
      </c>
      <c r="H1569" s="1" t="s">
        <v>132</v>
      </c>
      <c r="I1569" s="26" t="s">
        <v>84</v>
      </c>
      <c r="J1569" s="46">
        <v>130.0</v>
      </c>
      <c r="K1569" s="48">
        <v>5.0</v>
      </c>
      <c r="L1569" s="1" t="s">
        <v>132</v>
      </c>
      <c r="M1569" s="26" t="s">
        <v>84</v>
      </c>
      <c r="N1569" s="23"/>
      <c r="O1569" s="24"/>
    </row>
    <row r="1570" ht="14.25" customHeight="1">
      <c r="A1570" s="28" t="s">
        <v>23</v>
      </c>
      <c r="B1570" s="28">
        <v>135.0</v>
      </c>
      <c r="C1570" s="54">
        <v>5.0</v>
      </c>
      <c r="D1570" s="1" t="s">
        <v>149</v>
      </c>
      <c r="E1570" s="26"/>
      <c r="F1570" s="28">
        <v>90.0</v>
      </c>
      <c r="G1570" s="54">
        <v>5.0</v>
      </c>
      <c r="H1570" s="1" t="s">
        <v>382</v>
      </c>
      <c r="I1570" s="26"/>
      <c r="J1570" s="28">
        <v>135.0</v>
      </c>
      <c r="K1570" s="54">
        <v>5.0</v>
      </c>
      <c r="L1570" s="28"/>
      <c r="M1570" s="26"/>
      <c r="N1570" s="32"/>
      <c r="O1570" s="26"/>
    </row>
    <row r="1571" ht="14.25" customHeight="1">
      <c r="A1571" s="13"/>
      <c r="B1571" s="33"/>
      <c r="C1571" s="26"/>
      <c r="D1571" s="33" t="s">
        <v>152</v>
      </c>
      <c r="E1571" s="26"/>
      <c r="F1571" s="33"/>
      <c r="G1571" s="26"/>
      <c r="H1571" s="33" t="s">
        <v>152</v>
      </c>
      <c r="I1571" s="26"/>
      <c r="J1571" s="33"/>
      <c r="K1571" s="26"/>
      <c r="L1571" s="13"/>
      <c r="M1571" s="24"/>
      <c r="N1571" s="13"/>
      <c r="O1571" s="24"/>
    </row>
    <row r="1572" ht="14.25" customHeight="1">
      <c r="A1572" s="28" t="s">
        <v>24</v>
      </c>
      <c r="B1572" s="35" t="s">
        <v>25</v>
      </c>
      <c r="C1572" s="36">
        <f>C1567*B1567 + B1568*C1568 + B1569*C1569 + B1570*C1570 + B1571*C1571</f>
        <v>2475</v>
      </c>
      <c r="D1572" s="57" t="s">
        <v>25</v>
      </c>
      <c r="E1572" s="55" t="str">
        <f>E1567*D1567 + D1568*#REF! + E1568*E1569 + D1570*E1570 + D1571*E1571</f>
        <v>#VALUE!</v>
      </c>
      <c r="F1572" s="35" t="s">
        <v>25</v>
      </c>
      <c r="G1572" s="36">
        <f>G1567*F1567 + F1568*G1568 + F1569*G1569 + F1570*G1570 + F1571*G1571</f>
        <v>1625</v>
      </c>
      <c r="H1572" s="35" t="s">
        <v>25</v>
      </c>
      <c r="I1572" s="36" t="str">
        <f>I1567*H1567 + H1568*I1568 + H1569*I1569 + H1570*I1570 + H1571*I1571</f>
        <v>#VALUE!</v>
      </c>
      <c r="J1572" s="35" t="s">
        <v>25</v>
      </c>
      <c r="K1572" s="36">
        <f>K1567*J1567 + J1568*K1568 + J1569*K1569 + J1570*K1570 + J1571*K1571</f>
        <v>2475</v>
      </c>
      <c r="L1572" s="35" t="s">
        <v>25</v>
      </c>
      <c r="M1572" s="36" t="str">
        <f>M1567*L1567 + L1568*M1568 + L1569*M1569 + L1570*M1570 + L1571*M1571</f>
        <v>#VALUE!</v>
      </c>
      <c r="N1572" s="35" t="s">
        <v>25</v>
      </c>
      <c r="O1572" s="36">
        <f>O1567*N1567 + N1568*O1568 + N1569*O1569 + N1570*O1570 + N1571*O1571</f>
        <v>0</v>
      </c>
    </row>
    <row r="1573" ht="14.25" customHeight="1">
      <c r="A1573" s="37"/>
      <c r="B1573" s="13" t="s">
        <v>26</v>
      </c>
      <c r="C1573" s="40">
        <f>(B1567*C1567 + B1568*C1568 + B1569*C1569 + B1570*C1570 + B1571*C1571)/SUM(C1567:C1571)</f>
        <v>123.75</v>
      </c>
      <c r="D1573" s="31" t="s">
        <v>26</v>
      </c>
      <c r="E1573" s="74" t="str">
        <f>(D1567*E1567 + D1568*#REF! + E1568*E1569 + D1570*E1570 + D1571*E1571)/SUM(E1567:E1571)</f>
        <v>#VALUE!</v>
      </c>
      <c r="F1573" s="13" t="s">
        <v>26</v>
      </c>
      <c r="G1573" s="40">
        <f>(F1567*G1567 + F1568*G1568 + F1569*G1569 + F1570*G1570 + F1571*G1571)/SUM(G1567:G1571)</f>
        <v>81.25</v>
      </c>
      <c r="H1573" s="13" t="s">
        <v>26</v>
      </c>
      <c r="I1573" s="40" t="str">
        <f>(H1567*I1567 + H1568*I1568 + H1569*I1569 + H1570*I1570 + H1571*I1571)/SUM(I1567:I1571)</f>
        <v>#VALUE!</v>
      </c>
      <c r="J1573" s="13" t="s">
        <v>26</v>
      </c>
      <c r="K1573" s="40">
        <f>(J1567*K1567 + J1568*K1568 + J1569*K1569 + J1570*K1570 + J1571*K1571)/SUM(K1567:K1571)</f>
        <v>123.75</v>
      </c>
      <c r="L1573" s="13" t="s">
        <v>26</v>
      </c>
      <c r="M1573" s="40" t="str">
        <f>(L1567*M1567 + L1568*M1568 + L1569*M1569 + L1570*M1570 + L1571*M1571)/SUM(M1567:M1571)</f>
        <v>#VALUE!</v>
      </c>
      <c r="N1573" s="13" t="s">
        <v>26</v>
      </c>
      <c r="O1573" s="40" t="str">
        <f>(N1567*O1567 + N1568*O1568 + N1569*O1569 + N1570*O1570 + N1571*O1571)/SUM(O1567:O1571)</f>
        <v>#DIV/0!</v>
      </c>
    </row>
    <row r="1574" ht="14.25" customHeight="1">
      <c r="A1574" s="28" t="s">
        <v>27</v>
      </c>
      <c r="B1574" s="11" t="s">
        <v>10</v>
      </c>
      <c r="C1574" s="12" t="s">
        <v>11</v>
      </c>
      <c r="D1574" s="11" t="s">
        <v>10</v>
      </c>
      <c r="E1574" s="12" t="s">
        <v>11</v>
      </c>
      <c r="F1574" s="11" t="s">
        <v>10</v>
      </c>
      <c r="G1574" s="12" t="s">
        <v>11</v>
      </c>
      <c r="H1574" s="11" t="s">
        <v>10</v>
      </c>
      <c r="I1574" s="12" t="s">
        <v>11</v>
      </c>
      <c r="J1574" s="11" t="s">
        <v>10</v>
      </c>
      <c r="K1574" s="12" t="s">
        <v>11</v>
      </c>
      <c r="L1574" s="11" t="s">
        <v>10</v>
      </c>
      <c r="M1574" s="12" t="s">
        <v>11</v>
      </c>
      <c r="N1574" s="11" t="s">
        <v>10</v>
      </c>
      <c r="O1574" s="12" t="s">
        <v>11</v>
      </c>
    </row>
    <row r="1575" ht="14.25" customHeight="1">
      <c r="A1575" s="41" t="s">
        <v>28</v>
      </c>
      <c r="B1575" s="20" t="s">
        <v>383</v>
      </c>
      <c r="C1575" s="17"/>
      <c r="D1575" s="45" t="s">
        <v>91</v>
      </c>
      <c r="E1575" s="76" t="s">
        <v>49</v>
      </c>
      <c r="F1575" s="20" t="s">
        <v>384</v>
      </c>
      <c r="G1575" s="17"/>
      <c r="H1575" s="45" t="s">
        <v>91</v>
      </c>
      <c r="I1575" s="17"/>
      <c r="J1575" s="20" t="s">
        <v>383</v>
      </c>
      <c r="K1575" s="17"/>
      <c r="L1575" s="20" t="s">
        <v>385</v>
      </c>
      <c r="M1575" s="17"/>
      <c r="N1575" s="42"/>
      <c r="O1575" s="44"/>
    </row>
    <row r="1576" ht="14.25" customHeight="1">
      <c r="A1576" s="28"/>
      <c r="B1576" s="46">
        <v>140.0</v>
      </c>
      <c r="C1576" s="48">
        <v>5.0</v>
      </c>
      <c r="D1576" s="1">
        <v>30.0</v>
      </c>
      <c r="E1576" s="54"/>
      <c r="F1576" s="46">
        <v>120.0</v>
      </c>
      <c r="G1576" s="48">
        <v>5.0</v>
      </c>
      <c r="H1576" s="1">
        <v>30.0</v>
      </c>
      <c r="I1576" s="54"/>
      <c r="J1576" s="46">
        <v>140.0</v>
      </c>
      <c r="K1576" s="48">
        <v>5.0</v>
      </c>
      <c r="L1576" s="46">
        <v>30.0</v>
      </c>
      <c r="M1576" s="48" t="s">
        <v>386</v>
      </c>
      <c r="N1576" s="46"/>
      <c r="O1576" s="26"/>
    </row>
    <row r="1577" ht="14.25" customHeight="1">
      <c r="A1577" s="28" t="s">
        <v>37</v>
      </c>
      <c r="B1577" s="46">
        <v>150.0</v>
      </c>
      <c r="C1577" s="48">
        <v>5.0</v>
      </c>
      <c r="D1577" s="1">
        <v>80.0</v>
      </c>
      <c r="E1577" s="54"/>
      <c r="F1577" s="46">
        <v>130.0</v>
      </c>
      <c r="G1577" s="48">
        <v>5.0</v>
      </c>
      <c r="H1577" s="1">
        <v>60.0</v>
      </c>
      <c r="I1577" s="54"/>
      <c r="J1577" s="46">
        <v>150.0</v>
      </c>
      <c r="K1577" s="48">
        <v>5.0</v>
      </c>
      <c r="L1577" s="46">
        <v>30.0</v>
      </c>
      <c r="M1577" s="48"/>
      <c r="N1577" s="46"/>
      <c r="O1577" s="26"/>
    </row>
    <row r="1578" ht="14.25" customHeight="1">
      <c r="A1578" s="28" t="s">
        <v>39</v>
      </c>
      <c r="B1578" s="46">
        <v>160.0</v>
      </c>
      <c r="C1578" s="48">
        <v>5.0</v>
      </c>
      <c r="D1578" s="1">
        <v>60.0</v>
      </c>
      <c r="E1578" s="54"/>
      <c r="F1578" s="46">
        <v>140.0</v>
      </c>
      <c r="G1578" s="48">
        <v>5.0</v>
      </c>
      <c r="H1578" s="1">
        <v>30.0</v>
      </c>
      <c r="I1578" s="26"/>
      <c r="J1578" s="46">
        <v>160.0</v>
      </c>
      <c r="K1578" s="48">
        <v>5.0</v>
      </c>
      <c r="L1578" s="46">
        <v>40.0</v>
      </c>
      <c r="M1578" s="48" t="s">
        <v>387</v>
      </c>
      <c r="N1578" s="46"/>
      <c r="O1578" s="26"/>
    </row>
    <row r="1579" ht="14.25" customHeight="1">
      <c r="A1579" s="28"/>
      <c r="B1579" s="46">
        <v>165.0</v>
      </c>
      <c r="C1579" s="54">
        <v>5.0</v>
      </c>
      <c r="D1579" s="1">
        <v>30.0</v>
      </c>
      <c r="E1579" s="54"/>
      <c r="F1579" s="46">
        <v>145.0</v>
      </c>
      <c r="G1579" s="48">
        <v>5.0</v>
      </c>
      <c r="H1579" s="1">
        <v>60.0</v>
      </c>
      <c r="I1579" s="26"/>
      <c r="J1579" s="46">
        <v>165.0</v>
      </c>
      <c r="K1579" s="54">
        <v>5.0</v>
      </c>
      <c r="L1579" s="46">
        <v>30.0</v>
      </c>
      <c r="M1579" s="26"/>
      <c r="N1579" s="46"/>
      <c r="O1579" s="26"/>
    </row>
    <row r="1580" ht="14.25" customHeight="1">
      <c r="A1580" s="28" t="s">
        <v>41</v>
      </c>
      <c r="B1580" s="32"/>
      <c r="C1580" s="24"/>
      <c r="D1580" s="1" t="s">
        <v>101</v>
      </c>
      <c r="E1580" s="24"/>
      <c r="F1580" s="28"/>
      <c r="G1580" s="71"/>
      <c r="H1580" s="1" t="s">
        <v>101</v>
      </c>
      <c r="I1580" s="24"/>
      <c r="J1580" s="32"/>
      <c r="K1580" s="24"/>
      <c r="L1580" s="32"/>
      <c r="M1580" s="24"/>
      <c r="N1580" s="32"/>
      <c r="O1580" s="24"/>
    </row>
    <row r="1581" ht="14.25" customHeight="1">
      <c r="A1581" s="28" t="s">
        <v>43</v>
      </c>
      <c r="B1581" s="32"/>
      <c r="C1581" s="26"/>
      <c r="D1581" s="28" t="s">
        <v>103</v>
      </c>
      <c r="E1581" s="34"/>
      <c r="F1581" s="32"/>
      <c r="G1581" s="26"/>
      <c r="H1581" s="28" t="s">
        <v>103</v>
      </c>
      <c r="I1581" s="24"/>
      <c r="J1581" s="32"/>
      <c r="K1581" s="26"/>
      <c r="L1581" s="32"/>
      <c r="M1581" s="26"/>
      <c r="N1581" s="32"/>
      <c r="O1581" s="26"/>
    </row>
    <row r="1582" ht="14.25" customHeight="1">
      <c r="A1582" s="28"/>
      <c r="B1582" s="35" t="s">
        <v>25</v>
      </c>
      <c r="C1582" s="36">
        <f>C1576*B1576 + B1577*C1577 + B1578*C1578 + B1579*C1579 + B1581*C1581</f>
        <v>3075</v>
      </c>
      <c r="D1582" s="35" t="s">
        <v>25</v>
      </c>
      <c r="E1582" s="55" t="str">
        <f>E1576*D1576 + D1577*E1577 + D1578*E1578 + D1579*E1579 + D1581*E1581</f>
        <v>#VALUE!</v>
      </c>
      <c r="F1582" s="35" t="s">
        <v>25</v>
      </c>
      <c r="G1582" s="36">
        <f>G1576*F1576 + F1577*G1577 + F1578*G1578 + F1579*G1579 + F1581*G1581</f>
        <v>2675</v>
      </c>
      <c r="H1582" s="35" t="s">
        <v>25</v>
      </c>
      <c r="I1582" s="36" t="str">
        <f>I1576*H1576 + H1577*I1577 + H1578*I1578 + H1579*I1579 + H1581*I1581</f>
        <v>#VALUE!</v>
      </c>
      <c r="J1582" s="35" t="s">
        <v>25</v>
      </c>
      <c r="K1582" s="36">
        <f>K1576*J1576 + J1577*K1577 + J1578*K1578 + J1579*K1579 + J1581*K1581</f>
        <v>3075</v>
      </c>
      <c r="L1582" s="35" t="s">
        <v>25</v>
      </c>
      <c r="M1582" s="36" t="str">
        <f>M1576*L1576 + L1577*M1577 + L1578*M1578 + L1579*M1579 + L1581*M1581</f>
        <v>#VALUE!</v>
      </c>
      <c r="N1582" s="35" t="s">
        <v>25</v>
      </c>
      <c r="O1582" s="36">
        <f>O1576*N1576 + N1577*O1577 + N1578*O1578 + N1579*O1579 + N1581*O1581</f>
        <v>0</v>
      </c>
    </row>
    <row r="1583" ht="14.25" customHeight="1">
      <c r="A1583" s="28" t="s">
        <v>116</v>
      </c>
      <c r="B1583" s="39" t="s">
        <v>26</v>
      </c>
      <c r="C1583" s="40">
        <f>(B1577*C1577 + B1578*C1578 + B1579*C1579 + B1580*C1580 + B1581*C1581)/SUM(C1577:C1581)</f>
        <v>158.3333333</v>
      </c>
      <c r="D1583" s="39" t="s">
        <v>26</v>
      </c>
      <c r="E1583" s="77" t="str">
        <f>(D1576*E1576 + D1577*E1577 + D1578*E1578 + D1579*E1579 + D1581*E1581)/SUM(E1576:E1581)</f>
        <v>#VALUE!</v>
      </c>
      <c r="F1583" s="39" t="s">
        <v>26</v>
      </c>
      <c r="G1583" s="40">
        <f>(F1577*G1577 + F1578*G1578 + F1579*G1579 + F1580*G1580 + F1581*G1581)/SUM(G1577:G1581)</f>
        <v>138.3333333</v>
      </c>
      <c r="H1583" s="39" t="s">
        <v>26</v>
      </c>
      <c r="I1583" s="40" t="str">
        <f>(H1576*I1576 + H1577*I1577 + H1578*I1578 + H1579*I1579 + H1581*I1581)/SUM(I1576:I1581)</f>
        <v>#VALUE!</v>
      </c>
      <c r="J1583" s="39" t="s">
        <v>26</v>
      </c>
      <c r="K1583" s="40">
        <f>(J1577*K1577 + J1578*K1578 + J1579*K1579 + J1580*K1580 + J1581*K1581)/SUM(K1577:K1581)</f>
        <v>158.3333333</v>
      </c>
      <c r="L1583" s="39" t="s">
        <v>26</v>
      </c>
      <c r="M1583" s="40" t="str">
        <f>(L1577*M1577 + L1578*M1578 + L1579*M1579 + L1580*M1580 + L1581*M1581)/SUM(M1577:M1581)</f>
        <v>#VALUE!</v>
      </c>
      <c r="N1583" s="39" t="s">
        <v>26</v>
      </c>
      <c r="O1583" s="40" t="str">
        <f>(N1577*O1577 + N1578*O1578 + N1579*O1579 + N1580*O1580 + N1581*O1581)/SUM(O1577:O1581)</f>
        <v>#DIV/0!</v>
      </c>
    </row>
    <row r="1584" ht="14.25" customHeight="1">
      <c r="A1584" s="28" t="s">
        <v>117</v>
      </c>
      <c r="B1584" s="49" t="s">
        <v>388</v>
      </c>
      <c r="C1584" s="50"/>
      <c r="D1584" s="45" t="s">
        <v>91</v>
      </c>
      <c r="E1584" s="17"/>
      <c r="F1584" s="20" t="s">
        <v>245</v>
      </c>
      <c r="G1584" s="17"/>
      <c r="H1584" s="45" t="s">
        <v>33</v>
      </c>
      <c r="I1584" s="17"/>
      <c r="J1584" s="49" t="s">
        <v>388</v>
      </c>
      <c r="K1584" s="50"/>
      <c r="L1584" s="49"/>
      <c r="M1584" s="50" t="s">
        <v>49</v>
      </c>
      <c r="N1584" s="49"/>
      <c r="O1584" s="50" t="s">
        <v>49</v>
      </c>
    </row>
    <row r="1585" ht="14.25" customHeight="1">
      <c r="A1585" s="28" t="s">
        <v>120</v>
      </c>
      <c r="B1585" s="46"/>
      <c r="C1585" s="54">
        <v>3.0</v>
      </c>
      <c r="D1585" s="110">
        <v>80.0</v>
      </c>
      <c r="E1585" s="24"/>
      <c r="F1585" s="46">
        <v>50.0</v>
      </c>
      <c r="G1585" s="48">
        <v>5.0</v>
      </c>
      <c r="H1585" s="1"/>
      <c r="I1585" s="54"/>
      <c r="J1585" s="46"/>
      <c r="K1585" s="54">
        <v>3.0</v>
      </c>
      <c r="L1585" s="46">
        <v>30.0</v>
      </c>
      <c r="M1585" s="48" t="s">
        <v>389</v>
      </c>
      <c r="N1585" s="21"/>
      <c r="O1585" s="24"/>
    </row>
    <row r="1586" ht="14.25" customHeight="1">
      <c r="A1586" s="28"/>
      <c r="B1586" s="46"/>
      <c r="C1586" s="54">
        <v>3.0</v>
      </c>
      <c r="D1586" s="46">
        <v>40.0</v>
      </c>
      <c r="E1586" s="26"/>
      <c r="F1586" s="46">
        <v>55.0</v>
      </c>
      <c r="G1586" s="48">
        <v>5.0</v>
      </c>
      <c r="H1586" s="1"/>
      <c r="I1586" s="54"/>
      <c r="J1586" s="46"/>
      <c r="K1586" s="54">
        <v>3.0</v>
      </c>
      <c r="L1586" s="46">
        <v>30.0</v>
      </c>
      <c r="M1586" s="22"/>
      <c r="N1586" s="21"/>
      <c r="O1586" s="26"/>
    </row>
    <row r="1587" ht="14.25" customHeight="1">
      <c r="A1587" s="28"/>
      <c r="B1587" s="46"/>
      <c r="C1587" s="54">
        <v>3.0</v>
      </c>
      <c r="D1587" s="46">
        <v>60.0</v>
      </c>
      <c r="E1587" s="24"/>
      <c r="F1587" s="46">
        <v>60.0</v>
      </c>
      <c r="G1587" s="48">
        <v>5.0</v>
      </c>
      <c r="H1587" s="1"/>
      <c r="I1587" s="26"/>
      <c r="J1587" s="46"/>
      <c r="K1587" s="54">
        <v>3.0</v>
      </c>
      <c r="L1587" s="46">
        <v>30.0</v>
      </c>
      <c r="M1587" s="48" t="s">
        <v>386</v>
      </c>
      <c r="N1587" s="46"/>
      <c r="O1587" s="24"/>
    </row>
    <row r="1588" ht="14.25" customHeight="1">
      <c r="A1588" s="28"/>
      <c r="B1588" s="46"/>
      <c r="C1588" s="54">
        <v>3.0</v>
      </c>
      <c r="D1588" s="46">
        <v>30.0</v>
      </c>
      <c r="E1588" s="79"/>
      <c r="F1588" s="46"/>
      <c r="G1588" s="54"/>
      <c r="H1588" s="1"/>
      <c r="I1588" s="26"/>
      <c r="J1588" s="46"/>
      <c r="K1588" s="54">
        <v>3.0</v>
      </c>
      <c r="L1588" s="46">
        <v>40.0</v>
      </c>
      <c r="M1588" s="71"/>
      <c r="N1588" s="21"/>
      <c r="O1588" s="24"/>
    </row>
    <row r="1589" ht="14.25" customHeight="1">
      <c r="A1589" s="28"/>
      <c r="B1589" s="13"/>
      <c r="C1589" s="34"/>
      <c r="D1589" s="21"/>
      <c r="E1589" s="34"/>
      <c r="F1589" s="13"/>
      <c r="G1589" s="24"/>
      <c r="H1589" s="28"/>
      <c r="I1589" s="34"/>
      <c r="J1589" s="13"/>
      <c r="K1589" s="24"/>
      <c r="L1589" s="31"/>
      <c r="M1589" s="24"/>
      <c r="N1589" s="31"/>
      <c r="O1589" s="24"/>
    </row>
    <row r="1590" ht="14.25" customHeight="1">
      <c r="A1590" s="28"/>
      <c r="B1590" s="35" t="s">
        <v>25</v>
      </c>
      <c r="C1590" s="55">
        <f>C1585*B1585 + B1586*C1586 + B1587*C1587 + B1588*C1588 + B1589*C1589</f>
        <v>0</v>
      </c>
      <c r="D1590" s="35" t="s">
        <v>25</v>
      </c>
      <c r="E1590" s="55">
        <f>E1585*D1585 + D1586*E1586 + D1587*E1587 + D1588*E1588 + D1589*E1589</f>
        <v>0</v>
      </c>
      <c r="F1590" s="35" t="s">
        <v>25</v>
      </c>
      <c r="G1590" s="55">
        <f>G1585*F1585 + F1586*G1586 + F1587*G1587 + F1588*G1588 + F1589*G1589</f>
        <v>825</v>
      </c>
      <c r="H1590" s="35" t="s">
        <v>25</v>
      </c>
      <c r="I1590" s="56">
        <f>I1585*H1585 + H1586*I1586 + H1587*I1587 + H1588*I1588 + H1589*I1589</f>
        <v>0</v>
      </c>
      <c r="J1590" s="35" t="s">
        <v>25</v>
      </c>
      <c r="K1590" s="36">
        <f>K1585*J1585 + J1586*K1586 + J1587*K1587 + J1588*K1588 + J1589*K1589</f>
        <v>0</v>
      </c>
      <c r="L1590" s="57" t="s">
        <v>25</v>
      </c>
      <c r="M1590" s="58" t="str">
        <f>M1585*L1585 + L1586*M1586 + L1587*M1587 + L1588*M1588 + L1589*M1589</f>
        <v>#VALUE!</v>
      </c>
      <c r="N1590" s="57" t="s">
        <v>25</v>
      </c>
      <c r="O1590" s="58">
        <f>O1585*N1585 + N1586*O1586 + N1587*O1587 + N1588*O1588 + N1589*O1589</f>
        <v>0</v>
      </c>
    </row>
    <row r="1591" ht="14.25" customHeight="1">
      <c r="A1591" s="28"/>
      <c r="B1591" s="39" t="s">
        <v>26</v>
      </c>
      <c r="C1591" s="40">
        <f>(B1585*C1585 + B1586*C1586 + B1587*C1587 + B1588*C1588 + B1589*C1589)/SUM(C1585:C1589)</f>
        <v>0</v>
      </c>
      <c r="D1591" s="59" t="s">
        <v>26</v>
      </c>
      <c r="E1591" s="40" t="str">
        <f>(D1585*E1585 + D1586*E1586 + D1587*E1587 + D1588*E1588 + D1589*E1589)/SUM(E1585:E1589)</f>
        <v>#DIV/0!</v>
      </c>
      <c r="F1591" s="39" t="s">
        <v>26</v>
      </c>
      <c r="G1591" s="40">
        <f>(F1585*G1585 + F1586*G1586 + F1587*G1587 + F1588*G1588 + F1589*G1589)/SUM(G1585:G1589)</f>
        <v>55</v>
      </c>
      <c r="H1591" s="59" t="s">
        <v>26</v>
      </c>
      <c r="I1591" s="40" t="str">
        <f>(H1585*I1585 + H1586*I1586 + H1587*I1587 + H1588*I1588 + H1589*I1589)/SUM(I1585:I1589)</f>
        <v>#DIV/0!</v>
      </c>
      <c r="J1591" s="39" t="s">
        <v>26</v>
      </c>
      <c r="K1591" s="40">
        <f>(J1585*K1585 + J1586*K1586 + J1587*K1587 + J1588*K1588 + J1589*K1589)/SUM(K1585:K1589)</f>
        <v>0</v>
      </c>
      <c r="L1591" s="59" t="s">
        <v>26</v>
      </c>
      <c r="M1591" s="40" t="str">
        <f>(L1585*M1585 + L1586*M1586 + L1587*M1587 + L1588*M1588 + L1589*M1589)/SUM(M1585:M1589)</f>
        <v>#VALUE!</v>
      </c>
      <c r="N1591" s="59" t="s">
        <v>26</v>
      </c>
      <c r="O1591" s="40" t="str">
        <f>(N1585*O1585 + N1586*O1586 + N1587*O1587 + N1588*O1588 + N1589*O1589)/SUM(O1585:O1589)</f>
        <v>#DIV/0!</v>
      </c>
    </row>
    <row r="1592" ht="14.25" customHeight="1">
      <c r="A1592" s="28"/>
      <c r="B1592" s="28" t="s">
        <v>51</v>
      </c>
      <c r="C1592" s="30" t="s">
        <v>49</v>
      </c>
      <c r="D1592" s="28"/>
      <c r="E1592" s="30" t="s">
        <v>49</v>
      </c>
      <c r="F1592" s="28" t="s">
        <v>51</v>
      </c>
      <c r="G1592" s="30" t="s">
        <v>49</v>
      </c>
      <c r="H1592" s="28"/>
      <c r="I1592" s="30" t="s">
        <v>49</v>
      </c>
      <c r="J1592" s="28" t="s">
        <v>51</v>
      </c>
      <c r="K1592" s="30" t="s">
        <v>49</v>
      </c>
      <c r="L1592" s="28"/>
      <c r="M1592" s="60" t="s">
        <v>49</v>
      </c>
      <c r="N1592" s="28"/>
      <c r="O1592" s="60" t="s">
        <v>49</v>
      </c>
    </row>
    <row r="1593" ht="14.25" customHeight="1">
      <c r="A1593" s="28"/>
      <c r="B1593" s="27">
        <v>30.0</v>
      </c>
      <c r="C1593" s="63" t="s">
        <v>390</v>
      </c>
      <c r="D1593" s="27"/>
      <c r="E1593" s="60"/>
      <c r="F1593" s="27">
        <v>30.0</v>
      </c>
      <c r="G1593" s="63" t="s">
        <v>390</v>
      </c>
      <c r="H1593" s="27"/>
      <c r="I1593" s="60"/>
      <c r="J1593" s="27">
        <v>30.0</v>
      </c>
      <c r="K1593" s="63" t="s">
        <v>390</v>
      </c>
      <c r="L1593" s="27"/>
      <c r="M1593" s="60"/>
      <c r="N1593" s="27"/>
      <c r="O1593" s="60"/>
    </row>
    <row r="1594" ht="14.25" customHeight="1">
      <c r="A1594" s="28"/>
      <c r="B1594" s="27">
        <v>40.0</v>
      </c>
      <c r="C1594" s="60"/>
      <c r="D1594" s="27"/>
      <c r="E1594" s="60"/>
      <c r="F1594" s="28">
        <v>60.0</v>
      </c>
      <c r="G1594" s="60"/>
      <c r="H1594" s="27"/>
      <c r="I1594" s="60"/>
      <c r="J1594" s="28">
        <v>60.0</v>
      </c>
      <c r="K1594" s="60"/>
      <c r="L1594" s="27"/>
      <c r="M1594" s="60"/>
      <c r="N1594" s="27"/>
      <c r="O1594" s="60"/>
    </row>
    <row r="1595" ht="14.25" customHeight="1">
      <c r="A1595" s="37"/>
      <c r="B1595" s="28">
        <v>60.0</v>
      </c>
      <c r="C1595" s="60"/>
      <c r="D1595" s="28"/>
      <c r="E1595" s="60"/>
      <c r="F1595" s="28">
        <v>30.0</v>
      </c>
      <c r="G1595" s="60"/>
      <c r="H1595" s="30"/>
      <c r="I1595" s="60"/>
      <c r="J1595" s="28">
        <v>30.0</v>
      </c>
      <c r="K1595" s="60"/>
      <c r="L1595" s="1"/>
      <c r="M1595" s="60"/>
      <c r="N1595" s="30"/>
      <c r="O1595" s="60"/>
    </row>
    <row r="1596" ht="14.25" customHeight="1">
      <c r="A1596" s="37"/>
      <c r="B1596" s="28">
        <v>30.0</v>
      </c>
      <c r="C1596" s="1"/>
      <c r="D1596" s="28"/>
      <c r="E1596" s="1"/>
      <c r="F1596" s="28"/>
      <c r="G1596" s="63"/>
      <c r="H1596" s="30"/>
      <c r="I1596" s="30"/>
      <c r="J1596" s="28"/>
      <c r="K1596" s="60"/>
      <c r="L1596" s="30"/>
      <c r="M1596" s="60"/>
      <c r="N1596" s="30"/>
      <c r="O1596" s="60"/>
    </row>
    <row r="1597" ht="14.25" customHeight="1">
      <c r="A1597" s="37"/>
      <c r="B1597" s="28"/>
      <c r="C1597" s="1"/>
      <c r="D1597" s="28"/>
      <c r="E1597" s="1"/>
      <c r="F1597" s="28"/>
      <c r="G1597" s="60"/>
      <c r="H1597" s="28"/>
      <c r="I1597" s="30"/>
      <c r="J1597" s="28"/>
      <c r="K1597" s="60"/>
      <c r="L1597" s="30"/>
      <c r="M1597" s="60"/>
      <c r="N1597" s="30"/>
      <c r="O1597" s="60"/>
    </row>
    <row r="1598" ht="14.25" customHeight="1">
      <c r="A1598" s="37"/>
      <c r="B1598" s="28"/>
      <c r="C1598" s="1"/>
      <c r="D1598" s="28"/>
      <c r="E1598" s="1"/>
      <c r="F1598" s="28"/>
      <c r="G1598" s="60"/>
      <c r="H1598" s="30"/>
      <c r="I1598" s="30"/>
      <c r="J1598" s="37"/>
      <c r="K1598" s="60"/>
      <c r="L1598" s="30"/>
      <c r="M1598" s="60"/>
      <c r="N1598" s="30"/>
      <c r="O1598" s="60"/>
    </row>
    <row r="1599" ht="14.25" customHeight="1">
      <c r="A1599" s="64"/>
      <c r="B1599" s="65"/>
      <c r="C1599" s="66"/>
      <c r="D1599" s="65"/>
      <c r="E1599" s="66"/>
      <c r="F1599" s="64"/>
      <c r="G1599" s="67"/>
      <c r="H1599" s="66"/>
      <c r="I1599" s="66"/>
      <c r="J1599" s="64"/>
      <c r="K1599" s="67"/>
      <c r="L1599" s="66"/>
      <c r="M1599" s="67"/>
      <c r="N1599" s="66"/>
      <c r="O1599" s="67"/>
    </row>
    <row r="1600" ht="14.25" customHeight="1">
      <c r="A1600" s="30"/>
      <c r="B1600" s="1"/>
      <c r="C1600" s="30"/>
      <c r="D1600" s="1"/>
      <c r="E1600" s="30"/>
      <c r="F1600" s="30"/>
      <c r="G1600" s="30"/>
      <c r="H1600" s="30"/>
      <c r="I1600" s="30"/>
      <c r="J1600" s="30"/>
      <c r="K1600" s="30"/>
      <c r="L1600" s="30"/>
      <c r="M1600" s="30"/>
      <c r="N1600" s="30"/>
      <c r="O1600" s="30"/>
    </row>
    <row r="1601" ht="14.25" customHeight="1">
      <c r="A1601" s="2" t="s">
        <v>2</v>
      </c>
      <c r="B1601" s="3" t="s">
        <v>3</v>
      </c>
      <c r="C1601" s="4">
        <f>M1563+2</f>
        <v>45656</v>
      </c>
      <c r="D1601" s="5" t="s">
        <v>4</v>
      </c>
      <c r="E1601" s="6">
        <f>C1601+1</f>
        <v>45657</v>
      </c>
      <c r="F1601" s="3" t="s">
        <v>5</v>
      </c>
      <c r="G1601" s="6">
        <f>E1601+1</f>
        <v>45658</v>
      </c>
      <c r="H1601" s="3" t="s">
        <v>6</v>
      </c>
      <c r="I1601" s="6">
        <f>G1601+1</f>
        <v>45659</v>
      </c>
      <c r="J1601" s="3" t="s">
        <v>7</v>
      </c>
      <c r="K1601" s="6">
        <f>I1601+1</f>
        <v>45660</v>
      </c>
      <c r="L1601" s="7" t="s">
        <v>8</v>
      </c>
      <c r="M1601" s="8">
        <f>K1601+1</f>
        <v>45661</v>
      </c>
      <c r="N1601" s="9" t="s">
        <v>9</v>
      </c>
      <c r="O1601" s="8">
        <f>M1601+1</f>
        <v>45662</v>
      </c>
    </row>
    <row r="1602" ht="14.25" customHeight="1">
      <c r="A1602" s="10">
        <f>A1564+1</f>
        <v>44</v>
      </c>
      <c r="B1602" s="11" t="s">
        <v>10</v>
      </c>
      <c r="C1602" s="12" t="s">
        <v>11</v>
      </c>
      <c r="D1602" s="11" t="s">
        <v>10</v>
      </c>
      <c r="E1602" s="12" t="s">
        <v>11</v>
      </c>
      <c r="F1602" s="11" t="s">
        <v>10</v>
      </c>
      <c r="G1602" s="12" t="s">
        <v>11</v>
      </c>
      <c r="H1602" s="11" t="s">
        <v>10</v>
      </c>
      <c r="I1602" s="12" t="s">
        <v>11</v>
      </c>
      <c r="J1602" s="11" t="s">
        <v>10</v>
      </c>
      <c r="K1602" s="12" t="s">
        <v>11</v>
      </c>
      <c r="L1602" s="11" t="s">
        <v>10</v>
      </c>
      <c r="M1602" s="12" t="s">
        <v>11</v>
      </c>
      <c r="N1602" s="11" t="s">
        <v>10</v>
      </c>
      <c r="O1602" s="12" t="s">
        <v>11</v>
      </c>
    </row>
    <row r="1603" ht="14.25" customHeight="1">
      <c r="A1603" s="13"/>
      <c r="B1603" s="14"/>
      <c r="C1603" s="15"/>
      <c r="D1603" s="14"/>
      <c r="E1603" s="15"/>
      <c r="F1603" s="14"/>
      <c r="G1603" s="15"/>
      <c r="H1603" s="14"/>
      <c r="I1603" s="15"/>
      <c r="J1603" s="14"/>
      <c r="K1603" s="15"/>
      <c r="L1603" s="14"/>
      <c r="M1603" s="15"/>
      <c r="N1603" s="14" t="s">
        <v>381</v>
      </c>
      <c r="O1603" s="15"/>
    </row>
    <row r="1604" ht="14.25" customHeight="1">
      <c r="A1604" s="13" t="s">
        <v>12</v>
      </c>
      <c r="B1604" s="20" t="s">
        <v>142</v>
      </c>
      <c r="C1604" s="17"/>
      <c r="D1604" s="18" t="s">
        <v>14</v>
      </c>
      <c r="E1604" s="17"/>
      <c r="F1604" s="20" t="s">
        <v>143</v>
      </c>
      <c r="G1604" s="17"/>
      <c r="H1604" s="18" t="s">
        <v>14</v>
      </c>
      <c r="I1604" s="17"/>
      <c r="J1604" s="20" t="s">
        <v>142</v>
      </c>
      <c r="K1604" s="17"/>
      <c r="L1604" s="18" t="s">
        <v>14</v>
      </c>
      <c r="M1604" s="17"/>
      <c r="N1604" s="20"/>
      <c r="O1604" s="17"/>
    </row>
    <row r="1605" ht="14.25" customHeight="1">
      <c r="A1605" s="13"/>
      <c r="B1605" s="46">
        <v>120.0</v>
      </c>
      <c r="C1605" s="48">
        <v>5.0</v>
      </c>
      <c r="D1605" s="1" t="s">
        <v>129</v>
      </c>
      <c r="E1605" s="24" t="s">
        <v>77</v>
      </c>
      <c r="F1605" s="46">
        <v>80.0</v>
      </c>
      <c r="G1605" s="48">
        <v>5.0</v>
      </c>
      <c r="H1605" s="1" t="s">
        <v>129</v>
      </c>
      <c r="I1605" s="24" t="s">
        <v>77</v>
      </c>
      <c r="J1605" s="46">
        <v>125.0</v>
      </c>
      <c r="K1605" s="48">
        <v>5.0</v>
      </c>
      <c r="L1605" s="1" t="s">
        <v>129</v>
      </c>
      <c r="M1605" s="24" t="s">
        <v>77</v>
      </c>
      <c r="N1605" s="27"/>
      <c r="O1605" s="24"/>
    </row>
    <row r="1606" ht="14.25" customHeight="1">
      <c r="A1606" s="28" t="s">
        <v>20</v>
      </c>
      <c r="B1606" s="46">
        <v>125.0</v>
      </c>
      <c r="C1606" s="48">
        <v>5.0</v>
      </c>
      <c r="D1606" s="23" t="s">
        <v>80</v>
      </c>
      <c r="E1606" s="26" t="s">
        <v>81</v>
      </c>
      <c r="F1606" s="46">
        <v>85.0</v>
      </c>
      <c r="G1606" s="48">
        <v>5.0</v>
      </c>
      <c r="H1606" s="23" t="s">
        <v>80</v>
      </c>
      <c r="I1606" s="26" t="s">
        <v>81</v>
      </c>
      <c r="J1606" s="46">
        <v>130.0</v>
      </c>
      <c r="K1606" s="48">
        <v>5.0</v>
      </c>
      <c r="L1606" s="23" t="s">
        <v>80</v>
      </c>
      <c r="M1606" s="26" t="s">
        <v>81</v>
      </c>
      <c r="N1606" s="28"/>
      <c r="O1606" s="24"/>
    </row>
    <row r="1607" ht="14.25" customHeight="1">
      <c r="A1607" s="29" t="s">
        <v>22</v>
      </c>
      <c r="B1607" s="46">
        <v>130.0</v>
      </c>
      <c r="C1607" s="48">
        <v>5.0</v>
      </c>
      <c r="D1607" s="1" t="s">
        <v>132</v>
      </c>
      <c r="E1607" s="26" t="s">
        <v>84</v>
      </c>
      <c r="F1607" s="46">
        <v>90.0</v>
      </c>
      <c r="G1607" s="48">
        <v>5.0</v>
      </c>
      <c r="H1607" s="1" t="s">
        <v>132</v>
      </c>
      <c r="I1607" s="26" t="s">
        <v>84</v>
      </c>
      <c r="J1607" s="46">
        <v>135.0</v>
      </c>
      <c r="K1607" s="48">
        <v>5.0</v>
      </c>
      <c r="L1607" s="1" t="s">
        <v>132</v>
      </c>
      <c r="M1607" s="26" t="s">
        <v>84</v>
      </c>
      <c r="N1607" s="23"/>
      <c r="O1607" s="24"/>
    </row>
    <row r="1608" ht="14.25" customHeight="1">
      <c r="A1608" s="28" t="s">
        <v>23</v>
      </c>
      <c r="B1608" s="28">
        <v>135.0</v>
      </c>
      <c r="C1608" s="54">
        <v>5.0</v>
      </c>
      <c r="D1608" s="1" t="s">
        <v>149</v>
      </c>
      <c r="E1608" s="26"/>
      <c r="F1608" s="28">
        <v>95.0</v>
      </c>
      <c r="G1608" s="54">
        <v>5.0</v>
      </c>
      <c r="H1608" s="1" t="s">
        <v>382</v>
      </c>
      <c r="I1608" s="26"/>
      <c r="J1608" s="28">
        <v>140.0</v>
      </c>
      <c r="K1608" s="54">
        <v>5.0</v>
      </c>
      <c r="L1608" s="28"/>
      <c r="M1608" s="26"/>
      <c r="N1608" s="32"/>
      <c r="O1608" s="26"/>
    </row>
    <row r="1609" ht="14.25" customHeight="1">
      <c r="A1609" s="13"/>
      <c r="B1609" s="33"/>
      <c r="C1609" s="26"/>
      <c r="D1609" s="33" t="s">
        <v>152</v>
      </c>
      <c r="E1609" s="26"/>
      <c r="F1609" s="33"/>
      <c r="G1609" s="26"/>
      <c r="H1609" s="33" t="s">
        <v>152</v>
      </c>
      <c r="I1609" s="26"/>
      <c r="J1609" s="33"/>
      <c r="K1609" s="26"/>
      <c r="L1609" s="13"/>
      <c r="M1609" s="24"/>
      <c r="N1609" s="13"/>
      <c r="O1609" s="24"/>
    </row>
    <row r="1610" ht="14.25" customHeight="1">
      <c r="A1610" s="28" t="s">
        <v>24</v>
      </c>
      <c r="B1610" s="35" t="s">
        <v>25</v>
      </c>
      <c r="C1610" s="36">
        <f>C1605*B1605 + B1606*C1606 + B1607*C1607 + B1608*C1608 + B1609*C1609</f>
        <v>2550</v>
      </c>
      <c r="D1610" s="57" t="s">
        <v>25</v>
      </c>
      <c r="E1610" s="55" t="str">
        <f>E1605*D1605 + D1606*#REF! + E1606*E1607 + D1608*E1608 + D1609*E1609</f>
        <v>#VALUE!</v>
      </c>
      <c r="F1610" s="35" t="s">
        <v>25</v>
      </c>
      <c r="G1610" s="36">
        <f>G1605*F1605 + F1606*G1606 + F1607*G1607 + F1608*G1608 + F1609*G1609</f>
        <v>1750</v>
      </c>
      <c r="H1610" s="35" t="s">
        <v>25</v>
      </c>
      <c r="I1610" s="36" t="str">
        <f>I1605*H1605 + H1606*I1606 + H1607*I1607 + H1608*I1608 + H1609*I1609</f>
        <v>#VALUE!</v>
      </c>
      <c r="J1610" s="35" t="s">
        <v>25</v>
      </c>
      <c r="K1610" s="36">
        <f>K1605*J1605 + J1606*K1606 + J1607*K1607 + J1608*K1608 + J1609*K1609</f>
        <v>2650</v>
      </c>
      <c r="L1610" s="35" t="s">
        <v>25</v>
      </c>
      <c r="M1610" s="36" t="str">
        <f>M1605*L1605 + L1606*M1606 + L1607*M1607 + L1608*M1608 + L1609*M1609</f>
        <v>#VALUE!</v>
      </c>
      <c r="N1610" s="35" t="s">
        <v>25</v>
      </c>
      <c r="O1610" s="36">
        <f>O1605*N1605 + N1606*O1606 + N1607*O1607 + N1608*O1608 + N1609*O1609</f>
        <v>0</v>
      </c>
    </row>
    <row r="1611" ht="14.25" customHeight="1">
      <c r="A1611" s="37"/>
      <c r="B1611" s="13" t="s">
        <v>26</v>
      </c>
      <c r="C1611" s="40">
        <f>(B1605*C1605 + B1606*C1606 + B1607*C1607 + B1608*C1608 + B1609*C1609)/SUM(C1605:C1609)</f>
        <v>127.5</v>
      </c>
      <c r="D1611" s="31" t="s">
        <v>26</v>
      </c>
      <c r="E1611" s="74" t="str">
        <f>(D1605*E1605 + D1606*#REF! + E1606*E1607 + D1608*E1608 + D1609*E1609)/SUM(E1605:E1609)</f>
        <v>#VALUE!</v>
      </c>
      <c r="F1611" s="13" t="s">
        <v>26</v>
      </c>
      <c r="G1611" s="40">
        <f>(F1605*G1605 + F1606*G1606 + F1607*G1607 + F1608*G1608 + F1609*G1609)/SUM(G1605:G1609)</f>
        <v>87.5</v>
      </c>
      <c r="H1611" s="13" t="s">
        <v>26</v>
      </c>
      <c r="I1611" s="40" t="str">
        <f>(H1605*I1605 + H1606*I1606 + H1607*I1607 + H1608*I1608 + H1609*I1609)/SUM(I1605:I1609)</f>
        <v>#VALUE!</v>
      </c>
      <c r="J1611" s="13" t="s">
        <v>26</v>
      </c>
      <c r="K1611" s="40">
        <f>(J1605*K1605 + J1606*K1606 + J1607*K1607 + J1608*K1608 + J1609*K1609)/SUM(K1605:K1609)</f>
        <v>132.5</v>
      </c>
      <c r="L1611" s="13" t="s">
        <v>26</v>
      </c>
      <c r="M1611" s="40" t="str">
        <f>(L1605*M1605 + L1606*M1606 + L1607*M1607 + L1608*M1608 + L1609*M1609)/SUM(M1605:M1609)</f>
        <v>#VALUE!</v>
      </c>
      <c r="N1611" s="13" t="s">
        <v>26</v>
      </c>
      <c r="O1611" s="40" t="str">
        <f>(N1605*O1605 + N1606*O1606 + N1607*O1607 + N1608*O1608 + N1609*O1609)/SUM(O1605:O1609)</f>
        <v>#DIV/0!</v>
      </c>
    </row>
    <row r="1612" ht="14.25" customHeight="1">
      <c r="A1612" s="28" t="s">
        <v>27</v>
      </c>
      <c r="B1612" s="11" t="s">
        <v>10</v>
      </c>
      <c r="C1612" s="12" t="s">
        <v>11</v>
      </c>
      <c r="D1612" s="11" t="s">
        <v>10</v>
      </c>
      <c r="E1612" s="12" t="s">
        <v>11</v>
      </c>
      <c r="F1612" s="11" t="s">
        <v>10</v>
      </c>
      <c r="G1612" s="12" t="s">
        <v>11</v>
      </c>
      <c r="H1612" s="11" t="s">
        <v>10</v>
      </c>
      <c r="I1612" s="12" t="s">
        <v>11</v>
      </c>
      <c r="J1612" s="11" t="s">
        <v>10</v>
      </c>
      <c r="K1612" s="12" t="s">
        <v>11</v>
      </c>
      <c r="L1612" s="11" t="s">
        <v>10</v>
      </c>
      <c r="M1612" s="12" t="s">
        <v>11</v>
      </c>
      <c r="N1612" s="11" t="s">
        <v>10</v>
      </c>
      <c r="O1612" s="12" t="s">
        <v>11</v>
      </c>
    </row>
    <row r="1613" ht="14.25" customHeight="1">
      <c r="A1613" s="41" t="s">
        <v>28</v>
      </c>
      <c r="B1613" s="20" t="s">
        <v>383</v>
      </c>
      <c r="C1613" s="17"/>
      <c r="D1613" s="45" t="s">
        <v>91</v>
      </c>
      <c r="E1613" s="76" t="s">
        <v>49</v>
      </c>
      <c r="F1613" s="20" t="s">
        <v>384</v>
      </c>
      <c r="G1613" s="17"/>
      <c r="H1613" s="45" t="s">
        <v>91</v>
      </c>
      <c r="I1613" s="17"/>
      <c r="J1613" s="20" t="s">
        <v>383</v>
      </c>
      <c r="K1613" s="17"/>
      <c r="L1613" s="20" t="s">
        <v>385</v>
      </c>
      <c r="M1613" s="17"/>
      <c r="N1613" s="42"/>
      <c r="O1613" s="44"/>
    </row>
    <row r="1614" ht="14.25" customHeight="1">
      <c r="A1614" s="28"/>
      <c r="B1614" s="46">
        <v>150.0</v>
      </c>
      <c r="C1614" s="48">
        <v>5.0</v>
      </c>
      <c r="D1614" s="1">
        <v>60.0</v>
      </c>
      <c r="E1614" s="54"/>
      <c r="F1614" s="46">
        <v>130.0</v>
      </c>
      <c r="G1614" s="48">
        <v>5.0</v>
      </c>
      <c r="H1614" s="1">
        <v>30.0</v>
      </c>
      <c r="I1614" s="54"/>
      <c r="J1614" s="46">
        <v>155.0</v>
      </c>
      <c r="K1614" s="48">
        <v>5.0</v>
      </c>
      <c r="L1614" s="46">
        <v>30.0</v>
      </c>
      <c r="M1614" s="48" t="s">
        <v>386</v>
      </c>
      <c r="N1614" s="46"/>
      <c r="O1614" s="26"/>
    </row>
    <row r="1615" ht="14.25" customHeight="1">
      <c r="A1615" s="28" t="s">
        <v>37</v>
      </c>
      <c r="B1615" s="46">
        <v>160.0</v>
      </c>
      <c r="C1615" s="48">
        <v>5.0</v>
      </c>
      <c r="D1615" s="1">
        <v>30.0</v>
      </c>
      <c r="E1615" s="54"/>
      <c r="F1615" s="46">
        <v>140.0</v>
      </c>
      <c r="G1615" s="48">
        <v>5.0</v>
      </c>
      <c r="H1615" s="1">
        <v>60.0</v>
      </c>
      <c r="I1615" s="54"/>
      <c r="J1615" s="46">
        <v>160.0</v>
      </c>
      <c r="K1615" s="48">
        <v>5.0</v>
      </c>
      <c r="L1615" s="46">
        <v>30.0</v>
      </c>
      <c r="M1615" s="48"/>
      <c r="N1615" s="46"/>
      <c r="O1615" s="26"/>
    </row>
    <row r="1616" ht="14.25" customHeight="1">
      <c r="A1616" s="28" t="s">
        <v>39</v>
      </c>
      <c r="B1616" s="46">
        <v>165.0</v>
      </c>
      <c r="C1616" s="48">
        <v>5.0</v>
      </c>
      <c r="D1616" s="1">
        <v>80.0</v>
      </c>
      <c r="E1616" s="54"/>
      <c r="F1616" s="46">
        <v>150.0</v>
      </c>
      <c r="G1616" s="48">
        <v>5.0</v>
      </c>
      <c r="H1616" s="1">
        <v>30.0</v>
      </c>
      <c r="I1616" s="26"/>
      <c r="J1616" s="46">
        <v>170.0</v>
      </c>
      <c r="K1616" s="48">
        <v>5.0</v>
      </c>
      <c r="L1616" s="46">
        <v>40.0</v>
      </c>
      <c r="M1616" s="48" t="s">
        <v>387</v>
      </c>
      <c r="N1616" s="46"/>
      <c r="O1616" s="26"/>
    </row>
    <row r="1617" ht="14.25" customHeight="1">
      <c r="A1617" s="28"/>
      <c r="B1617" s="46">
        <v>170.0</v>
      </c>
      <c r="C1617" s="54">
        <v>5.0</v>
      </c>
      <c r="D1617" s="1">
        <v>30.0</v>
      </c>
      <c r="E1617" s="54"/>
      <c r="F1617" s="46">
        <v>155.0</v>
      </c>
      <c r="G1617" s="48">
        <v>5.0</v>
      </c>
      <c r="H1617" s="1">
        <v>60.0</v>
      </c>
      <c r="I1617" s="26"/>
      <c r="J1617" s="46">
        <v>180.0</v>
      </c>
      <c r="K1617" s="54">
        <v>5.0</v>
      </c>
      <c r="L1617" s="46">
        <v>30.0</v>
      </c>
      <c r="M1617" s="26"/>
      <c r="N1617" s="46"/>
      <c r="O1617" s="26"/>
    </row>
    <row r="1618" ht="14.25" customHeight="1">
      <c r="A1618" s="28" t="s">
        <v>41</v>
      </c>
      <c r="B1618" s="32"/>
      <c r="C1618" s="24"/>
      <c r="D1618" s="1" t="s">
        <v>101</v>
      </c>
      <c r="E1618" s="24"/>
      <c r="F1618" s="28"/>
      <c r="G1618" s="71"/>
      <c r="H1618" s="1" t="s">
        <v>101</v>
      </c>
      <c r="I1618" s="24"/>
      <c r="J1618" s="32"/>
      <c r="K1618" s="24"/>
      <c r="L1618" s="32"/>
      <c r="M1618" s="24"/>
      <c r="N1618" s="32"/>
      <c r="O1618" s="24"/>
    </row>
    <row r="1619" ht="14.25" customHeight="1">
      <c r="A1619" s="28" t="s">
        <v>43</v>
      </c>
      <c r="B1619" s="32"/>
      <c r="C1619" s="26"/>
      <c r="D1619" s="28" t="s">
        <v>103</v>
      </c>
      <c r="E1619" s="34"/>
      <c r="F1619" s="32"/>
      <c r="G1619" s="26"/>
      <c r="H1619" s="28" t="s">
        <v>103</v>
      </c>
      <c r="I1619" s="24"/>
      <c r="J1619" s="32"/>
      <c r="K1619" s="26"/>
      <c r="L1619" s="32"/>
      <c r="M1619" s="26"/>
      <c r="N1619" s="32"/>
      <c r="O1619" s="26"/>
    </row>
    <row r="1620" ht="14.25" customHeight="1">
      <c r="A1620" s="28"/>
      <c r="B1620" s="35" t="s">
        <v>25</v>
      </c>
      <c r="C1620" s="36">
        <f>C1614*B1614 + B1615*C1615 + B1616*C1616 + B1617*C1617 + B1619*C1619</f>
        <v>3225</v>
      </c>
      <c r="D1620" s="35" t="s">
        <v>25</v>
      </c>
      <c r="E1620" s="55" t="str">
        <f>E1614*D1614 + D1615*E1615 + D1616*E1616 + D1617*E1617 + D1619*E1619</f>
        <v>#VALUE!</v>
      </c>
      <c r="F1620" s="35" t="s">
        <v>25</v>
      </c>
      <c r="G1620" s="36">
        <f>G1614*F1614 + F1615*G1615 + F1616*G1616 + F1617*G1617 + F1619*G1619</f>
        <v>2875</v>
      </c>
      <c r="H1620" s="35" t="s">
        <v>25</v>
      </c>
      <c r="I1620" s="36" t="str">
        <f>I1614*H1614 + H1615*I1615 + H1616*I1616 + H1617*I1617 + H1619*I1619</f>
        <v>#VALUE!</v>
      </c>
      <c r="J1620" s="35" t="s">
        <v>25</v>
      </c>
      <c r="K1620" s="36">
        <f>K1614*J1614 + J1615*K1615 + J1616*K1616 + J1617*K1617 + J1619*K1619</f>
        <v>3325</v>
      </c>
      <c r="L1620" s="35" t="s">
        <v>25</v>
      </c>
      <c r="M1620" s="36" t="str">
        <f>M1614*L1614 + L1615*M1615 + L1616*M1616 + L1617*M1617 + L1619*M1619</f>
        <v>#VALUE!</v>
      </c>
      <c r="N1620" s="35" t="s">
        <v>25</v>
      </c>
      <c r="O1620" s="36">
        <f>O1614*N1614 + N1615*O1615 + N1616*O1616 + N1617*O1617 + N1619*O1619</f>
        <v>0</v>
      </c>
    </row>
    <row r="1621" ht="14.25" customHeight="1">
      <c r="A1621" s="28" t="s">
        <v>116</v>
      </c>
      <c r="B1621" s="39" t="s">
        <v>26</v>
      </c>
      <c r="C1621" s="40">
        <f>(B1615*C1615 + B1616*C1616 + B1617*C1617 + B1618*C1618 + B1619*C1619)/SUM(C1615:C1619)</f>
        <v>165</v>
      </c>
      <c r="D1621" s="39" t="s">
        <v>26</v>
      </c>
      <c r="E1621" s="77" t="str">
        <f>(D1614*E1614 + D1615*E1615 + D1616*E1616 + D1617*E1617 + D1619*E1619)/SUM(E1614:E1619)</f>
        <v>#VALUE!</v>
      </c>
      <c r="F1621" s="39" t="s">
        <v>26</v>
      </c>
      <c r="G1621" s="40">
        <f>(F1615*G1615 + F1616*G1616 + F1617*G1617 + F1618*G1618 + F1619*G1619)/SUM(G1615:G1619)</f>
        <v>148.3333333</v>
      </c>
      <c r="H1621" s="39" t="s">
        <v>26</v>
      </c>
      <c r="I1621" s="40" t="str">
        <f>(H1614*I1614 + H1615*I1615 + H1616*I1616 + H1617*I1617 + H1619*I1619)/SUM(I1614:I1619)</f>
        <v>#VALUE!</v>
      </c>
      <c r="J1621" s="39" t="s">
        <v>26</v>
      </c>
      <c r="K1621" s="40">
        <f>(J1615*K1615 + J1616*K1616 + J1617*K1617 + J1618*K1618 + J1619*K1619)/SUM(K1615:K1619)</f>
        <v>170</v>
      </c>
      <c r="L1621" s="39" t="s">
        <v>26</v>
      </c>
      <c r="M1621" s="40" t="str">
        <f>(L1615*M1615 + L1616*M1616 + L1617*M1617 + L1618*M1618 + L1619*M1619)/SUM(M1615:M1619)</f>
        <v>#VALUE!</v>
      </c>
      <c r="N1621" s="39" t="s">
        <v>26</v>
      </c>
      <c r="O1621" s="40" t="str">
        <f>(N1615*O1615 + N1616*O1616 + N1617*O1617 + N1618*O1618 + N1619*O1619)/SUM(O1615:O1619)</f>
        <v>#DIV/0!</v>
      </c>
    </row>
    <row r="1622" ht="14.25" customHeight="1">
      <c r="A1622" s="28" t="s">
        <v>117</v>
      </c>
      <c r="B1622" s="49" t="s">
        <v>388</v>
      </c>
      <c r="C1622" s="50"/>
      <c r="D1622" s="45" t="s">
        <v>91</v>
      </c>
      <c r="E1622" s="17"/>
      <c r="F1622" s="20" t="s">
        <v>245</v>
      </c>
      <c r="G1622" s="17"/>
      <c r="H1622" s="45" t="s">
        <v>33</v>
      </c>
      <c r="I1622" s="17"/>
      <c r="J1622" s="49" t="s">
        <v>388</v>
      </c>
      <c r="K1622" s="50"/>
      <c r="L1622" s="49"/>
      <c r="M1622" s="50" t="s">
        <v>49</v>
      </c>
      <c r="N1622" s="49"/>
      <c r="O1622" s="50" t="s">
        <v>49</v>
      </c>
    </row>
    <row r="1623" ht="14.25" customHeight="1">
      <c r="A1623" s="28" t="s">
        <v>120</v>
      </c>
      <c r="B1623" s="46"/>
      <c r="C1623" s="54">
        <v>3.0</v>
      </c>
      <c r="D1623" s="110">
        <v>40.0</v>
      </c>
      <c r="E1623" s="24"/>
      <c r="F1623" s="46">
        <v>50.0</v>
      </c>
      <c r="G1623" s="48">
        <v>5.0</v>
      </c>
      <c r="H1623" s="1"/>
      <c r="I1623" s="54"/>
      <c r="J1623" s="46"/>
      <c r="K1623" s="54">
        <v>3.0</v>
      </c>
      <c r="L1623" s="46">
        <v>30.0</v>
      </c>
      <c r="M1623" s="48" t="s">
        <v>389</v>
      </c>
      <c r="N1623" s="21"/>
      <c r="O1623" s="24"/>
    </row>
    <row r="1624" ht="14.25" customHeight="1">
      <c r="A1624" s="28"/>
      <c r="B1624" s="46"/>
      <c r="C1624" s="54">
        <v>3.0</v>
      </c>
      <c r="D1624" s="46">
        <v>60.0</v>
      </c>
      <c r="E1624" s="26"/>
      <c r="F1624" s="46">
        <v>55.0</v>
      </c>
      <c r="G1624" s="48">
        <v>5.0</v>
      </c>
      <c r="H1624" s="1"/>
      <c r="I1624" s="54"/>
      <c r="J1624" s="46"/>
      <c r="K1624" s="54">
        <v>3.0</v>
      </c>
      <c r="L1624" s="46">
        <v>30.0</v>
      </c>
      <c r="M1624" s="22"/>
      <c r="N1624" s="21"/>
      <c r="O1624" s="26"/>
    </row>
    <row r="1625" ht="14.25" customHeight="1">
      <c r="A1625" s="28"/>
      <c r="B1625" s="46"/>
      <c r="C1625" s="54">
        <v>3.0</v>
      </c>
      <c r="D1625" s="46">
        <v>30.0</v>
      </c>
      <c r="E1625" s="24"/>
      <c r="F1625" s="46">
        <v>60.0</v>
      </c>
      <c r="G1625" s="48">
        <v>5.0</v>
      </c>
      <c r="H1625" s="1"/>
      <c r="I1625" s="26"/>
      <c r="J1625" s="46"/>
      <c r="K1625" s="54">
        <v>3.0</v>
      </c>
      <c r="L1625" s="46">
        <v>30.0</v>
      </c>
      <c r="M1625" s="48" t="s">
        <v>386</v>
      </c>
      <c r="N1625" s="46"/>
      <c r="O1625" s="24"/>
    </row>
    <row r="1626" ht="14.25" customHeight="1">
      <c r="A1626" s="28"/>
      <c r="B1626" s="46"/>
      <c r="C1626" s="54">
        <v>3.0</v>
      </c>
      <c r="D1626" s="46">
        <v>30.0</v>
      </c>
      <c r="E1626" s="79"/>
      <c r="F1626" s="46"/>
      <c r="G1626" s="54"/>
      <c r="H1626" s="1"/>
      <c r="I1626" s="26"/>
      <c r="J1626" s="46"/>
      <c r="K1626" s="54">
        <v>3.0</v>
      </c>
      <c r="L1626" s="46">
        <v>30.0</v>
      </c>
      <c r="M1626" s="71"/>
      <c r="N1626" s="21"/>
      <c r="O1626" s="24"/>
    </row>
    <row r="1627" ht="14.25" customHeight="1">
      <c r="A1627" s="28"/>
      <c r="B1627" s="13"/>
      <c r="C1627" s="34"/>
      <c r="D1627" s="21"/>
      <c r="E1627" s="34"/>
      <c r="F1627" s="13"/>
      <c r="G1627" s="24"/>
      <c r="H1627" s="28"/>
      <c r="I1627" s="34"/>
      <c r="J1627" s="13"/>
      <c r="K1627" s="24"/>
      <c r="L1627" s="31"/>
      <c r="M1627" s="24"/>
      <c r="N1627" s="31"/>
      <c r="O1627" s="24"/>
    </row>
    <row r="1628" ht="14.25" customHeight="1">
      <c r="A1628" s="28"/>
      <c r="B1628" s="35" t="s">
        <v>25</v>
      </c>
      <c r="C1628" s="55">
        <f>C1623*B1623 + B1624*C1624 + B1625*C1625 + B1626*C1626 + B1627*C1627</f>
        <v>0</v>
      </c>
      <c r="D1628" s="35" t="s">
        <v>25</v>
      </c>
      <c r="E1628" s="55">
        <f>E1623*D1623 + D1624*E1624 + D1625*E1625 + D1626*E1626 + D1627*E1627</f>
        <v>0</v>
      </c>
      <c r="F1628" s="35" t="s">
        <v>25</v>
      </c>
      <c r="G1628" s="55">
        <f>G1623*F1623 + F1624*G1624 + F1625*G1625 + F1626*G1626 + F1627*G1627</f>
        <v>825</v>
      </c>
      <c r="H1628" s="35" t="s">
        <v>25</v>
      </c>
      <c r="I1628" s="56">
        <f>I1623*H1623 + H1624*I1624 + H1625*I1625 + H1626*I1626 + H1627*I1627</f>
        <v>0</v>
      </c>
      <c r="J1628" s="35" t="s">
        <v>25</v>
      </c>
      <c r="K1628" s="36">
        <f>K1623*J1623 + J1624*K1624 + J1625*K1625 + J1626*K1626 + J1627*K1627</f>
        <v>0</v>
      </c>
      <c r="L1628" s="57" t="s">
        <v>25</v>
      </c>
      <c r="M1628" s="58" t="str">
        <f>M1623*L1623 + L1624*M1624 + L1625*M1625 + L1626*M1626 + L1627*M1627</f>
        <v>#VALUE!</v>
      </c>
      <c r="N1628" s="57" t="s">
        <v>25</v>
      </c>
      <c r="O1628" s="58">
        <f>O1623*N1623 + N1624*O1624 + N1625*O1625 + N1626*O1626 + N1627*O1627</f>
        <v>0</v>
      </c>
    </row>
    <row r="1629" ht="14.25" customHeight="1">
      <c r="A1629" s="28"/>
      <c r="B1629" s="39" t="s">
        <v>26</v>
      </c>
      <c r="C1629" s="40">
        <f>(B1623*C1623 + B1624*C1624 + B1625*C1625 + B1626*C1626 + B1627*C1627)/SUM(C1623:C1627)</f>
        <v>0</v>
      </c>
      <c r="D1629" s="59" t="s">
        <v>26</v>
      </c>
      <c r="E1629" s="40" t="str">
        <f>(D1623*E1623 + D1624*E1624 + D1625*E1625 + D1626*E1626 + D1627*E1627)/SUM(E1623:E1627)</f>
        <v>#DIV/0!</v>
      </c>
      <c r="F1629" s="39" t="s">
        <v>26</v>
      </c>
      <c r="G1629" s="40">
        <f>(F1623*G1623 + F1624*G1624 + F1625*G1625 + F1626*G1626 + F1627*G1627)/SUM(G1623:G1627)</f>
        <v>55</v>
      </c>
      <c r="H1629" s="59" t="s">
        <v>26</v>
      </c>
      <c r="I1629" s="40" t="str">
        <f>(H1623*I1623 + H1624*I1624 + H1625*I1625 + H1626*I1626 + H1627*I1627)/SUM(I1623:I1627)</f>
        <v>#DIV/0!</v>
      </c>
      <c r="J1629" s="39" t="s">
        <v>26</v>
      </c>
      <c r="K1629" s="40">
        <f>(J1623*K1623 + J1624*K1624 + J1625*K1625 + J1626*K1626 + J1627*K1627)/SUM(K1623:K1627)</f>
        <v>0</v>
      </c>
      <c r="L1629" s="59" t="s">
        <v>26</v>
      </c>
      <c r="M1629" s="40" t="str">
        <f>(L1623*M1623 + L1624*M1624 + L1625*M1625 + L1626*M1626 + L1627*M1627)/SUM(M1623:M1627)</f>
        <v>#VALUE!</v>
      </c>
      <c r="N1629" s="59" t="s">
        <v>26</v>
      </c>
      <c r="O1629" s="40" t="str">
        <f>(N1623*O1623 + N1624*O1624 + N1625*O1625 + N1626*O1626 + N1627*O1627)/SUM(O1623:O1627)</f>
        <v>#DIV/0!</v>
      </c>
    </row>
    <row r="1630" ht="14.25" customHeight="1">
      <c r="A1630" s="28"/>
      <c r="B1630" s="28" t="s">
        <v>51</v>
      </c>
      <c r="C1630" s="30" t="s">
        <v>49</v>
      </c>
      <c r="D1630" s="28"/>
      <c r="E1630" s="30" t="s">
        <v>49</v>
      </c>
      <c r="F1630" s="28" t="s">
        <v>51</v>
      </c>
      <c r="G1630" s="30" t="s">
        <v>49</v>
      </c>
      <c r="H1630" s="28"/>
      <c r="I1630" s="30" t="s">
        <v>49</v>
      </c>
      <c r="J1630" s="28" t="s">
        <v>51</v>
      </c>
      <c r="K1630" s="30" t="s">
        <v>49</v>
      </c>
      <c r="L1630" s="28"/>
      <c r="M1630" s="60" t="s">
        <v>49</v>
      </c>
      <c r="N1630" s="28"/>
      <c r="O1630" s="60" t="s">
        <v>49</v>
      </c>
    </row>
    <row r="1631" ht="14.25" customHeight="1">
      <c r="A1631" s="28"/>
      <c r="B1631" s="27">
        <v>30.0</v>
      </c>
      <c r="C1631" s="63" t="s">
        <v>390</v>
      </c>
      <c r="D1631" s="27"/>
      <c r="E1631" s="60"/>
      <c r="F1631" s="27">
        <v>30.0</v>
      </c>
      <c r="G1631" s="63" t="s">
        <v>390</v>
      </c>
      <c r="H1631" s="27"/>
      <c r="I1631" s="60"/>
      <c r="J1631" s="27">
        <v>30.0</v>
      </c>
      <c r="K1631" s="63" t="s">
        <v>390</v>
      </c>
      <c r="L1631" s="27"/>
      <c r="M1631" s="60"/>
      <c r="N1631" s="27"/>
      <c r="O1631" s="60"/>
    </row>
    <row r="1632" ht="14.25" customHeight="1">
      <c r="A1632" s="28"/>
      <c r="B1632" s="27">
        <v>30.0</v>
      </c>
      <c r="C1632" s="60"/>
      <c r="D1632" s="27"/>
      <c r="E1632" s="60"/>
      <c r="F1632" s="28">
        <v>60.0</v>
      </c>
      <c r="G1632" s="60"/>
      <c r="H1632" s="27"/>
      <c r="I1632" s="60"/>
      <c r="J1632" s="28">
        <v>60.0</v>
      </c>
      <c r="K1632" s="60"/>
      <c r="L1632" s="27"/>
      <c r="M1632" s="60"/>
      <c r="N1632" s="27"/>
      <c r="O1632" s="60"/>
    </row>
    <row r="1633" ht="14.25" customHeight="1">
      <c r="A1633" s="37"/>
      <c r="B1633" s="28">
        <v>60.0</v>
      </c>
      <c r="C1633" s="60"/>
      <c r="D1633" s="28"/>
      <c r="E1633" s="60"/>
      <c r="F1633" s="28">
        <v>30.0</v>
      </c>
      <c r="G1633" s="60"/>
      <c r="H1633" s="30"/>
      <c r="I1633" s="60"/>
      <c r="J1633" s="28">
        <v>30.0</v>
      </c>
      <c r="K1633" s="60"/>
      <c r="L1633" s="1"/>
      <c r="M1633" s="60"/>
      <c r="N1633" s="30"/>
      <c r="O1633" s="60"/>
    </row>
    <row r="1634" ht="14.25" customHeight="1">
      <c r="A1634" s="37"/>
      <c r="B1634" s="28">
        <v>30.0</v>
      </c>
      <c r="C1634" s="1"/>
      <c r="D1634" s="28"/>
      <c r="E1634" s="1"/>
      <c r="F1634" s="28"/>
      <c r="G1634" s="63"/>
      <c r="H1634" s="30"/>
      <c r="I1634" s="30"/>
      <c r="J1634" s="28"/>
      <c r="K1634" s="60"/>
      <c r="L1634" s="30"/>
      <c r="M1634" s="60"/>
      <c r="N1634" s="30"/>
      <c r="O1634" s="60"/>
    </row>
    <row r="1635" ht="14.25" customHeight="1">
      <c r="A1635" s="37"/>
      <c r="B1635" s="28"/>
      <c r="C1635" s="1"/>
      <c r="D1635" s="28"/>
      <c r="E1635" s="1"/>
      <c r="F1635" s="28"/>
      <c r="G1635" s="60"/>
      <c r="H1635" s="28"/>
      <c r="I1635" s="30"/>
      <c r="J1635" s="28"/>
      <c r="K1635" s="60"/>
      <c r="L1635" s="30"/>
      <c r="M1635" s="60"/>
      <c r="N1635" s="30"/>
      <c r="O1635" s="60"/>
    </row>
    <row r="1636" ht="14.25" customHeight="1">
      <c r="A1636" s="37"/>
      <c r="B1636" s="28"/>
      <c r="C1636" s="1"/>
      <c r="D1636" s="28"/>
      <c r="E1636" s="1"/>
      <c r="F1636" s="28"/>
      <c r="G1636" s="60"/>
      <c r="H1636" s="30"/>
      <c r="I1636" s="30"/>
      <c r="J1636" s="37"/>
      <c r="K1636" s="60"/>
      <c r="L1636" s="30"/>
      <c r="M1636" s="60"/>
      <c r="N1636" s="30"/>
      <c r="O1636" s="60"/>
    </row>
    <row r="1637" ht="14.25" customHeight="1">
      <c r="A1637" s="64"/>
      <c r="B1637" s="65"/>
      <c r="C1637" s="66"/>
      <c r="D1637" s="65"/>
      <c r="E1637" s="66"/>
      <c r="F1637" s="64"/>
      <c r="G1637" s="67"/>
      <c r="H1637" s="66"/>
      <c r="I1637" s="66"/>
      <c r="J1637" s="64"/>
      <c r="K1637" s="67"/>
      <c r="L1637" s="66"/>
      <c r="M1637" s="67"/>
      <c r="N1637" s="66"/>
      <c r="O1637" s="67"/>
    </row>
    <row r="1638" ht="14.25" customHeight="1">
      <c r="A1638" s="30"/>
      <c r="B1638" s="1"/>
      <c r="C1638" s="30"/>
      <c r="D1638" s="1"/>
      <c r="E1638" s="30"/>
      <c r="F1638" s="30"/>
      <c r="G1638" s="30"/>
      <c r="H1638" s="30"/>
      <c r="I1638" s="30"/>
      <c r="J1638" s="30"/>
      <c r="K1638" s="30"/>
      <c r="L1638" s="30"/>
      <c r="M1638" s="30"/>
      <c r="N1638" s="30"/>
      <c r="O1638" s="30"/>
    </row>
    <row r="1639" ht="14.25" customHeight="1">
      <c r="A1639" s="2" t="s">
        <v>2</v>
      </c>
      <c r="B1639" s="3" t="s">
        <v>3</v>
      </c>
      <c r="C1639" s="4">
        <f>M1601+2</f>
        <v>45663</v>
      </c>
      <c r="D1639" s="5" t="s">
        <v>4</v>
      </c>
      <c r="E1639" s="6">
        <f>C1639+1</f>
        <v>45664</v>
      </c>
      <c r="F1639" s="3" t="s">
        <v>5</v>
      </c>
      <c r="G1639" s="6">
        <f>E1639+1</f>
        <v>45665</v>
      </c>
      <c r="H1639" s="3" t="s">
        <v>6</v>
      </c>
      <c r="I1639" s="6">
        <f>G1639+1</f>
        <v>45666</v>
      </c>
      <c r="J1639" s="3" t="s">
        <v>7</v>
      </c>
      <c r="K1639" s="6">
        <f>I1639+1</f>
        <v>45667</v>
      </c>
      <c r="L1639" s="7" t="s">
        <v>8</v>
      </c>
      <c r="M1639" s="8">
        <f>K1639+1</f>
        <v>45668</v>
      </c>
      <c r="N1639" s="9" t="s">
        <v>9</v>
      </c>
      <c r="O1639" s="8">
        <f>M1639+1</f>
        <v>45669</v>
      </c>
    </row>
    <row r="1640" ht="14.25" customHeight="1">
      <c r="A1640" s="10">
        <f>A1602+1</f>
        <v>45</v>
      </c>
      <c r="B1640" s="11" t="s">
        <v>10</v>
      </c>
      <c r="C1640" s="12" t="s">
        <v>11</v>
      </c>
      <c r="D1640" s="11" t="s">
        <v>10</v>
      </c>
      <c r="E1640" s="12" t="s">
        <v>11</v>
      </c>
      <c r="F1640" s="11" t="s">
        <v>10</v>
      </c>
      <c r="G1640" s="12" t="s">
        <v>11</v>
      </c>
      <c r="H1640" s="11" t="s">
        <v>10</v>
      </c>
      <c r="I1640" s="12" t="s">
        <v>11</v>
      </c>
      <c r="J1640" s="11" t="s">
        <v>10</v>
      </c>
      <c r="K1640" s="12" t="s">
        <v>11</v>
      </c>
      <c r="L1640" s="11" t="s">
        <v>10</v>
      </c>
      <c r="M1640" s="12" t="s">
        <v>11</v>
      </c>
      <c r="N1640" s="11" t="s">
        <v>10</v>
      </c>
      <c r="O1640" s="12" t="s">
        <v>11</v>
      </c>
    </row>
    <row r="1641" ht="14.25" customHeight="1">
      <c r="A1641" s="13"/>
      <c r="B1641" s="14"/>
      <c r="C1641" s="15"/>
      <c r="D1641" s="14"/>
      <c r="E1641" s="15"/>
      <c r="F1641" s="14"/>
      <c r="G1641" s="15"/>
      <c r="H1641" s="14"/>
      <c r="I1641" s="15"/>
      <c r="J1641" s="14" t="s">
        <v>352</v>
      </c>
      <c r="K1641" s="15"/>
      <c r="L1641" s="14" t="s">
        <v>352</v>
      </c>
      <c r="M1641" s="15"/>
      <c r="N1641" s="14" t="s">
        <v>352</v>
      </c>
      <c r="O1641" s="15"/>
    </row>
    <row r="1642" ht="14.25" customHeight="1">
      <c r="A1642" s="13" t="s">
        <v>12</v>
      </c>
      <c r="B1642" s="20" t="s">
        <v>391</v>
      </c>
      <c r="C1642" s="17"/>
      <c r="D1642" s="20" t="s">
        <v>392</v>
      </c>
      <c r="E1642" s="17"/>
      <c r="F1642" s="18" t="s">
        <v>14</v>
      </c>
      <c r="G1642" s="17"/>
      <c r="H1642" s="20" t="s">
        <v>392</v>
      </c>
      <c r="I1642" s="17"/>
      <c r="J1642" s="20"/>
      <c r="K1642" s="17"/>
      <c r="L1642" s="18" t="s">
        <v>14</v>
      </c>
      <c r="M1642" s="17"/>
      <c r="N1642" s="20"/>
      <c r="O1642" s="17"/>
    </row>
    <row r="1643" ht="14.25" customHeight="1">
      <c r="A1643" s="13"/>
      <c r="B1643" s="46"/>
      <c r="C1643" s="48"/>
      <c r="D1643" s="46">
        <v>100.0</v>
      </c>
      <c r="E1643" s="48">
        <v>5.0</v>
      </c>
      <c r="F1643" s="1" t="s">
        <v>129</v>
      </c>
      <c r="G1643" s="24" t="s">
        <v>77</v>
      </c>
      <c r="H1643" s="46">
        <v>100.0</v>
      </c>
      <c r="I1643" s="48">
        <v>5.0</v>
      </c>
      <c r="J1643" s="46"/>
      <c r="K1643" s="48"/>
      <c r="L1643" s="1" t="s">
        <v>129</v>
      </c>
      <c r="M1643" s="24" t="s">
        <v>77</v>
      </c>
      <c r="N1643" s="27"/>
      <c r="O1643" s="24"/>
    </row>
    <row r="1644" ht="14.25" customHeight="1">
      <c r="A1644" s="28" t="s">
        <v>20</v>
      </c>
      <c r="B1644" s="46"/>
      <c r="C1644" s="48"/>
      <c r="D1644" s="46">
        <v>110.0</v>
      </c>
      <c r="E1644" s="48">
        <v>5.0</v>
      </c>
      <c r="F1644" s="23" t="s">
        <v>80</v>
      </c>
      <c r="G1644" s="26" t="s">
        <v>81</v>
      </c>
      <c r="H1644" s="46">
        <v>110.0</v>
      </c>
      <c r="I1644" s="48">
        <v>5.0</v>
      </c>
      <c r="J1644" s="46"/>
      <c r="K1644" s="48"/>
      <c r="L1644" s="23" t="s">
        <v>80</v>
      </c>
      <c r="M1644" s="26" t="s">
        <v>81</v>
      </c>
      <c r="N1644" s="28"/>
      <c r="O1644" s="24"/>
    </row>
    <row r="1645" ht="14.25" customHeight="1">
      <c r="A1645" s="29" t="s">
        <v>22</v>
      </c>
      <c r="B1645" s="46"/>
      <c r="C1645" s="48"/>
      <c r="D1645" s="46">
        <v>115.0</v>
      </c>
      <c r="E1645" s="48">
        <v>5.0</v>
      </c>
      <c r="F1645" s="1" t="s">
        <v>132</v>
      </c>
      <c r="G1645" s="26" t="s">
        <v>84</v>
      </c>
      <c r="H1645" s="46">
        <v>115.0</v>
      </c>
      <c r="I1645" s="48">
        <v>5.0</v>
      </c>
      <c r="J1645" s="46"/>
      <c r="K1645" s="48"/>
      <c r="L1645" s="1" t="s">
        <v>132</v>
      </c>
      <c r="M1645" s="26" t="s">
        <v>84</v>
      </c>
      <c r="N1645" s="23"/>
      <c r="O1645" s="24"/>
    </row>
    <row r="1646" ht="14.25" customHeight="1">
      <c r="A1646" s="28" t="s">
        <v>23</v>
      </c>
      <c r="B1646" s="28"/>
      <c r="C1646" s="54"/>
      <c r="D1646" s="46">
        <v>120.0</v>
      </c>
      <c r="E1646" s="54">
        <v>5.0</v>
      </c>
      <c r="F1646" s="1" t="s">
        <v>382</v>
      </c>
      <c r="G1646" s="26"/>
      <c r="H1646" s="46">
        <v>120.0</v>
      </c>
      <c r="I1646" s="54">
        <v>5.0</v>
      </c>
      <c r="J1646" s="28"/>
      <c r="K1646" s="54"/>
      <c r="L1646" s="1" t="s">
        <v>382</v>
      </c>
      <c r="M1646" s="26"/>
      <c r="N1646" s="32"/>
      <c r="O1646" s="26"/>
    </row>
    <row r="1647" ht="14.25" customHeight="1">
      <c r="A1647" s="13"/>
      <c r="B1647" s="33"/>
      <c r="C1647" s="26"/>
      <c r="D1647" s="33"/>
      <c r="E1647" s="26"/>
      <c r="F1647" s="33" t="s">
        <v>152</v>
      </c>
      <c r="G1647" s="26"/>
      <c r="H1647" s="33"/>
      <c r="I1647" s="26"/>
      <c r="J1647" s="33"/>
      <c r="K1647" s="26"/>
      <c r="L1647" s="33" t="s">
        <v>152</v>
      </c>
      <c r="M1647" s="26"/>
      <c r="N1647" s="13"/>
      <c r="O1647" s="24"/>
    </row>
    <row r="1648" ht="14.25" customHeight="1">
      <c r="A1648" s="28" t="s">
        <v>24</v>
      </c>
      <c r="B1648" s="35" t="s">
        <v>25</v>
      </c>
      <c r="C1648" s="36">
        <f>C1643*B1643 + B1644*C1644 + B1645*C1645 + B1646*C1646 + B1647*C1647</f>
        <v>0</v>
      </c>
      <c r="D1648" s="57" t="s">
        <v>25</v>
      </c>
      <c r="E1648" s="55" t="str">
        <f>E1643*D1643 + D1644*#REF! + E1644*E1645 + D1646*E1646 + D1647*E1647</f>
        <v>#REF!</v>
      </c>
      <c r="F1648" s="35" t="s">
        <v>25</v>
      </c>
      <c r="G1648" s="36" t="str">
        <f>G1643*F1643 + F1644*G1644 + F1645*G1645 + F1646*G1646 + F1647*G1647</f>
        <v>#VALUE!</v>
      </c>
      <c r="H1648" s="35" t="s">
        <v>25</v>
      </c>
      <c r="I1648" s="36">
        <f>I1643*H1643 + H1644*I1644 + H1645*I1645 + H1646*I1646 + H1647*I1647</f>
        <v>2225</v>
      </c>
      <c r="J1648" s="35" t="s">
        <v>25</v>
      </c>
      <c r="K1648" s="36">
        <f>K1643*J1643 + J1644*K1644 + J1645*K1645 + J1646*K1646 + J1647*K1647</f>
        <v>0</v>
      </c>
      <c r="L1648" s="35" t="s">
        <v>25</v>
      </c>
      <c r="M1648" s="36" t="str">
        <f>M1643*L1643 + L1644*M1644 + L1645*M1645 + L1646*M1646 + L1647*M1647</f>
        <v>#VALUE!</v>
      </c>
      <c r="N1648" s="35" t="s">
        <v>25</v>
      </c>
      <c r="O1648" s="36">
        <f>O1643*N1643 + N1644*O1644 + N1645*O1645 + N1646*O1646 + N1647*O1647</f>
        <v>0</v>
      </c>
    </row>
    <row r="1649" ht="14.25" customHeight="1">
      <c r="A1649" s="37"/>
      <c r="B1649" s="13" t="s">
        <v>26</v>
      </c>
      <c r="C1649" s="40" t="str">
        <f>(B1643*C1643 + B1644*C1644 + B1645*C1645 + B1646*C1646 + B1647*C1647)/SUM(C1643:C1647)</f>
        <v>#DIV/0!</v>
      </c>
      <c r="D1649" s="31" t="s">
        <v>26</v>
      </c>
      <c r="E1649" s="74" t="str">
        <f>(D1643*E1643 + D1644*#REF! + E1644*E1645 + D1646*E1646 + D1647*E1647)/SUM(E1643:E1647)</f>
        <v>#REF!</v>
      </c>
      <c r="F1649" s="13" t="s">
        <v>26</v>
      </c>
      <c r="G1649" s="40" t="str">
        <f>(F1643*G1643 + F1644*G1644 + F1645*G1645 + F1646*G1646 + F1647*G1647)/SUM(G1643:G1647)</f>
        <v>#VALUE!</v>
      </c>
      <c r="H1649" s="13" t="s">
        <v>26</v>
      </c>
      <c r="I1649" s="40">
        <f>(H1643*I1643 + H1644*I1644 + H1645*I1645 + H1646*I1646 + H1647*I1647)/SUM(I1643:I1647)</f>
        <v>111.25</v>
      </c>
      <c r="J1649" s="13" t="s">
        <v>26</v>
      </c>
      <c r="K1649" s="40" t="str">
        <f>(J1643*K1643 + J1644*K1644 + J1645*K1645 + J1646*K1646 + J1647*K1647)/SUM(K1643:K1647)</f>
        <v>#DIV/0!</v>
      </c>
      <c r="L1649" s="13" t="s">
        <v>26</v>
      </c>
      <c r="M1649" s="40" t="str">
        <f>(L1643*M1643 + L1644*M1644 + L1645*M1645 + L1646*M1646 + L1647*M1647)/SUM(M1643:M1647)</f>
        <v>#VALUE!</v>
      </c>
      <c r="N1649" s="13" t="s">
        <v>26</v>
      </c>
      <c r="O1649" s="40" t="str">
        <f>(N1643*O1643 + N1644*O1644 + N1645*O1645 + N1646*O1646 + N1647*O1647)/SUM(O1643:O1647)</f>
        <v>#DIV/0!</v>
      </c>
    </row>
    <row r="1650" ht="14.25" customHeight="1">
      <c r="A1650" s="28" t="s">
        <v>27</v>
      </c>
      <c r="B1650" s="11" t="s">
        <v>10</v>
      </c>
      <c r="C1650" s="12" t="s">
        <v>11</v>
      </c>
      <c r="D1650" s="11" t="s">
        <v>10</v>
      </c>
      <c r="E1650" s="12" t="s">
        <v>11</v>
      </c>
      <c r="F1650" s="11" t="s">
        <v>10</v>
      </c>
      <c r="G1650" s="12" t="s">
        <v>11</v>
      </c>
      <c r="H1650" s="11" t="s">
        <v>10</v>
      </c>
      <c r="I1650" s="12" t="s">
        <v>11</v>
      </c>
      <c r="J1650" s="11" t="s">
        <v>10</v>
      </c>
      <c r="K1650" s="12" t="s">
        <v>11</v>
      </c>
      <c r="L1650" s="11" t="s">
        <v>10</v>
      </c>
      <c r="M1650" s="12" t="s">
        <v>11</v>
      </c>
      <c r="N1650" s="11" t="s">
        <v>10</v>
      </c>
      <c r="O1650" s="12" t="s">
        <v>11</v>
      </c>
    </row>
    <row r="1651" ht="14.25" customHeight="1">
      <c r="A1651" s="41" t="s">
        <v>28</v>
      </c>
      <c r="B1651" s="20"/>
      <c r="C1651" s="17"/>
      <c r="D1651" s="20" t="s">
        <v>245</v>
      </c>
      <c r="E1651" s="17"/>
      <c r="F1651" s="45" t="s">
        <v>91</v>
      </c>
      <c r="G1651" s="17"/>
      <c r="H1651" s="45" t="s">
        <v>229</v>
      </c>
      <c r="I1651" s="17"/>
      <c r="J1651" s="20"/>
      <c r="K1651" s="17"/>
      <c r="L1651" s="20" t="s">
        <v>393</v>
      </c>
      <c r="M1651" s="76" t="s">
        <v>340</v>
      </c>
      <c r="N1651" s="42"/>
      <c r="O1651" s="44"/>
    </row>
    <row r="1652" ht="14.25" customHeight="1">
      <c r="A1652" s="28"/>
      <c r="B1652" s="46"/>
      <c r="C1652" s="48"/>
      <c r="D1652" s="46">
        <v>40.0</v>
      </c>
      <c r="E1652" s="48">
        <v>5.0</v>
      </c>
      <c r="F1652" s="1">
        <v>30.0</v>
      </c>
      <c r="G1652" s="54"/>
      <c r="H1652" s="1">
        <v>60.0</v>
      </c>
      <c r="I1652" s="48">
        <v>5.0</v>
      </c>
      <c r="J1652" s="46"/>
      <c r="K1652" s="48"/>
      <c r="L1652" s="46">
        <v>60.0</v>
      </c>
      <c r="M1652" s="48"/>
      <c r="N1652" s="46"/>
      <c r="O1652" s="26"/>
    </row>
    <row r="1653" ht="14.25" customHeight="1">
      <c r="A1653" s="28" t="s">
        <v>37</v>
      </c>
      <c r="B1653" s="46"/>
      <c r="C1653" s="48"/>
      <c r="D1653" s="46">
        <v>50.0</v>
      </c>
      <c r="E1653" s="48">
        <v>5.0</v>
      </c>
      <c r="F1653" s="1">
        <v>60.0</v>
      </c>
      <c r="G1653" s="54"/>
      <c r="H1653" s="1">
        <v>70.0</v>
      </c>
      <c r="I1653" s="48">
        <v>5.0</v>
      </c>
      <c r="J1653" s="46"/>
      <c r="K1653" s="48"/>
      <c r="L1653" s="46">
        <v>60.0</v>
      </c>
      <c r="M1653" s="48"/>
      <c r="N1653" s="46"/>
      <c r="O1653" s="26"/>
    </row>
    <row r="1654" ht="14.25" customHeight="1">
      <c r="A1654" s="28" t="s">
        <v>39</v>
      </c>
      <c r="B1654" s="46"/>
      <c r="C1654" s="48"/>
      <c r="D1654" s="46">
        <v>55.0</v>
      </c>
      <c r="E1654" s="48">
        <v>5.0</v>
      </c>
      <c r="F1654" s="1">
        <v>30.0</v>
      </c>
      <c r="G1654" s="54" t="s">
        <v>253</v>
      </c>
      <c r="H1654" s="1">
        <v>80.0</v>
      </c>
      <c r="I1654" s="48">
        <v>5.0</v>
      </c>
      <c r="J1654" s="46"/>
      <c r="K1654" s="48"/>
      <c r="L1654" s="46">
        <v>60.0</v>
      </c>
      <c r="M1654" s="48"/>
      <c r="N1654" s="46"/>
      <c r="O1654" s="26"/>
    </row>
    <row r="1655" ht="14.25" customHeight="1">
      <c r="A1655" s="28"/>
      <c r="B1655" s="46"/>
      <c r="C1655" s="54"/>
      <c r="D1655" s="46">
        <v>55.0</v>
      </c>
      <c r="E1655" s="54">
        <v>5.0</v>
      </c>
      <c r="F1655" s="1">
        <v>60.0</v>
      </c>
      <c r="G1655" s="26"/>
      <c r="H1655" s="1">
        <v>90.0</v>
      </c>
      <c r="I1655" s="54">
        <v>5.0</v>
      </c>
      <c r="J1655" s="46"/>
      <c r="K1655" s="54"/>
      <c r="L1655" s="46">
        <v>60.0</v>
      </c>
      <c r="M1655" s="26"/>
      <c r="N1655" s="46"/>
      <c r="O1655" s="26"/>
    </row>
    <row r="1656" ht="14.25" customHeight="1">
      <c r="A1656" s="28" t="s">
        <v>41</v>
      </c>
      <c r="B1656" s="32"/>
      <c r="C1656" s="24"/>
      <c r="D1656" s="1"/>
      <c r="E1656" s="24"/>
      <c r="F1656" s="1" t="s">
        <v>101</v>
      </c>
      <c r="G1656" s="24"/>
      <c r="H1656" s="1"/>
      <c r="I1656" s="24"/>
      <c r="J1656" s="32"/>
      <c r="K1656" s="24"/>
      <c r="L1656" s="28">
        <v>60.0</v>
      </c>
      <c r="M1656" s="24"/>
      <c r="N1656" s="32"/>
      <c r="O1656" s="24"/>
    </row>
    <row r="1657" ht="14.25" customHeight="1">
      <c r="A1657" s="28" t="s">
        <v>43</v>
      </c>
      <c r="B1657" s="32"/>
      <c r="C1657" s="26"/>
      <c r="D1657" s="28"/>
      <c r="E1657" s="34"/>
      <c r="F1657" s="28" t="s">
        <v>103</v>
      </c>
      <c r="G1657" s="24"/>
      <c r="H1657" s="28"/>
      <c r="I1657" s="24"/>
      <c r="J1657" s="32"/>
      <c r="K1657" s="26"/>
      <c r="L1657" s="32"/>
      <c r="M1657" s="26"/>
      <c r="N1657" s="32"/>
      <c r="O1657" s="26"/>
    </row>
    <row r="1658" ht="14.25" customHeight="1">
      <c r="A1658" s="28"/>
      <c r="B1658" s="35" t="s">
        <v>25</v>
      </c>
      <c r="C1658" s="36">
        <f>C1652*B1652 + B1653*C1653 + B1654*C1654 + B1655*C1655 + B1657*C1657</f>
        <v>0</v>
      </c>
      <c r="D1658" s="35" t="s">
        <v>25</v>
      </c>
      <c r="E1658" s="55">
        <f>E1652*D1652 + D1653*E1653 + D1654*E1654 + D1655*E1655 + D1657*E1657</f>
        <v>1000</v>
      </c>
      <c r="F1658" s="35" t="s">
        <v>25</v>
      </c>
      <c r="G1658" s="36" t="str">
        <f>G1652*F1652 + F1653*G1653 + F1654*G1654 + F1655*G1655 + F1657*G1657</f>
        <v>#VALUE!</v>
      </c>
      <c r="H1658" s="35" t="s">
        <v>25</v>
      </c>
      <c r="I1658" s="36">
        <f>I1652*H1652 + H1653*I1653 + H1654*I1654 + H1655*I1655 + H1657*I1657</f>
        <v>1500</v>
      </c>
      <c r="J1658" s="35" t="s">
        <v>25</v>
      </c>
      <c r="K1658" s="36">
        <f>K1652*J1652 + J1653*K1653 + J1654*K1654 + J1655*K1655 + J1657*K1657</f>
        <v>0</v>
      </c>
      <c r="L1658" s="35" t="s">
        <v>25</v>
      </c>
      <c r="M1658" s="36">
        <f>M1652*L1652 + L1653*M1653 + L1654*M1654 + L1655*M1655 + L1657*M1657</f>
        <v>0</v>
      </c>
      <c r="N1658" s="35" t="s">
        <v>25</v>
      </c>
      <c r="O1658" s="36">
        <f>O1652*N1652 + N1653*O1653 + N1654*O1654 + N1655*O1655 + N1657*O1657</f>
        <v>0</v>
      </c>
    </row>
    <row r="1659" ht="14.25" customHeight="1">
      <c r="A1659" s="28" t="s">
        <v>116</v>
      </c>
      <c r="B1659" s="39" t="s">
        <v>26</v>
      </c>
      <c r="C1659" s="40" t="str">
        <f>(B1653*C1653 + B1654*C1654 + B1655*C1655 + B1656*C1656 + B1657*C1657)/SUM(C1653:C1657)</f>
        <v>#DIV/0!</v>
      </c>
      <c r="D1659" s="39" t="s">
        <v>26</v>
      </c>
      <c r="E1659" s="77">
        <f>(D1652*E1652 + D1653*E1653 + D1654*E1654 + D1655*E1655 + D1657*E1657)/SUM(E1652:E1657)</f>
        <v>50</v>
      </c>
      <c r="F1659" s="39" t="s">
        <v>26</v>
      </c>
      <c r="G1659" s="40" t="str">
        <f>(F1653*G1653 + F1654*G1654 + F1655*G1655 + F1656*G1656 + F1657*G1657)/SUM(G1653:G1657)</f>
        <v>#VALUE!</v>
      </c>
      <c r="H1659" s="39" t="s">
        <v>26</v>
      </c>
      <c r="I1659" s="40">
        <f>(H1652*I1652 + H1653*I1653 + H1654*I1654 + H1655*I1655 + H1657*I1657)/SUM(I1652:I1657)</f>
        <v>75</v>
      </c>
      <c r="J1659" s="39" t="s">
        <v>26</v>
      </c>
      <c r="K1659" s="40" t="str">
        <f>(J1653*K1653 + J1654*K1654 + J1655*K1655 + J1656*K1656 + J1657*K1657)/SUM(K1653:K1657)</f>
        <v>#DIV/0!</v>
      </c>
      <c r="L1659" s="39" t="s">
        <v>26</v>
      </c>
      <c r="M1659" s="40" t="str">
        <f>(L1653*M1653 + L1654*M1654 + L1655*M1655 + L1656*M1656 + L1657*M1657)/SUM(M1653:M1657)</f>
        <v>#DIV/0!</v>
      </c>
      <c r="N1659" s="39" t="s">
        <v>26</v>
      </c>
      <c r="O1659" s="40" t="str">
        <f>(N1653*O1653 + N1654*O1654 + N1655*O1655 + N1656*O1656 + N1657*O1657)/SUM(O1653:O1657)</f>
        <v>#DIV/0!</v>
      </c>
    </row>
    <row r="1660" ht="14.25" customHeight="1">
      <c r="A1660" s="28" t="s">
        <v>117</v>
      </c>
      <c r="B1660" s="49"/>
      <c r="C1660" s="50"/>
      <c r="D1660" s="49" t="s">
        <v>388</v>
      </c>
      <c r="E1660" s="50"/>
      <c r="F1660" s="20"/>
      <c r="G1660" s="17"/>
      <c r="H1660" s="45" t="s">
        <v>91</v>
      </c>
      <c r="I1660" s="17"/>
      <c r="J1660" s="49" t="s">
        <v>33</v>
      </c>
      <c r="K1660" s="50"/>
      <c r="L1660" s="49" t="s">
        <v>388</v>
      </c>
      <c r="M1660" s="50"/>
      <c r="N1660" s="49"/>
      <c r="O1660" s="50" t="s">
        <v>49</v>
      </c>
    </row>
    <row r="1661" ht="14.25" customHeight="1">
      <c r="A1661" s="28" t="s">
        <v>120</v>
      </c>
      <c r="B1661" s="46"/>
      <c r="C1661" s="54"/>
      <c r="D1661" s="46"/>
      <c r="E1661" s="54">
        <v>3.0</v>
      </c>
      <c r="F1661" s="46"/>
      <c r="G1661" s="48"/>
      <c r="H1661" s="1">
        <v>30.0</v>
      </c>
      <c r="I1661" s="54"/>
      <c r="J1661" s="46"/>
      <c r="K1661" s="54"/>
      <c r="L1661" s="46"/>
      <c r="M1661" s="54">
        <v>3.0</v>
      </c>
      <c r="N1661" s="21"/>
      <c r="O1661" s="24"/>
    </row>
    <row r="1662" ht="14.25" customHeight="1">
      <c r="A1662" s="28"/>
      <c r="B1662" s="46"/>
      <c r="C1662" s="54"/>
      <c r="D1662" s="46"/>
      <c r="E1662" s="54">
        <v>3.0</v>
      </c>
      <c r="F1662" s="46"/>
      <c r="G1662" s="48"/>
      <c r="H1662" s="1">
        <v>60.0</v>
      </c>
      <c r="I1662" s="54"/>
      <c r="J1662" s="46"/>
      <c r="K1662" s="54"/>
      <c r="L1662" s="46"/>
      <c r="M1662" s="54">
        <v>3.0</v>
      </c>
      <c r="N1662" s="21"/>
      <c r="O1662" s="26"/>
    </row>
    <row r="1663" ht="14.25" customHeight="1">
      <c r="A1663" s="28"/>
      <c r="B1663" s="46"/>
      <c r="C1663" s="54"/>
      <c r="D1663" s="46"/>
      <c r="E1663" s="54">
        <v>3.0</v>
      </c>
      <c r="F1663" s="46"/>
      <c r="G1663" s="48"/>
      <c r="H1663" s="1">
        <v>30.0</v>
      </c>
      <c r="I1663" s="26"/>
      <c r="J1663" s="46"/>
      <c r="K1663" s="54"/>
      <c r="L1663" s="46"/>
      <c r="M1663" s="54">
        <v>3.0</v>
      </c>
      <c r="N1663" s="46"/>
      <c r="O1663" s="24"/>
    </row>
    <row r="1664" ht="14.25" customHeight="1">
      <c r="A1664" s="28"/>
      <c r="B1664" s="46"/>
      <c r="C1664" s="54"/>
      <c r="D1664" s="46"/>
      <c r="E1664" s="54">
        <v>3.0</v>
      </c>
      <c r="F1664" s="46"/>
      <c r="G1664" s="54"/>
      <c r="H1664" s="1">
        <v>60.0</v>
      </c>
      <c r="I1664" s="26"/>
      <c r="J1664" s="46"/>
      <c r="K1664" s="54"/>
      <c r="L1664" s="46"/>
      <c r="M1664" s="54">
        <v>3.0</v>
      </c>
      <c r="N1664" s="21"/>
      <c r="O1664" s="24"/>
    </row>
    <row r="1665" ht="14.25" customHeight="1">
      <c r="A1665" s="28"/>
      <c r="B1665" s="13"/>
      <c r="C1665" s="34"/>
      <c r="D1665" s="21"/>
      <c r="E1665" s="34"/>
      <c r="F1665" s="13"/>
      <c r="G1665" s="24"/>
      <c r="H1665" s="28"/>
      <c r="I1665" s="34"/>
      <c r="J1665" s="13"/>
      <c r="K1665" s="24"/>
      <c r="L1665" s="31"/>
      <c r="M1665" s="24"/>
      <c r="N1665" s="31"/>
      <c r="O1665" s="24"/>
    </row>
    <row r="1666" ht="14.25" customHeight="1">
      <c r="A1666" s="28"/>
      <c r="B1666" s="35" t="s">
        <v>25</v>
      </c>
      <c r="C1666" s="55">
        <f>C1661*B1661 + B1662*C1662 + B1663*C1663 + B1664*C1664 + B1665*C1665</f>
        <v>0</v>
      </c>
      <c r="D1666" s="35" t="s">
        <v>25</v>
      </c>
      <c r="E1666" s="55">
        <f>E1661*D1661 + D1662*E1662 + D1663*E1663 + D1664*E1664 + D1665*E1665</f>
        <v>0</v>
      </c>
      <c r="F1666" s="35" t="s">
        <v>25</v>
      </c>
      <c r="G1666" s="55">
        <f>G1661*F1661 + F1662*G1662 + F1663*G1663 + F1664*G1664 + F1665*G1665</f>
        <v>0</v>
      </c>
      <c r="H1666" s="35" t="s">
        <v>25</v>
      </c>
      <c r="I1666" s="56">
        <f>I1661*H1661 + H1662*I1662 + H1663*I1663 + H1664*I1664 + H1665*I1665</f>
        <v>0</v>
      </c>
      <c r="J1666" s="35" t="s">
        <v>25</v>
      </c>
      <c r="K1666" s="36">
        <f>K1661*J1661 + J1662*K1662 + J1663*K1663 + J1664*K1664 + J1665*K1665</f>
        <v>0</v>
      </c>
      <c r="L1666" s="57" t="s">
        <v>25</v>
      </c>
      <c r="M1666" s="58">
        <f>M1661*L1661 + L1662*M1662 + L1663*M1663 + L1664*M1664 + L1665*M1665</f>
        <v>0</v>
      </c>
      <c r="N1666" s="57" t="s">
        <v>25</v>
      </c>
      <c r="O1666" s="58">
        <f>O1661*N1661 + N1662*O1662 + N1663*O1663 + N1664*O1664 + N1665*O1665</f>
        <v>0</v>
      </c>
    </row>
    <row r="1667" ht="14.25" customHeight="1">
      <c r="A1667" s="28"/>
      <c r="B1667" s="39" t="s">
        <v>26</v>
      </c>
      <c r="C1667" s="40" t="str">
        <f>(B1661*C1661 + B1662*C1662 + B1663*C1663 + B1664*C1664 + B1665*C1665)/SUM(C1661:C1665)</f>
        <v>#DIV/0!</v>
      </c>
      <c r="D1667" s="59" t="s">
        <v>26</v>
      </c>
      <c r="E1667" s="40">
        <f>(D1661*E1661 + D1662*E1662 + D1663*E1663 + D1664*E1664 + D1665*E1665)/SUM(E1661:E1665)</f>
        <v>0</v>
      </c>
      <c r="F1667" s="39" t="s">
        <v>26</v>
      </c>
      <c r="G1667" s="40" t="str">
        <f>(F1661*G1661 + F1662*G1662 + F1663*G1663 + F1664*G1664 + F1665*G1665)/SUM(G1661:G1665)</f>
        <v>#DIV/0!</v>
      </c>
      <c r="H1667" s="59" t="s">
        <v>26</v>
      </c>
      <c r="I1667" s="40" t="str">
        <f>(H1661*I1661 + H1662*I1662 + H1663*I1663 + H1664*I1664 + H1665*I1665)/SUM(I1661:I1665)</f>
        <v>#DIV/0!</v>
      </c>
      <c r="J1667" s="39" t="s">
        <v>26</v>
      </c>
      <c r="K1667" s="40" t="str">
        <f>(J1661*K1661 + J1662*K1662 + J1663*K1663 + J1664*K1664 + J1665*K1665)/SUM(K1661:K1665)</f>
        <v>#DIV/0!</v>
      </c>
      <c r="L1667" s="59" t="s">
        <v>26</v>
      </c>
      <c r="M1667" s="40">
        <f>(L1661*M1661 + L1662*M1662 + L1663*M1663 + L1664*M1664 + L1665*M1665)/SUM(M1661:M1665)</f>
        <v>0</v>
      </c>
      <c r="N1667" s="59" t="s">
        <v>26</v>
      </c>
      <c r="O1667" s="40" t="str">
        <f>(N1661*O1661 + N1662*O1662 + N1663*O1663 + N1664*O1664 + N1665*O1665)/SUM(O1661:O1665)</f>
        <v>#DIV/0!</v>
      </c>
    </row>
    <row r="1668" ht="14.25" customHeight="1">
      <c r="A1668" s="28"/>
      <c r="B1668" s="28" t="s">
        <v>51</v>
      </c>
      <c r="C1668" s="30" t="s">
        <v>49</v>
      </c>
      <c r="D1668" s="28" t="s">
        <v>51</v>
      </c>
      <c r="E1668" s="30" t="s">
        <v>49</v>
      </c>
      <c r="F1668" s="28" t="s">
        <v>51</v>
      </c>
      <c r="G1668" s="30" t="s">
        <v>49</v>
      </c>
      <c r="H1668" s="28"/>
      <c r="I1668" s="30" t="s">
        <v>49</v>
      </c>
      <c r="J1668" s="28" t="s">
        <v>51</v>
      </c>
      <c r="K1668" s="30" t="s">
        <v>49</v>
      </c>
      <c r="L1668" s="28"/>
      <c r="M1668" s="60" t="s">
        <v>49</v>
      </c>
      <c r="N1668" s="28"/>
      <c r="O1668" s="60" t="s">
        <v>49</v>
      </c>
    </row>
    <row r="1669" ht="14.25" customHeight="1">
      <c r="A1669" s="28"/>
      <c r="B1669" s="27"/>
      <c r="C1669" s="63"/>
      <c r="D1669" s="27" t="s">
        <v>394</v>
      </c>
      <c r="E1669" s="60"/>
      <c r="F1669" s="27"/>
      <c r="G1669" s="63"/>
      <c r="H1669" s="27"/>
      <c r="I1669" s="60"/>
      <c r="J1669" s="27"/>
      <c r="K1669" s="63"/>
      <c r="L1669" s="27"/>
      <c r="M1669" s="60"/>
      <c r="N1669" s="27"/>
      <c r="O1669" s="60"/>
    </row>
    <row r="1670" ht="14.25" customHeight="1">
      <c r="A1670" s="28"/>
      <c r="B1670" s="27"/>
      <c r="C1670" s="60"/>
      <c r="D1670" s="27">
        <v>30.0</v>
      </c>
      <c r="E1670" s="63" t="s">
        <v>386</v>
      </c>
      <c r="F1670" s="28"/>
      <c r="G1670" s="60"/>
      <c r="H1670" s="27"/>
      <c r="I1670" s="60"/>
      <c r="J1670" s="28"/>
      <c r="K1670" s="60"/>
      <c r="L1670" s="27"/>
      <c r="M1670" s="60"/>
      <c r="N1670" s="27"/>
      <c r="O1670" s="60"/>
    </row>
    <row r="1671" ht="14.25" customHeight="1">
      <c r="A1671" s="37"/>
      <c r="B1671" s="28"/>
      <c r="C1671" s="60"/>
      <c r="D1671" s="28">
        <v>40.0</v>
      </c>
      <c r="E1671" s="60"/>
      <c r="F1671" s="28"/>
      <c r="G1671" s="60"/>
      <c r="H1671" s="30"/>
      <c r="I1671" s="60"/>
      <c r="J1671" s="28"/>
      <c r="K1671" s="60"/>
      <c r="L1671" s="1"/>
      <c r="M1671" s="60"/>
      <c r="N1671" s="30"/>
      <c r="O1671" s="60"/>
    </row>
    <row r="1672" ht="14.25" customHeight="1">
      <c r="A1672" s="37"/>
      <c r="B1672" s="28"/>
      <c r="C1672" s="1"/>
      <c r="D1672" s="28">
        <v>30.0</v>
      </c>
      <c r="E1672" s="1" t="s">
        <v>389</v>
      </c>
      <c r="F1672" s="28"/>
      <c r="G1672" s="63"/>
      <c r="H1672" s="30"/>
      <c r="I1672" s="30"/>
      <c r="J1672" s="28"/>
      <c r="K1672" s="60"/>
      <c r="L1672" s="30"/>
      <c r="M1672" s="60"/>
      <c r="N1672" s="30"/>
      <c r="O1672" s="60"/>
    </row>
    <row r="1673" ht="14.25" customHeight="1">
      <c r="A1673" s="37"/>
      <c r="B1673" s="28"/>
      <c r="C1673" s="1"/>
      <c r="D1673" s="28">
        <v>60.0</v>
      </c>
      <c r="E1673" s="1"/>
      <c r="F1673" s="28"/>
      <c r="G1673" s="60"/>
      <c r="H1673" s="28"/>
      <c r="I1673" s="30"/>
      <c r="J1673" s="28"/>
      <c r="K1673" s="60"/>
      <c r="L1673" s="30"/>
      <c r="M1673" s="60"/>
      <c r="N1673" s="30"/>
      <c r="O1673" s="60"/>
    </row>
    <row r="1674" ht="14.25" customHeight="1">
      <c r="A1674" s="37"/>
      <c r="B1674" s="28"/>
      <c r="C1674" s="1"/>
      <c r="D1674" s="28">
        <v>40.0</v>
      </c>
      <c r="E1674" s="1" t="s">
        <v>220</v>
      </c>
      <c r="F1674" s="28"/>
      <c r="G1674" s="60"/>
      <c r="H1674" s="30"/>
      <c r="I1674" s="30"/>
      <c r="J1674" s="37"/>
      <c r="K1674" s="60"/>
      <c r="L1674" s="30"/>
      <c r="M1674" s="60"/>
      <c r="N1674" s="30"/>
      <c r="O1674" s="60"/>
    </row>
    <row r="1675" ht="14.25" customHeight="1">
      <c r="A1675" s="64"/>
      <c r="B1675" s="65"/>
      <c r="C1675" s="66"/>
      <c r="D1675" s="65">
        <v>30.0</v>
      </c>
      <c r="E1675" s="66"/>
      <c r="F1675" s="64"/>
      <c r="G1675" s="67"/>
      <c r="H1675" s="66"/>
      <c r="I1675" s="66"/>
      <c r="J1675" s="64"/>
      <c r="K1675" s="67"/>
      <c r="L1675" s="66"/>
      <c r="M1675" s="67"/>
      <c r="N1675" s="66"/>
      <c r="O1675" s="67"/>
    </row>
    <row r="1676" ht="14.25" customHeight="1">
      <c r="A1676" s="30"/>
      <c r="B1676" s="1"/>
      <c r="C1676" s="30"/>
      <c r="D1676" s="1"/>
      <c r="E1676" s="30"/>
      <c r="F1676" s="30"/>
      <c r="G1676" s="30"/>
      <c r="H1676" s="30"/>
      <c r="I1676" s="30"/>
      <c r="J1676" s="30"/>
      <c r="K1676" s="30"/>
      <c r="L1676" s="30"/>
      <c r="M1676" s="30"/>
      <c r="N1676" s="30"/>
      <c r="O1676" s="30"/>
    </row>
    <row r="1677" ht="14.25" customHeight="1">
      <c r="A1677" s="2" t="s">
        <v>2</v>
      </c>
      <c r="B1677" s="3" t="s">
        <v>3</v>
      </c>
      <c r="C1677" s="4">
        <f>M1639+2</f>
        <v>45670</v>
      </c>
      <c r="D1677" s="5" t="s">
        <v>4</v>
      </c>
      <c r="E1677" s="6">
        <f>C1677+1</f>
        <v>45671</v>
      </c>
      <c r="F1677" s="3" t="s">
        <v>5</v>
      </c>
      <c r="G1677" s="6">
        <f>E1677+1</f>
        <v>45672</v>
      </c>
      <c r="H1677" s="3" t="s">
        <v>6</v>
      </c>
      <c r="I1677" s="6">
        <f>G1677+1</f>
        <v>45673</v>
      </c>
      <c r="J1677" s="3" t="s">
        <v>7</v>
      </c>
      <c r="K1677" s="6">
        <f>I1677+1</f>
        <v>45674</v>
      </c>
      <c r="L1677" s="7" t="s">
        <v>8</v>
      </c>
      <c r="M1677" s="8">
        <f>K1677+1</f>
        <v>45675</v>
      </c>
      <c r="N1677" s="9" t="s">
        <v>9</v>
      </c>
      <c r="O1677" s="8">
        <f>M1677+1</f>
        <v>45676</v>
      </c>
    </row>
    <row r="1678" ht="14.25" customHeight="1">
      <c r="A1678" s="10">
        <f>A1640+1</f>
        <v>46</v>
      </c>
      <c r="B1678" s="11" t="s">
        <v>10</v>
      </c>
      <c r="C1678" s="12" t="s">
        <v>11</v>
      </c>
      <c r="D1678" s="11" t="s">
        <v>10</v>
      </c>
      <c r="E1678" s="12" t="s">
        <v>11</v>
      </c>
      <c r="F1678" s="11" t="s">
        <v>10</v>
      </c>
      <c r="G1678" s="12" t="s">
        <v>11</v>
      </c>
      <c r="H1678" s="11" t="s">
        <v>10</v>
      </c>
      <c r="I1678" s="12" t="s">
        <v>11</v>
      </c>
      <c r="J1678" s="11" t="s">
        <v>10</v>
      </c>
      <c r="K1678" s="12" t="s">
        <v>11</v>
      </c>
      <c r="L1678" s="11" t="s">
        <v>10</v>
      </c>
      <c r="M1678" s="12" t="s">
        <v>11</v>
      </c>
      <c r="N1678" s="11" t="s">
        <v>10</v>
      </c>
      <c r="O1678" s="12" t="s">
        <v>11</v>
      </c>
    </row>
    <row r="1679" ht="14.25" customHeight="1">
      <c r="A1679" s="13"/>
      <c r="B1679" s="14" t="s">
        <v>352</v>
      </c>
      <c r="C1679" s="15"/>
      <c r="D1679" s="14"/>
      <c r="E1679" s="15"/>
      <c r="F1679" s="14" t="s">
        <v>395</v>
      </c>
      <c r="G1679" s="15"/>
      <c r="H1679" s="14"/>
      <c r="I1679" s="15"/>
      <c r="J1679" s="14" t="s">
        <v>278</v>
      </c>
      <c r="K1679" s="15"/>
      <c r="L1679" s="14"/>
      <c r="M1679" s="15"/>
      <c r="N1679" s="14" t="s">
        <v>352</v>
      </c>
      <c r="O1679" s="15"/>
    </row>
    <row r="1680" ht="14.25" customHeight="1">
      <c r="A1680" s="13" t="s">
        <v>12</v>
      </c>
      <c r="B1680" s="20"/>
      <c r="C1680" s="17"/>
      <c r="D1680" s="20" t="s">
        <v>396</v>
      </c>
      <c r="E1680" s="17"/>
      <c r="F1680" s="45" t="s">
        <v>397</v>
      </c>
      <c r="G1680" s="17"/>
      <c r="H1680" s="45" t="s">
        <v>143</v>
      </c>
      <c r="I1680" s="17"/>
      <c r="J1680" s="20"/>
      <c r="K1680" s="17"/>
      <c r="L1680" s="18" t="s">
        <v>14</v>
      </c>
      <c r="M1680" s="17"/>
      <c r="N1680" s="20"/>
      <c r="O1680" s="17"/>
    </row>
    <row r="1681" ht="14.25" customHeight="1">
      <c r="A1681" s="13"/>
      <c r="B1681" s="46"/>
      <c r="C1681" s="48"/>
      <c r="D1681" s="46">
        <v>100.0</v>
      </c>
      <c r="E1681" s="48">
        <v>5.0</v>
      </c>
      <c r="F1681" s="1" t="s">
        <v>398</v>
      </c>
      <c r="G1681" s="24"/>
      <c r="H1681" s="1">
        <v>70.0</v>
      </c>
      <c r="I1681" s="48">
        <v>5.0</v>
      </c>
      <c r="J1681" s="46"/>
      <c r="K1681" s="48"/>
      <c r="L1681" s="1" t="s">
        <v>132</v>
      </c>
      <c r="M1681" s="26" t="s">
        <v>84</v>
      </c>
      <c r="N1681" s="27"/>
      <c r="O1681" s="24"/>
    </row>
    <row r="1682" ht="14.25" customHeight="1">
      <c r="A1682" s="28" t="s">
        <v>20</v>
      </c>
      <c r="B1682" s="46"/>
      <c r="C1682" s="48"/>
      <c r="D1682" s="46">
        <v>110.0</v>
      </c>
      <c r="E1682" s="48">
        <v>4.0</v>
      </c>
      <c r="F1682" s="1" t="s">
        <v>399</v>
      </c>
      <c r="G1682" s="26"/>
      <c r="H1682" s="1">
        <v>80.0</v>
      </c>
      <c r="I1682" s="48">
        <v>5.0</v>
      </c>
      <c r="J1682" s="46"/>
      <c r="K1682" s="48"/>
      <c r="L1682" s="1" t="s">
        <v>382</v>
      </c>
      <c r="M1682" s="26"/>
      <c r="N1682" s="28"/>
      <c r="O1682" s="24"/>
    </row>
    <row r="1683" ht="14.25" customHeight="1">
      <c r="A1683" s="29" t="s">
        <v>22</v>
      </c>
      <c r="B1683" s="46"/>
      <c r="C1683" s="48"/>
      <c r="D1683" s="46">
        <v>120.0</v>
      </c>
      <c r="E1683" s="48">
        <v>4.0</v>
      </c>
      <c r="F1683" s="1" t="s">
        <v>400</v>
      </c>
      <c r="G1683" s="26"/>
      <c r="H1683" s="1">
        <v>80.0</v>
      </c>
      <c r="I1683" s="48">
        <v>5.0</v>
      </c>
      <c r="J1683" s="46"/>
      <c r="K1683" s="48"/>
      <c r="L1683" s="33" t="s">
        <v>152</v>
      </c>
      <c r="M1683" s="26"/>
      <c r="N1683" s="23"/>
      <c r="O1683" s="24"/>
    </row>
    <row r="1684" ht="14.25" customHeight="1">
      <c r="A1684" s="28" t="s">
        <v>23</v>
      </c>
      <c r="B1684" s="28"/>
      <c r="C1684" s="54"/>
      <c r="D1684" s="46"/>
      <c r="E1684" s="54"/>
      <c r="F1684" s="1" t="s">
        <v>401</v>
      </c>
      <c r="G1684" s="26"/>
      <c r="H1684" s="1"/>
      <c r="I1684" s="54"/>
      <c r="J1684" s="28"/>
      <c r="K1684" s="54"/>
      <c r="L1684" s="1"/>
      <c r="M1684" s="26"/>
      <c r="N1684" s="32"/>
      <c r="O1684" s="26"/>
    </row>
    <row r="1685" ht="14.25" customHeight="1">
      <c r="A1685" s="13"/>
      <c r="B1685" s="33"/>
      <c r="C1685" s="26"/>
      <c r="D1685" s="33"/>
      <c r="E1685" s="26"/>
      <c r="F1685" s="33"/>
      <c r="G1685" s="26"/>
      <c r="H1685" s="33"/>
      <c r="I1685" s="26"/>
      <c r="J1685" s="33"/>
      <c r="K1685" s="26"/>
      <c r="L1685" s="33"/>
      <c r="M1685" s="26"/>
      <c r="N1685" s="13"/>
      <c r="O1685" s="24"/>
    </row>
    <row r="1686" ht="14.25" customHeight="1">
      <c r="A1686" s="28" t="s">
        <v>24</v>
      </c>
      <c r="B1686" s="35" t="s">
        <v>25</v>
      </c>
      <c r="C1686" s="36">
        <f>C1681*B1681 + B1682*C1682 + B1683*C1683 + B1684*C1684 + B1685*C1685</f>
        <v>0</v>
      </c>
      <c r="D1686" s="57" t="s">
        <v>25</v>
      </c>
      <c r="E1686" s="55" t="str">
        <f>E1681*D1681 + D1682*#REF! + E1682*E1683 + D1684*E1684 + D1685*E1685</f>
        <v>#REF!</v>
      </c>
      <c r="F1686" s="35" t="s">
        <v>25</v>
      </c>
      <c r="G1686" s="36" t="str">
        <f>G1681*F1681 + F1682*G1682 + F1683*G1683 + F1684*G1684 + F1685*G1685</f>
        <v>#VALUE!</v>
      </c>
      <c r="H1686" s="35" t="s">
        <v>25</v>
      </c>
      <c r="I1686" s="36">
        <f>I1681*H1681 + H1682*I1682 + H1683*I1683 + H1684*I1684 + H1685*I1685</f>
        <v>1150</v>
      </c>
      <c r="J1686" s="35" t="s">
        <v>25</v>
      </c>
      <c r="K1686" s="36">
        <f>K1681*J1681 + J1682*K1682 + J1683*K1683 + J1684*K1684 + J1685*K1685</f>
        <v>0</v>
      </c>
      <c r="L1686" s="35" t="s">
        <v>25</v>
      </c>
      <c r="M1686" s="36" t="str">
        <f>M1681*L1681 + L1682*M1682 + L1683*M1683 + L1684*M1684 + L1685*M1685</f>
        <v>#VALUE!</v>
      </c>
      <c r="N1686" s="35" t="s">
        <v>25</v>
      </c>
      <c r="O1686" s="36">
        <f>O1681*N1681 + N1682*O1682 + N1683*O1683 + N1684*O1684 + N1685*O1685</f>
        <v>0</v>
      </c>
    </row>
    <row r="1687" ht="14.25" customHeight="1">
      <c r="A1687" s="37"/>
      <c r="B1687" s="13" t="s">
        <v>26</v>
      </c>
      <c r="C1687" s="40" t="str">
        <f>(B1681*C1681 + B1682*C1682 + B1683*C1683 + B1684*C1684 + B1685*C1685)/SUM(C1681:C1685)</f>
        <v>#DIV/0!</v>
      </c>
      <c r="D1687" s="31" t="s">
        <v>26</v>
      </c>
      <c r="E1687" s="74" t="str">
        <f>(D1681*E1681 + D1682*#REF! + E1682*E1683 + D1684*E1684 + D1685*E1685)/SUM(E1681:E1685)</f>
        <v>#REF!</v>
      </c>
      <c r="F1687" s="13" t="s">
        <v>26</v>
      </c>
      <c r="G1687" s="40" t="str">
        <f>(F1681*G1681 + F1682*G1682 + F1683*G1683 + F1684*G1684 + F1685*G1685)/SUM(G1681:G1685)</f>
        <v>#VALUE!</v>
      </c>
      <c r="H1687" s="13" t="s">
        <v>26</v>
      </c>
      <c r="I1687" s="40">
        <f>(H1681*I1681 + H1682*I1682 + H1683*I1683 + H1684*I1684 + H1685*I1685)/SUM(I1681:I1685)</f>
        <v>76.66666667</v>
      </c>
      <c r="J1687" s="13" t="s">
        <v>26</v>
      </c>
      <c r="K1687" s="40" t="str">
        <f>(J1681*K1681 + J1682*K1682 + J1683*K1683 + J1684*K1684 + J1685*K1685)/SUM(K1681:K1685)</f>
        <v>#DIV/0!</v>
      </c>
      <c r="L1687" s="13" t="s">
        <v>26</v>
      </c>
      <c r="M1687" s="40" t="str">
        <f>(L1681*M1681 + L1682*M1682 + L1683*M1683 + L1684*M1684 + L1685*M1685)/SUM(M1681:M1685)</f>
        <v>#VALUE!</v>
      </c>
      <c r="N1687" s="13" t="s">
        <v>26</v>
      </c>
      <c r="O1687" s="40" t="str">
        <f>(N1681*O1681 + N1682*O1682 + N1683*O1683 + N1684*O1684 + N1685*O1685)/SUM(O1681:O1685)</f>
        <v>#DIV/0!</v>
      </c>
    </row>
    <row r="1688" ht="14.25" customHeight="1">
      <c r="A1688" s="28" t="s">
        <v>27</v>
      </c>
      <c r="B1688" s="11" t="s">
        <v>10</v>
      </c>
      <c r="C1688" s="12" t="s">
        <v>11</v>
      </c>
      <c r="D1688" s="11" t="s">
        <v>10</v>
      </c>
      <c r="E1688" s="12" t="s">
        <v>11</v>
      </c>
      <c r="F1688" s="11" t="s">
        <v>10</v>
      </c>
      <c r="G1688" s="12" t="s">
        <v>11</v>
      </c>
      <c r="H1688" s="11" t="s">
        <v>10</v>
      </c>
      <c r="I1688" s="12" t="s">
        <v>11</v>
      </c>
      <c r="J1688" s="11" t="s">
        <v>10</v>
      </c>
      <c r="K1688" s="12" t="s">
        <v>11</v>
      </c>
      <c r="L1688" s="11" t="s">
        <v>10</v>
      </c>
      <c r="M1688" s="12" t="s">
        <v>11</v>
      </c>
      <c r="N1688" s="11" t="s">
        <v>10</v>
      </c>
      <c r="O1688" s="12" t="s">
        <v>11</v>
      </c>
    </row>
    <row r="1689" ht="14.25" customHeight="1">
      <c r="A1689" s="41" t="s">
        <v>28</v>
      </c>
      <c r="B1689" s="70" t="s">
        <v>402</v>
      </c>
      <c r="C1689" s="17"/>
      <c r="D1689" s="20" t="s">
        <v>403</v>
      </c>
      <c r="E1689" s="17"/>
      <c r="F1689" s="45" t="s">
        <v>91</v>
      </c>
      <c r="G1689" s="17"/>
      <c r="H1689" s="20" t="s">
        <v>403</v>
      </c>
      <c r="I1689" s="17"/>
      <c r="J1689" s="20"/>
      <c r="K1689" s="17"/>
      <c r="L1689" s="20" t="s">
        <v>91</v>
      </c>
      <c r="M1689" s="76" t="s">
        <v>340</v>
      </c>
      <c r="N1689" s="42"/>
      <c r="O1689" s="44"/>
    </row>
    <row r="1690" ht="14.25" customHeight="1">
      <c r="A1690" s="28"/>
      <c r="B1690" s="46" t="s">
        <v>404</v>
      </c>
      <c r="C1690" s="48"/>
      <c r="D1690" s="46">
        <v>130.0</v>
      </c>
      <c r="E1690" s="48">
        <v>5.0</v>
      </c>
      <c r="F1690" s="1">
        <v>30.0</v>
      </c>
      <c r="G1690" s="54"/>
      <c r="H1690" s="46">
        <v>140.0</v>
      </c>
      <c r="I1690" s="48">
        <v>5.0</v>
      </c>
      <c r="J1690" s="46"/>
      <c r="K1690" s="48"/>
      <c r="L1690" s="46">
        <v>60.0</v>
      </c>
      <c r="M1690" s="48"/>
      <c r="N1690" s="46"/>
      <c r="O1690" s="26"/>
    </row>
    <row r="1691" ht="14.25" customHeight="1">
      <c r="A1691" s="28" t="s">
        <v>37</v>
      </c>
      <c r="B1691" s="28" t="s">
        <v>129</v>
      </c>
      <c r="C1691" s="24" t="s">
        <v>77</v>
      </c>
      <c r="D1691" s="46">
        <v>140.0</v>
      </c>
      <c r="E1691" s="48">
        <v>5.0</v>
      </c>
      <c r="F1691" s="1">
        <v>60.0</v>
      </c>
      <c r="G1691" s="54"/>
      <c r="H1691" s="46">
        <v>150.0</v>
      </c>
      <c r="I1691" s="48">
        <v>5.0</v>
      </c>
      <c r="J1691" s="46"/>
      <c r="K1691" s="48"/>
      <c r="L1691" s="46">
        <v>60.0</v>
      </c>
      <c r="M1691" s="48"/>
      <c r="N1691" s="46"/>
      <c r="O1691" s="26"/>
    </row>
    <row r="1692" ht="14.25" customHeight="1">
      <c r="A1692" s="28" t="s">
        <v>39</v>
      </c>
      <c r="B1692" s="28" t="s">
        <v>132</v>
      </c>
      <c r="C1692" s="26" t="s">
        <v>84</v>
      </c>
      <c r="D1692" s="46">
        <v>150.0</v>
      </c>
      <c r="E1692" s="48">
        <v>5.0</v>
      </c>
      <c r="F1692" s="1">
        <v>30.0</v>
      </c>
      <c r="G1692" s="54" t="s">
        <v>253</v>
      </c>
      <c r="H1692" s="46">
        <v>160.0</v>
      </c>
      <c r="I1692" s="48">
        <v>5.0</v>
      </c>
      <c r="J1692" s="46"/>
      <c r="K1692" s="48"/>
      <c r="L1692" s="46">
        <v>60.0</v>
      </c>
      <c r="M1692" s="48"/>
      <c r="N1692" s="46"/>
      <c r="O1692" s="26"/>
    </row>
    <row r="1693" ht="14.25" customHeight="1">
      <c r="A1693" s="28"/>
      <c r="B1693" s="28" t="s">
        <v>405</v>
      </c>
      <c r="C1693" s="26"/>
      <c r="D1693" s="46">
        <v>160.0</v>
      </c>
      <c r="E1693" s="54">
        <v>5.0</v>
      </c>
      <c r="F1693" s="1">
        <v>60.0</v>
      </c>
      <c r="G1693" s="26"/>
      <c r="H1693" s="1">
        <v>170.0</v>
      </c>
      <c r="I1693" s="54">
        <v>5.0</v>
      </c>
      <c r="J1693" s="46"/>
      <c r="K1693" s="54"/>
      <c r="L1693" s="46">
        <v>60.0</v>
      </c>
      <c r="M1693" s="26"/>
      <c r="N1693" s="46"/>
      <c r="O1693" s="26"/>
    </row>
    <row r="1694" ht="14.25" customHeight="1">
      <c r="A1694" s="28" t="s">
        <v>41</v>
      </c>
      <c r="B1694" s="28" t="s">
        <v>406</v>
      </c>
      <c r="C1694" s="24"/>
      <c r="D1694" s="1"/>
      <c r="E1694" s="24"/>
      <c r="F1694" s="1" t="s">
        <v>101</v>
      </c>
      <c r="G1694" s="54" t="s">
        <v>407</v>
      </c>
      <c r="H1694" s="1"/>
      <c r="I1694" s="24"/>
      <c r="J1694" s="32"/>
      <c r="K1694" s="24"/>
      <c r="L1694" s="28">
        <v>60.0</v>
      </c>
      <c r="M1694" s="24"/>
      <c r="N1694" s="32"/>
      <c r="O1694" s="24"/>
    </row>
    <row r="1695" ht="14.25" customHeight="1">
      <c r="A1695" s="28" t="s">
        <v>43</v>
      </c>
      <c r="B1695" s="32"/>
      <c r="C1695" s="26"/>
      <c r="D1695" s="28"/>
      <c r="E1695" s="34"/>
      <c r="F1695" s="28" t="s">
        <v>103</v>
      </c>
      <c r="G1695" s="54" t="s">
        <v>408</v>
      </c>
      <c r="H1695" s="28"/>
      <c r="I1695" s="24"/>
      <c r="J1695" s="32"/>
      <c r="K1695" s="26"/>
      <c r="L1695" s="32"/>
      <c r="M1695" s="26"/>
      <c r="N1695" s="32"/>
      <c r="O1695" s="26"/>
    </row>
    <row r="1696" ht="14.25" customHeight="1">
      <c r="A1696" s="28"/>
      <c r="B1696" s="35" t="s">
        <v>25</v>
      </c>
      <c r="C1696" s="36" t="str">
        <f>C1690*B1690 + B1691*C1691 + B1692*C1692 + B1693*C1693 + B1695*C1695</f>
        <v>#VALUE!</v>
      </c>
      <c r="D1696" s="35" t="s">
        <v>25</v>
      </c>
      <c r="E1696" s="55">
        <f>E1690*D1690 + D1691*E1691 + D1692*E1692 + D1693*E1693 + D1695*E1695</f>
        <v>2900</v>
      </c>
      <c r="F1696" s="35" t="s">
        <v>25</v>
      </c>
      <c r="G1696" s="36" t="str">
        <f>G1690*F1690 + F1691*G1691 + F1692*G1692 + F1693*G1693 + F1695*G1695</f>
        <v>#VALUE!</v>
      </c>
      <c r="H1696" s="35" t="s">
        <v>25</v>
      </c>
      <c r="I1696" s="36">
        <f>I1690*H1690 + H1691*I1691 + H1692*I1692 + H1693*I1693 + H1695*I1695</f>
        <v>3100</v>
      </c>
      <c r="J1696" s="35" t="s">
        <v>25</v>
      </c>
      <c r="K1696" s="36">
        <f>K1690*J1690 + J1691*K1691 + J1692*K1692 + J1693*K1693 + J1695*K1695</f>
        <v>0</v>
      </c>
      <c r="L1696" s="35" t="s">
        <v>25</v>
      </c>
      <c r="M1696" s="36">
        <f>M1690*L1690 + L1691*M1691 + L1692*M1692 + L1693*M1693 + L1695*M1695</f>
        <v>0</v>
      </c>
      <c r="N1696" s="35" t="s">
        <v>25</v>
      </c>
      <c r="O1696" s="36">
        <f>O1690*N1690 + N1691*O1691 + N1692*O1692 + N1693*O1693 + N1695*O1695</f>
        <v>0</v>
      </c>
    </row>
    <row r="1697" ht="14.25" customHeight="1">
      <c r="A1697" s="28" t="s">
        <v>116</v>
      </c>
      <c r="B1697" s="39" t="s">
        <v>26</v>
      </c>
      <c r="C1697" s="40" t="str">
        <f>(B1691*C1691 + B1692*C1692 + B1693*C1693 + B1694*C1694 + B1695*C1695)/SUM(C1691:C1695)</f>
        <v>#VALUE!</v>
      </c>
      <c r="D1697" s="39" t="s">
        <v>26</v>
      </c>
      <c r="E1697" s="77">
        <f>(D1690*E1690 + D1691*E1691 + D1692*E1692 + D1693*E1693 + D1695*E1695)/SUM(E1690:E1695)</f>
        <v>145</v>
      </c>
      <c r="F1697" s="39" t="s">
        <v>26</v>
      </c>
      <c r="G1697" s="40" t="str">
        <f>(F1691*G1691 + F1692*G1692 + F1693*G1693 + F1694*G1694 + F1695*G1695)/SUM(G1691:G1695)</f>
        <v>#VALUE!</v>
      </c>
      <c r="H1697" s="39" t="s">
        <v>26</v>
      </c>
      <c r="I1697" s="40">
        <f>(H1690*I1690 + H1691*I1691 + H1692*I1692 + H1693*I1693 + H1695*I1695)/SUM(I1690:I1695)</f>
        <v>155</v>
      </c>
      <c r="J1697" s="39" t="s">
        <v>26</v>
      </c>
      <c r="K1697" s="40" t="str">
        <f>(J1691*K1691 + J1692*K1692 + J1693*K1693 + J1694*K1694 + J1695*K1695)/SUM(K1691:K1695)</f>
        <v>#DIV/0!</v>
      </c>
      <c r="L1697" s="39" t="s">
        <v>26</v>
      </c>
      <c r="M1697" s="40" t="str">
        <f>(L1691*M1691 + L1692*M1692 + L1693*M1693 + L1694*M1694 + L1695*M1695)/SUM(M1691:M1695)</f>
        <v>#DIV/0!</v>
      </c>
      <c r="N1697" s="39" t="s">
        <v>26</v>
      </c>
      <c r="O1697" s="40" t="str">
        <f>(N1691*O1691 + N1692*O1692 + N1693*O1693 + N1694*O1694 + N1695*O1695)/SUM(O1691:O1695)</f>
        <v>#DIV/0!</v>
      </c>
    </row>
    <row r="1698" ht="14.25" customHeight="1">
      <c r="A1698" s="28" t="s">
        <v>117</v>
      </c>
      <c r="B1698" s="49" t="s">
        <v>393</v>
      </c>
      <c r="C1698" s="50"/>
      <c r="D1698" s="49" t="s">
        <v>388</v>
      </c>
      <c r="E1698" s="50"/>
      <c r="F1698" s="20"/>
      <c r="G1698" s="17"/>
      <c r="H1698" s="45" t="s">
        <v>91</v>
      </c>
      <c r="I1698" s="17"/>
      <c r="J1698" s="49" t="s">
        <v>33</v>
      </c>
      <c r="K1698" s="50"/>
      <c r="L1698" s="49" t="s">
        <v>409</v>
      </c>
      <c r="M1698" s="50"/>
      <c r="N1698" s="49"/>
      <c r="O1698" s="50" t="s">
        <v>49</v>
      </c>
    </row>
    <row r="1699" ht="14.25" customHeight="1">
      <c r="A1699" s="28" t="s">
        <v>120</v>
      </c>
      <c r="B1699" s="46" t="s">
        <v>410</v>
      </c>
      <c r="C1699" s="54"/>
      <c r="D1699" s="46"/>
      <c r="E1699" s="54">
        <v>3.0</v>
      </c>
      <c r="F1699" s="46"/>
      <c r="G1699" s="48"/>
      <c r="H1699" s="1">
        <v>30.0</v>
      </c>
      <c r="I1699" s="54"/>
      <c r="J1699" s="46"/>
      <c r="K1699" s="54"/>
      <c r="L1699" s="46" t="s">
        <v>411</v>
      </c>
      <c r="M1699" s="54"/>
      <c r="N1699" s="21"/>
      <c r="O1699" s="24"/>
    </row>
    <row r="1700" ht="14.25" customHeight="1">
      <c r="A1700" s="28"/>
      <c r="B1700" s="46">
        <v>60.0</v>
      </c>
      <c r="C1700" s="54"/>
      <c r="D1700" s="46"/>
      <c r="E1700" s="54">
        <v>3.0</v>
      </c>
      <c r="F1700" s="46"/>
      <c r="G1700" s="48"/>
      <c r="H1700" s="1">
        <v>60.0</v>
      </c>
      <c r="I1700" s="54"/>
      <c r="J1700" s="46"/>
      <c r="K1700" s="54"/>
      <c r="L1700" s="46" t="s">
        <v>412</v>
      </c>
      <c r="M1700" s="54"/>
      <c r="N1700" s="21"/>
      <c r="O1700" s="26"/>
    </row>
    <row r="1701" ht="14.25" customHeight="1">
      <c r="A1701" s="28"/>
      <c r="B1701" s="46">
        <v>60.0</v>
      </c>
      <c r="C1701" s="54"/>
      <c r="D1701" s="46"/>
      <c r="E1701" s="54">
        <v>3.0</v>
      </c>
      <c r="F1701" s="46"/>
      <c r="G1701" s="48"/>
      <c r="H1701" s="1">
        <v>30.0</v>
      </c>
      <c r="I1701" s="26"/>
      <c r="J1701" s="46"/>
      <c r="K1701" s="54"/>
      <c r="L1701" s="46"/>
      <c r="M1701" s="54"/>
      <c r="N1701" s="46"/>
      <c r="O1701" s="24"/>
    </row>
    <row r="1702" ht="14.25" customHeight="1">
      <c r="A1702" s="28"/>
      <c r="B1702" s="46">
        <v>60.0</v>
      </c>
      <c r="C1702" s="54"/>
      <c r="D1702" s="46"/>
      <c r="E1702" s="54">
        <v>3.0</v>
      </c>
      <c r="F1702" s="46"/>
      <c r="G1702" s="54"/>
      <c r="H1702" s="1">
        <v>60.0</v>
      </c>
      <c r="I1702" s="26"/>
      <c r="J1702" s="46"/>
      <c r="K1702" s="54"/>
      <c r="L1702" s="46"/>
      <c r="M1702" s="54"/>
      <c r="N1702" s="21"/>
      <c r="O1702" s="24"/>
    </row>
    <row r="1703" ht="14.25" customHeight="1">
      <c r="A1703" s="28"/>
      <c r="B1703" s="28">
        <v>60.0</v>
      </c>
      <c r="C1703" s="34"/>
      <c r="D1703" s="21"/>
      <c r="E1703" s="34"/>
      <c r="F1703" s="13"/>
      <c r="G1703" s="24"/>
      <c r="H1703" s="28"/>
      <c r="I1703" s="34"/>
      <c r="J1703" s="13"/>
      <c r="K1703" s="24"/>
      <c r="L1703" s="31"/>
      <c r="M1703" s="24"/>
      <c r="N1703" s="31"/>
      <c r="O1703" s="24"/>
    </row>
    <row r="1704" ht="14.25" customHeight="1">
      <c r="A1704" s="28"/>
      <c r="B1704" s="35" t="s">
        <v>25</v>
      </c>
      <c r="C1704" s="55" t="str">
        <f>C1699*B1699 + B1700*C1700 + B1701*C1701 + B1702*C1702 + B1703*C1703</f>
        <v>#VALUE!</v>
      </c>
      <c r="D1704" s="35" t="s">
        <v>25</v>
      </c>
      <c r="E1704" s="55">
        <f>E1699*D1699 + D1700*E1700 + D1701*E1701 + D1702*E1702 + D1703*E1703</f>
        <v>0</v>
      </c>
      <c r="F1704" s="35" t="s">
        <v>25</v>
      </c>
      <c r="G1704" s="55">
        <f>G1699*F1699 + F1700*G1700 + F1701*G1701 + F1702*G1702 + F1703*G1703</f>
        <v>0</v>
      </c>
      <c r="H1704" s="35" t="s">
        <v>25</v>
      </c>
      <c r="I1704" s="56">
        <f>I1699*H1699 + H1700*I1700 + H1701*I1701 + H1702*I1702 + H1703*I1703</f>
        <v>0</v>
      </c>
      <c r="J1704" s="35" t="s">
        <v>25</v>
      </c>
      <c r="K1704" s="36">
        <f>K1699*J1699 + J1700*K1700 + J1701*K1701 + J1702*K1702 + J1703*K1703</f>
        <v>0</v>
      </c>
      <c r="L1704" s="57" t="s">
        <v>25</v>
      </c>
      <c r="M1704" s="58" t="str">
        <f>M1699*L1699 + L1700*M1700 + L1701*M1701 + L1702*M1702 + L1703*M1703</f>
        <v>#VALUE!</v>
      </c>
      <c r="N1704" s="57" t="s">
        <v>25</v>
      </c>
      <c r="O1704" s="58">
        <f>O1699*N1699 + N1700*O1700 + N1701*O1701 + N1702*O1702 + N1703*O1703</f>
        <v>0</v>
      </c>
    </row>
    <row r="1705" ht="14.25" customHeight="1">
      <c r="A1705" s="28"/>
      <c r="B1705" s="39" t="s">
        <v>26</v>
      </c>
      <c r="C1705" s="40" t="str">
        <f>(B1699*C1699 + B1700*C1700 + B1701*C1701 + B1702*C1702 + B1703*C1703)/SUM(C1699:C1703)</f>
        <v>#VALUE!</v>
      </c>
      <c r="D1705" s="59" t="s">
        <v>26</v>
      </c>
      <c r="E1705" s="40">
        <f>(D1699*E1699 + D1700*E1700 + D1701*E1701 + D1702*E1702 + D1703*E1703)/SUM(E1699:E1703)</f>
        <v>0</v>
      </c>
      <c r="F1705" s="39" t="s">
        <v>26</v>
      </c>
      <c r="G1705" s="40" t="str">
        <f>(F1699*G1699 + F1700*G1700 + F1701*G1701 + F1702*G1702 + F1703*G1703)/SUM(G1699:G1703)</f>
        <v>#DIV/0!</v>
      </c>
      <c r="H1705" s="59" t="s">
        <v>26</v>
      </c>
      <c r="I1705" s="40" t="str">
        <f>(H1699*I1699 + H1700*I1700 + H1701*I1701 + H1702*I1702 + H1703*I1703)/SUM(I1699:I1703)</f>
        <v>#DIV/0!</v>
      </c>
      <c r="J1705" s="39" t="s">
        <v>26</v>
      </c>
      <c r="K1705" s="40" t="str">
        <f>(J1699*K1699 + J1700*K1700 + J1701*K1701 + J1702*K1702 + J1703*K1703)/SUM(K1699:K1703)</f>
        <v>#DIV/0!</v>
      </c>
      <c r="L1705" s="59" t="s">
        <v>26</v>
      </c>
      <c r="M1705" s="40" t="str">
        <f>(L1699*M1699 + L1700*M1700 + L1701*M1701 + L1702*M1702 + L1703*M1703)/SUM(M1699:M1703)</f>
        <v>#VALUE!</v>
      </c>
      <c r="N1705" s="59" t="s">
        <v>26</v>
      </c>
      <c r="O1705" s="40" t="str">
        <f>(N1699*O1699 + N1700*O1700 + N1701*O1701 + N1702*O1702 + N1703*O1703)/SUM(O1699:O1703)</f>
        <v>#DIV/0!</v>
      </c>
    </row>
    <row r="1706" ht="14.25" customHeight="1">
      <c r="A1706" s="28"/>
      <c r="B1706" s="28" t="s">
        <v>51</v>
      </c>
      <c r="C1706" s="30" t="s">
        <v>49</v>
      </c>
      <c r="D1706" s="28" t="s">
        <v>51</v>
      </c>
      <c r="E1706" s="30" t="s">
        <v>49</v>
      </c>
      <c r="F1706" s="28" t="s">
        <v>51</v>
      </c>
      <c r="G1706" s="30" t="s">
        <v>49</v>
      </c>
      <c r="H1706" s="28"/>
      <c r="I1706" s="30" t="s">
        <v>49</v>
      </c>
      <c r="J1706" s="28" t="s">
        <v>51</v>
      </c>
      <c r="K1706" s="30" t="s">
        <v>49</v>
      </c>
      <c r="L1706" s="28"/>
      <c r="M1706" s="60" t="s">
        <v>49</v>
      </c>
      <c r="N1706" s="28"/>
      <c r="O1706" s="60" t="s">
        <v>49</v>
      </c>
    </row>
    <row r="1707" ht="14.25" customHeight="1">
      <c r="A1707" s="28"/>
      <c r="B1707" s="27"/>
      <c r="C1707" s="63"/>
      <c r="D1707" s="27" t="s">
        <v>91</v>
      </c>
      <c r="E1707" s="60"/>
      <c r="F1707" s="27"/>
      <c r="G1707" s="63"/>
      <c r="H1707" s="27"/>
      <c r="I1707" s="60"/>
      <c r="J1707" s="27"/>
      <c r="K1707" s="63"/>
      <c r="L1707" s="27"/>
      <c r="M1707" s="60"/>
      <c r="N1707" s="27"/>
      <c r="O1707" s="60"/>
    </row>
    <row r="1708" ht="14.25" customHeight="1">
      <c r="A1708" s="28"/>
      <c r="B1708" s="27"/>
      <c r="C1708" s="60"/>
      <c r="D1708" s="27">
        <v>30.0</v>
      </c>
      <c r="E1708" s="63"/>
      <c r="F1708" s="28"/>
      <c r="G1708" s="60"/>
      <c r="H1708" s="27"/>
      <c r="I1708" s="60"/>
      <c r="J1708" s="28"/>
      <c r="K1708" s="60"/>
      <c r="L1708" s="27"/>
      <c r="M1708" s="60"/>
      <c r="N1708" s="27"/>
      <c r="O1708" s="60"/>
    </row>
    <row r="1709" ht="14.25" customHeight="1">
      <c r="A1709" s="37"/>
      <c r="B1709" s="28"/>
      <c r="C1709" s="60"/>
      <c r="D1709" s="28">
        <v>40.0</v>
      </c>
      <c r="E1709" s="60"/>
      <c r="F1709" s="28"/>
      <c r="G1709" s="60"/>
      <c r="H1709" s="30"/>
      <c r="I1709" s="60"/>
      <c r="J1709" s="28"/>
      <c r="K1709" s="60"/>
      <c r="L1709" s="1"/>
      <c r="M1709" s="60"/>
      <c r="N1709" s="30"/>
      <c r="O1709" s="60"/>
    </row>
    <row r="1710" ht="14.25" customHeight="1">
      <c r="A1710" s="37"/>
      <c r="B1710" s="28"/>
      <c r="C1710" s="1"/>
      <c r="D1710" s="28">
        <v>30.0</v>
      </c>
      <c r="E1710" s="1"/>
      <c r="F1710" s="28"/>
      <c r="G1710" s="63"/>
      <c r="H1710" s="30"/>
      <c r="I1710" s="30"/>
      <c r="J1710" s="28"/>
      <c r="K1710" s="60"/>
      <c r="L1710" s="30"/>
      <c r="M1710" s="60"/>
      <c r="N1710" s="30"/>
      <c r="O1710" s="60"/>
    </row>
    <row r="1711" ht="14.25" customHeight="1">
      <c r="A1711" s="37"/>
      <c r="B1711" s="28"/>
      <c r="C1711" s="1"/>
      <c r="D1711" s="28">
        <v>30.0</v>
      </c>
      <c r="E1711" s="1"/>
      <c r="F1711" s="28"/>
      <c r="G1711" s="60"/>
      <c r="H1711" s="28"/>
      <c r="I1711" s="30"/>
      <c r="J1711" s="28"/>
      <c r="K1711" s="60"/>
      <c r="L1711" s="30"/>
      <c r="M1711" s="60"/>
      <c r="N1711" s="30"/>
      <c r="O1711" s="60"/>
    </row>
    <row r="1712" ht="14.25" customHeight="1">
      <c r="A1712" s="37"/>
      <c r="B1712" s="28"/>
      <c r="C1712" s="1"/>
      <c r="D1712" s="28"/>
      <c r="E1712" s="1"/>
      <c r="F1712" s="28"/>
      <c r="G1712" s="60"/>
      <c r="H1712" s="30"/>
      <c r="I1712" s="30"/>
      <c r="J1712" s="37"/>
      <c r="K1712" s="60"/>
      <c r="L1712" s="30"/>
      <c r="M1712" s="60"/>
      <c r="N1712" s="30"/>
      <c r="O1712" s="60"/>
    </row>
    <row r="1713" ht="14.25" customHeight="1">
      <c r="A1713" s="64"/>
      <c r="B1713" s="65"/>
      <c r="C1713" s="66"/>
      <c r="D1713" s="65"/>
      <c r="E1713" s="66"/>
      <c r="F1713" s="64"/>
      <c r="G1713" s="67"/>
      <c r="H1713" s="66"/>
      <c r="I1713" s="66"/>
      <c r="J1713" s="64"/>
      <c r="K1713" s="67"/>
      <c r="L1713" s="66"/>
      <c r="M1713" s="67"/>
      <c r="N1713" s="66"/>
      <c r="O1713" s="67"/>
    </row>
    <row r="1714" ht="14.25" customHeight="1">
      <c r="A1714" s="30"/>
      <c r="B1714" s="1"/>
      <c r="C1714" s="30"/>
      <c r="D1714" s="1"/>
      <c r="E1714" s="30"/>
      <c r="F1714" s="30"/>
      <c r="G1714" s="30"/>
      <c r="H1714" s="30"/>
      <c r="I1714" s="30"/>
      <c r="J1714" s="30"/>
      <c r="K1714" s="30"/>
      <c r="L1714" s="30"/>
      <c r="M1714" s="30"/>
      <c r="N1714" s="30"/>
      <c r="O1714" s="30"/>
    </row>
    <row r="1715" ht="14.25" customHeight="1">
      <c r="A1715" s="2" t="s">
        <v>2</v>
      </c>
      <c r="B1715" s="3" t="s">
        <v>3</v>
      </c>
      <c r="C1715" s="4">
        <f>M1677+2</f>
        <v>45677</v>
      </c>
      <c r="D1715" s="5" t="s">
        <v>4</v>
      </c>
      <c r="E1715" s="6">
        <f>C1715+1</f>
        <v>45678</v>
      </c>
      <c r="F1715" s="3" t="s">
        <v>5</v>
      </c>
      <c r="G1715" s="6">
        <f>E1715+1</f>
        <v>45679</v>
      </c>
      <c r="H1715" s="3" t="s">
        <v>6</v>
      </c>
      <c r="I1715" s="6">
        <f>G1715+1</f>
        <v>45680</v>
      </c>
      <c r="J1715" s="3" t="s">
        <v>7</v>
      </c>
      <c r="K1715" s="6">
        <f>I1715+1</f>
        <v>45681</v>
      </c>
      <c r="L1715" s="7" t="s">
        <v>8</v>
      </c>
      <c r="M1715" s="8">
        <f>K1715+1</f>
        <v>45682</v>
      </c>
      <c r="N1715" s="9" t="s">
        <v>9</v>
      </c>
      <c r="O1715" s="8">
        <f>M1715+1</f>
        <v>45683</v>
      </c>
    </row>
    <row r="1716" ht="14.25" customHeight="1">
      <c r="A1716" s="10">
        <f>A1678+1</f>
        <v>47</v>
      </c>
      <c r="B1716" s="11" t="s">
        <v>10</v>
      </c>
      <c r="C1716" s="12" t="s">
        <v>11</v>
      </c>
      <c r="D1716" s="11" t="s">
        <v>10</v>
      </c>
      <c r="E1716" s="12" t="s">
        <v>11</v>
      </c>
      <c r="F1716" s="11" t="s">
        <v>10</v>
      </c>
      <c r="G1716" s="12" t="s">
        <v>11</v>
      </c>
      <c r="H1716" s="11" t="s">
        <v>10</v>
      </c>
      <c r="I1716" s="12" t="s">
        <v>11</v>
      </c>
      <c r="J1716" s="11" t="s">
        <v>10</v>
      </c>
      <c r="K1716" s="12" t="s">
        <v>11</v>
      </c>
      <c r="L1716" s="11" t="s">
        <v>10</v>
      </c>
      <c r="M1716" s="12" t="s">
        <v>11</v>
      </c>
      <c r="N1716" s="11" t="s">
        <v>10</v>
      </c>
      <c r="O1716" s="12" t="s">
        <v>11</v>
      </c>
    </row>
    <row r="1717" ht="14.25" customHeight="1">
      <c r="A1717" s="13"/>
      <c r="B1717" s="14" t="s">
        <v>306</v>
      </c>
      <c r="C1717" s="15"/>
      <c r="D1717" s="14" t="s">
        <v>306</v>
      </c>
      <c r="E1717" s="15"/>
      <c r="F1717" s="14" t="s">
        <v>306</v>
      </c>
      <c r="G1717" s="15"/>
      <c r="H1717" s="14" t="s">
        <v>306</v>
      </c>
      <c r="I1717" s="15"/>
      <c r="J1717" s="14" t="s">
        <v>306</v>
      </c>
      <c r="K1717" s="15"/>
      <c r="L1717" s="14" t="s">
        <v>278</v>
      </c>
      <c r="M1717" s="15"/>
      <c r="N1717" s="14" t="s">
        <v>306</v>
      </c>
      <c r="O1717" s="15"/>
    </row>
    <row r="1718" ht="14.25" customHeight="1">
      <c r="A1718" s="13" t="s">
        <v>12</v>
      </c>
      <c r="B1718" s="20" t="s">
        <v>413</v>
      </c>
      <c r="C1718" s="17"/>
      <c r="D1718" s="45" t="s">
        <v>409</v>
      </c>
      <c r="E1718" s="17"/>
      <c r="F1718" s="45" t="s">
        <v>414</v>
      </c>
      <c r="G1718" s="17"/>
      <c r="H1718" s="45" t="s">
        <v>141</v>
      </c>
      <c r="I1718" s="17"/>
      <c r="J1718" s="20" t="s">
        <v>413</v>
      </c>
      <c r="K1718" s="17"/>
      <c r="L1718" s="18"/>
      <c r="M1718" s="17"/>
      <c r="N1718" s="20"/>
      <c r="O1718" s="17"/>
    </row>
    <row r="1719" ht="14.25" customHeight="1">
      <c r="A1719" s="13"/>
      <c r="B1719" s="46">
        <v>100.0</v>
      </c>
      <c r="C1719" s="48">
        <v>5.0</v>
      </c>
      <c r="D1719" s="1" t="s">
        <v>411</v>
      </c>
      <c r="E1719" s="48"/>
      <c r="F1719" s="1">
        <v>70.0</v>
      </c>
      <c r="G1719" s="48">
        <v>3.0</v>
      </c>
      <c r="H1719" s="1"/>
      <c r="I1719" s="48"/>
      <c r="J1719" s="46">
        <v>100.0</v>
      </c>
      <c r="K1719" s="48">
        <v>3.0</v>
      </c>
      <c r="L1719" s="1"/>
      <c r="M1719" s="26"/>
      <c r="N1719" s="27"/>
      <c r="O1719" s="24"/>
    </row>
    <row r="1720" ht="14.25" customHeight="1">
      <c r="A1720" s="28" t="s">
        <v>20</v>
      </c>
      <c r="B1720" s="46">
        <v>110.0</v>
      </c>
      <c r="C1720" s="48">
        <v>4.0</v>
      </c>
      <c r="D1720" s="1" t="s">
        <v>412</v>
      </c>
      <c r="E1720" s="48"/>
      <c r="F1720" s="1">
        <v>80.0</v>
      </c>
      <c r="G1720" s="48">
        <v>3.0</v>
      </c>
      <c r="H1720" s="1"/>
      <c r="I1720" s="48"/>
      <c r="J1720" s="46">
        <v>110.0</v>
      </c>
      <c r="K1720" s="48">
        <v>3.0</v>
      </c>
      <c r="L1720" s="1"/>
      <c r="M1720" s="26"/>
      <c r="N1720" s="28"/>
      <c r="O1720" s="24"/>
    </row>
    <row r="1721" ht="14.25" customHeight="1">
      <c r="A1721" s="29" t="s">
        <v>22</v>
      </c>
      <c r="B1721" s="46">
        <v>120.0</v>
      </c>
      <c r="C1721" s="48">
        <v>3.0</v>
      </c>
      <c r="D1721" s="1"/>
      <c r="E1721" s="48"/>
      <c r="F1721" s="1">
        <v>85.0</v>
      </c>
      <c r="G1721" s="48">
        <v>3.0</v>
      </c>
      <c r="H1721" s="1"/>
      <c r="I1721" s="48"/>
      <c r="J1721" s="46">
        <v>120.0</v>
      </c>
      <c r="K1721" s="48">
        <v>3.0</v>
      </c>
      <c r="L1721" s="33"/>
      <c r="M1721" s="26"/>
      <c r="N1721" s="23"/>
      <c r="O1721" s="24"/>
    </row>
    <row r="1722" ht="14.25" customHeight="1">
      <c r="A1722" s="28" t="s">
        <v>23</v>
      </c>
      <c r="B1722" s="28"/>
      <c r="C1722" s="54"/>
      <c r="D1722" s="46"/>
      <c r="E1722" s="54"/>
      <c r="F1722" s="46"/>
      <c r="G1722" s="54"/>
      <c r="H1722" s="1"/>
      <c r="I1722" s="54"/>
      <c r="J1722" s="28"/>
      <c r="K1722" s="54"/>
      <c r="L1722" s="1"/>
      <c r="M1722" s="26"/>
      <c r="N1722" s="32"/>
      <c r="O1722" s="26"/>
    </row>
    <row r="1723" ht="14.25" customHeight="1">
      <c r="A1723" s="13"/>
      <c r="B1723" s="33"/>
      <c r="C1723" s="26"/>
      <c r="D1723" s="33"/>
      <c r="E1723" s="26"/>
      <c r="F1723" s="33"/>
      <c r="G1723" s="26"/>
      <c r="H1723" s="33"/>
      <c r="I1723" s="26"/>
      <c r="J1723" s="33"/>
      <c r="K1723" s="26"/>
      <c r="L1723" s="33"/>
      <c r="M1723" s="26"/>
      <c r="N1723" s="13"/>
      <c r="O1723" s="24"/>
    </row>
    <row r="1724" ht="14.25" customHeight="1">
      <c r="A1724" s="28" t="s">
        <v>24</v>
      </c>
      <c r="B1724" s="35" t="s">
        <v>25</v>
      </c>
      <c r="C1724" s="36">
        <f>C1719*B1719 + B1720*C1720 + B1721*C1721 + B1722*C1722 + B1723*C1723</f>
        <v>1300</v>
      </c>
      <c r="D1724" s="57" t="s">
        <v>25</v>
      </c>
      <c r="E1724" s="36" t="str">
        <f>E1719*D1719 + D1720*#REF! + E1720*E1721 + D1722*E1722 + D1723*E1723</f>
        <v>#VALUE!</v>
      </c>
      <c r="F1724" s="57" t="s">
        <v>25</v>
      </c>
      <c r="G1724" s="55" t="str">
        <f>G1719*F1719 + F1720*#REF! + G1720*G1721 + F1722*G1722 + F1723*G1723</f>
        <v>#REF!</v>
      </c>
      <c r="H1724" s="35" t="s">
        <v>25</v>
      </c>
      <c r="I1724" s="36">
        <f>I1719*H1719 + H1720*I1720 + H1721*I1721 + H1722*I1722 + H1723*I1723</f>
        <v>0</v>
      </c>
      <c r="J1724" s="35" t="s">
        <v>25</v>
      </c>
      <c r="K1724" s="36">
        <f>K1719*J1719 + J1720*K1720 + J1721*K1721 + J1722*K1722 + J1723*K1723</f>
        <v>990</v>
      </c>
      <c r="L1724" s="35" t="s">
        <v>25</v>
      </c>
      <c r="M1724" s="36">
        <f>M1719*L1719 + L1720*M1720 + L1721*M1721 + L1722*M1722 + L1723*M1723</f>
        <v>0</v>
      </c>
      <c r="N1724" s="35" t="s">
        <v>25</v>
      </c>
      <c r="O1724" s="36">
        <f>O1719*N1719 + N1720*O1720 + N1721*O1721 + N1722*O1722 + N1723*O1723</f>
        <v>0</v>
      </c>
    </row>
    <row r="1725" ht="14.25" customHeight="1">
      <c r="A1725" s="37"/>
      <c r="B1725" s="13" t="s">
        <v>26</v>
      </c>
      <c r="C1725" s="40">
        <f>(B1719*C1719 + B1720*C1720 + B1721*C1721 + B1722*C1722 + B1723*C1723)/SUM(C1719:C1723)</f>
        <v>108.3333333</v>
      </c>
      <c r="D1725" s="31" t="s">
        <v>26</v>
      </c>
      <c r="E1725" s="75" t="str">
        <f>(D1719*E1719 + D1720*#REF! + E1720*E1721 + D1722*E1722 + D1723*E1723)/SUM(E1719:E1723)</f>
        <v>#VALUE!</v>
      </c>
      <c r="F1725" s="31" t="s">
        <v>26</v>
      </c>
      <c r="G1725" s="74" t="str">
        <f>(F1719*G1719 + F1720*#REF! + G1720*G1721 + F1722*G1722 + F1723*G1723)/SUM(G1719:G1723)</f>
        <v>#REF!</v>
      </c>
      <c r="H1725" s="13" t="s">
        <v>26</v>
      </c>
      <c r="I1725" s="40" t="str">
        <f>(H1719*I1719 + H1720*I1720 + H1721*I1721 + H1722*I1722 + H1723*I1723)/SUM(I1719:I1723)</f>
        <v>#DIV/0!</v>
      </c>
      <c r="J1725" s="13" t="s">
        <v>26</v>
      </c>
      <c r="K1725" s="40">
        <f>(J1719*K1719 + J1720*K1720 + J1721*K1721 + J1722*K1722 + J1723*K1723)/SUM(K1719:K1723)</f>
        <v>110</v>
      </c>
      <c r="L1725" s="13" t="s">
        <v>26</v>
      </c>
      <c r="M1725" s="40" t="str">
        <f>(L1719*M1719 + L1720*M1720 + L1721*M1721 + L1722*M1722 + L1723*M1723)/SUM(M1719:M1723)</f>
        <v>#DIV/0!</v>
      </c>
      <c r="N1725" s="13" t="s">
        <v>26</v>
      </c>
      <c r="O1725" s="40" t="str">
        <f>(N1719*O1719 + N1720*O1720 + N1721*O1721 + N1722*O1722 + N1723*O1723)/SUM(O1719:O1723)</f>
        <v>#DIV/0!</v>
      </c>
    </row>
    <row r="1726" ht="14.25" customHeight="1">
      <c r="A1726" s="28" t="s">
        <v>27</v>
      </c>
      <c r="B1726" s="11" t="s">
        <v>10</v>
      </c>
      <c r="C1726" s="12" t="s">
        <v>11</v>
      </c>
      <c r="D1726" s="11" t="s">
        <v>10</v>
      </c>
      <c r="E1726" s="12" t="s">
        <v>11</v>
      </c>
      <c r="F1726" s="11" t="s">
        <v>10</v>
      </c>
      <c r="G1726" s="12" t="s">
        <v>11</v>
      </c>
      <c r="H1726" s="11" t="s">
        <v>10</v>
      </c>
      <c r="I1726" s="12" t="s">
        <v>11</v>
      </c>
      <c r="J1726" s="11" t="s">
        <v>10</v>
      </c>
      <c r="K1726" s="12" t="s">
        <v>11</v>
      </c>
      <c r="L1726" s="11" t="s">
        <v>10</v>
      </c>
      <c r="M1726" s="12" t="s">
        <v>11</v>
      </c>
      <c r="N1726" s="11" t="s">
        <v>10</v>
      </c>
      <c r="O1726" s="12" t="s">
        <v>11</v>
      </c>
    </row>
    <row r="1727" ht="14.25" customHeight="1">
      <c r="A1727" s="41" t="s">
        <v>28</v>
      </c>
      <c r="B1727" s="20" t="s">
        <v>403</v>
      </c>
      <c r="C1727" s="17"/>
      <c r="D1727" s="20"/>
      <c r="E1727" s="17"/>
      <c r="F1727" s="20" t="s">
        <v>403</v>
      </c>
      <c r="G1727" s="17"/>
      <c r="H1727" s="20"/>
      <c r="I1727" s="17"/>
      <c r="J1727" s="20" t="s">
        <v>415</v>
      </c>
      <c r="K1727" s="17"/>
      <c r="L1727" s="20"/>
      <c r="M1727" s="76"/>
      <c r="N1727" s="42"/>
      <c r="O1727" s="44"/>
    </row>
    <row r="1728" ht="14.25" customHeight="1">
      <c r="A1728" s="28"/>
      <c r="B1728" s="46">
        <v>140.0</v>
      </c>
      <c r="C1728" s="48">
        <v>5.0</v>
      </c>
      <c r="D1728" s="46"/>
      <c r="E1728" s="48"/>
      <c r="F1728" s="46">
        <v>160.0</v>
      </c>
      <c r="G1728" s="48">
        <v>5.0</v>
      </c>
      <c r="H1728" s="46"/>
      <c r="I1728" s="48"/>
      <c r="J1728" s="46">
        <v>170.0</v>
      </c>
      <c r="K1728" s="48">
        <v>5.0</v>
      </c>
      <c r="L1728" s="46"/>
      <c r="M1728" s="48"/>
      <c r="N1728" s="46"/>
      <c r="O1728" s="26"/>
    </row>
    <row r="1729" ht="14.25" customHeight="1">
      <c r="A1729" s="28" t="s">
        <v>37</v>
      </c>
      <c r="B1729" s="46">
        <v>150.0</v>
      </c>
      <c r="C1729" s="48">
        <v>5.0</v>
      </c>
      <c r="D1729" s="46"/>
      <c r="E1729" s="48"/>
      <c r="F1729" s="46">
        <v>170.0</v>
      </c>
      <c r="G1729" s="48">
        <v>5.0</v>
      </c>
      <c r="H1729" s="46"/>
      <c r="I1729" s="48"/>
      <c r="J1729" s="46">
        <v>180.0</v>
      </c>
      <c r="K1729" s="48">
        <v>5.0</v>
      </c>
      <c r="L1729" s="46"/>
      <c r="M1729" s="48"/>
      <c r="N1729" s="46"/>
      <c r="O1729" s="26"/>
    </row>
    <row r="1730" ht="14.25" customHeight="1">
      <c r="A1730" s="28" t="s">
        <v>39</v>
      </c>
      <c r="B1730" s="46">
        <v>160.0</v>
      </c>
      <c r="C1730" s="48">
        <v>5.0</v>
      </c>
      <c r="D1730" s="46"/>
      <c r="E1730" s="48"/>
      <c r="F1730" s="46">
        <v>180.0</v>
      </c>
      <c r="G1730" s="48">
        <v>5.0</v>
      </c>
      <c r="H1730" s="46"/>
      <c r="I1730" s="48"/>
      <c r="J1730" s="46">
        <v>190.0</v>
      </c>
      <c r="K1730" s="48">
        <v>5.0</v>
      </c>
      <c r="L1730" s="46"/>
      <c r="M1730" s="48"/>
      <c r="N1730" s="46"/>
      <c r="O1730" s="26"/>
    </row>
    <row r="1731" ht="14.25" customHeight="1">
      <c r="A1731" s="28"/>
      <c r="B1731" s="28"/>
      <c r="C1731" s="26"/>
      <c r="D1731" s="46"/>
      <c r="E1731" s="54"/>
      <c r="F1731" s="1"/>
      <c r="G1731" s="26"/>
      <c r="H1731" s="1"/>
      <c r="I1731" s="54"/>
      <c r="J1731" s="28"/>
      <c r="K1731" s="26"/>
      <c r="L1731" s="46"/>
      <c r="M1731" s="26"/>
      <c r="N1731" s="46"/>
      <c r="O1731" s="26"/>
    </row>
    <row r="1732" ht="14.25" customHeight="1">
      <c r="A1732" s="28" t="s">
        <v>41</v>
      </c>
      <c r="B1732" s="28"/>
      <c r="C1732" s="24"/>
      <c r="D1732" s="1"/>
      <c r="E1732" s="24"/>
      <c r="F1732" s="1"/>
      <c r="G1732" s="54"/>
      <c r="H1732" s="1"/>
      <c r="I1732" s="24"/>
      <c r="J1732" s="28"/>
      <c r="K1732" s="24"/>
      <c r="L1732" s="28"/>
      <c r="M1732" s="24"/>
      <c r="N1732" s="32"/>
      <c r="O1732" s="24"/>
    </row>
    <row r="1733" ht="14.25" customHeight="1">
      <c r="A1733" s="28" t="s">
        <v>43</v>
      </c>
      <c r="B1733" s="32"/>
      <c r="C1733" s="26"/>
      <c r="D1733" s="28"/>
      <c r="E1733" s="34"/>
      <c r="F1733" s="28"/>
      <c r="G1733" s="54"/>
      <c r="H1733" s="28"/>
      <c r="I1733" s="24"/>
      <c r="J1733" s="32"/>
      <c r="K1733" s="26"/>
      <c r="L1733" s="32"/>
      <c r="M1733" s="26"/>
      <c r="N1733" s="32"/>
      <c r="O1733" s="26"/>
    </row>
    <row r="1734" ht="14.25" customHeight="1">
      <c r="A1734" s="28"/>
      <c r="B1734" s="35" t="s">
        <v>25</v>
      </c>
      <c r="C1734" s="36">
        <f>C1728*B1728 + B1729*C1729 + B1730*C1730 + B1731*C1731 + B1733*C1733</f>
        <v>2250</v>
      </c>
      <c r="D1734" s="35" t="s">
        <v>25</v>
      </c>
      <c r="E1734" s="55">
        <f>E1728*D1728 + D1729*E1729 + D1730*E1730 + D1731*E1731 + D1733*E1733</f>
        <v>0</v>
      </c>
      <c r="F1734" s="35" t="s">
        <v>25</v>
      </c>
      <c r="G1734" s="36">
        <f>G1728*F1728 + F1729*G1729 + F1730*G1730 + F1731*G1731 + F1733*G1733</f>
        <v>2550</v>
      </c>
      <c r="H1734" s="35" t="s">
        <v>25</v>
      </c>
      <c r="I1734" s="36">
        <f>I1728*H1728 + H1729*I1729 + H1730*I1730 + H1731*I1731 + H1733*I1733</f>
        <v>0</v>
      </c>
      <c r="J1734" s="35" t="s">
        <v>25</v>
      </c>
      <c r="K1734" s="36">
        <f>K1728*J1728 + J1729*K1729 + J1730*K1730 + J1731*K1731 + J1733*K1733</f>
        <v>2700</v>
      </c>
      <c r="L1734" s="35" t="s">
        <v>25</v>
      </c>
      <c r="M1734" s="36">
        <f>M1728*L1728 + L1729*M1729 + L1730*M1730 + L1731*M1731 + L1733*M1733</f>
        <v>0</v>
      </c>
      <c r="N1734" s="35" t="s">
        <v>25</v>
      </c>
      <c r="O1734" s="36">
        <f>O1728*N1728 + N1729*O1729 + N1730*O1730 + N1731*O1731 + N1733*O1733</f>
        <v>0</v>
      </c>
    </row>
    <row r="1735" ht="14.25" customHeight="1">
      <c r="A1735" s="28" t="s">
        <v>116</v>
      </c>
      <c r="B1735" s="39" t="s">
        <v>26</v>
      </c>
      <c r="C1735" s="40">
        <f>(B1729*C1729 + B1730*C1730 + B1731*C1731 + B1732*C1732 + B1733*C1733)/SUM(C1729:C1733)</f>
        <v>155</v>
      </c>
      <c r="D1735" s="39" t="s">
        <v>26</v>
      </c>
      <c r="E1735" s="77" t="str">
        <f>(D1728*E1728 + D1729*E1729 + D1730*E1730 + D1731*E1731 + D1733*E1733)/SUM(E1728:E1733)</f>
        <v>#DIV/0!</v>
      </c>
      <c r="F1735" s="39" t="s">
        <v>26</v>
      </c>
      <c r="G1735" s="40">
        <f>(F1729*G1729 + F1730*G1730 + F1731*G1731 + F1732*G1732 + F1733*G1733)/SUM(G1729:G1733)</f>
        <v>175</v>
      </c>
      <c r="H1735" s="39" t="s">
        <v>26</v>
      </c>
      <c r="I1735" s="40" t="str">
        <f>(H1728*I1728 + H1729*I1729 + H1730*I1730 + H1731*I1731 + H1733*I1733)/SUM(I1728:I1733)</f>
        <v>#DIV/0!</v>
      </c>
      <c r="J1735" s="39" t="s">
        <v>26</v>
      </c>
      <c r="K1735" s="40">
        <f>(J1729*K1729 + J1730*K1730 + J1731*K1731 + J1732*K1732 + J1733*K1733)/SUM(K1729:K1733)</f>
        <v>185</v>
      </c>
      <c r="L1735" s="39" t="s">
        <v>26</v>
      </c>
      <c r="M1735" s="40" t="str">
        <f>(L1729*M1729 + L1730*M1730 + L1731*M1731 + L1732*M1732 + L1733*M1733)/SUM(M1729:M1733)</f>
        <v>#DIV/0!</v>
      </c>
      <c r="N1735" s="39" t="s">
        <v>26</v>
      </c>
      <c r="O1735" s="40" t="str">
        <f>(N1729*O1729 + N1730*O1730 + N1731*O1731 + N1732*O1732 + N1733*O1733)/SUM(O1729:O1733)</f>
        <v>#DIV/0!</v>
      </c>
    </row>
    <row r="1736" ht="14.25" customHeight="1">
      <c r="A1736" s="28" t="s">
        <v>117</v>
      </c>
      <c r="B1736" s="49" t="s">
        <v>416</v>
      </c>
      <c r="C1736" s="50"/>
      <c r="D1736" s="49"/>
      <c r="E1736" s="50"/>
      <c r="F1736" s="20" t="s">
        <v>245</v>
      </c>
      <c r="G1736" s="17"/>
      <c r="H1736" s="45"/>
      <c r="I1736" s="17"/>
      <c r="J1736" s="49" t="s">
        <v>416</v>
      </c>
      <c r="K1736" s="50"/>
      <c r="L1736" s="49"/>
      <c r="M1736" s="50"/>
      <c r="N1736" s="49"/>
      <c r="O1736" s="50" t="s">
        <v>49</v>
      </c>
    </row>
    <row r="1737" ht="14.25" customHeight="1">
      <c r="A1737" s="28" t="s">
        <v>120</v>
      </c>
      <c r="B1737" s="46"/>
      <c r="C1737" s="54">
        <v>3.0</v>
      </c>
      <c r="D1737" s="46"/>
      <c r="E1737" s="54"/>
      <c r="F1737" s="46">
        <v>50.0</v>
      </c>
      <c r="G1737" s="48">
        <v>4.0</v>
      </c>
      <c r="H1737" s="1"/>
      <c r="I1737" s="54"/>
      <c r="J1737" s="46"/>
      <c r="K1737" s="54">
        <v>3.0</v>
      </c>
      <c r="L1737" s="46"/>
      <c r="M1737" s="54"/>
      <c r="N1737" s="21"/>
      <c r="O1737" s="24"/>
    </row>
    <row r="1738" ht="14.25" customHeight="1">
      <c r="A1738" s="28"/>
      <c r="B1738" s="46"/>
      <c r="C1738" s="54">
        <v>3.0</v>
      </c>
      <c r="D1738" s="46"/>
      <c r="E1738" s="54"/>
      <c r="F1738" s="46">
        <v>55.0</v>
      </c>
      <c r="G1738" s="48">
        <v>4.0</v>
      </c>
      <c r="H1738" s="1"/>
      <c r="I1738" s="54"/>
      <c r="J1738" s="46"/>
      <c r="K1738" s="54">
        <v>3.0</v>
      </c>
      <c r="L1738" s="46"/>
      <c r="M1738" s="54"/>
      <c r="N1738" s="21"/>
      <c r="O1738" s="26"/>
    </row>
    <row r="1739" ht="14.25" customHeight="1">
      <c r="A1739" s="28"/>
      <c r="B1739" s="46"/>
      <c r="C1739" s="54">
        <v>3.0</v>
      </c>
      <c r="D1739" s="46"/>
      <c r="E1739" s="54"/>
      <c r="F1739" s="46">
        <v>60.0</v>
      </c>
      <c r="G1739" s="48">
        <v>4.0</v>
      </c>
      <c r="H1739" s="1"/>
      <c r="I1739" s="26"/>
      <c r="J1739" s="46"/>
      <c r="K1739" s="54">
        <v>3.0</v>
      </c>
      <c r="L1739" s="46"/>
      <c r="M1739" s="54"/>
      <c r="N1739" s="46"/>
      <c r="O1739" s="24"/>
    </row>
    <row r="1740" ht="14.25" customHeight="1">
      <c r="A1740" s="28"/>
      <c r="B1740" s="46"/>
      <c r="C1740" s="54"/>
      <c r="D1740" s="46"/>
      <c r="E1740" s="54"/>
      <c r="F1740" s="46"/>
      <c r="G1740" s="54"/>
      <c r="H1740" s="1"/>
      <c r="I1740" s="26"/>
      <c r="J1740" s="46"/>
      <c r="K1740" s="54"/>
      <c r="L1740" s="46"/>
      <c r="M1740" s="54"/>
      <c r="N1740" s="21"/>
      <c r="O1740" s="24"/>
    </row>
    <row r="1741" ht="14.25" customHeight="1">
      <c r="A1741" s="28"/>
      <c r="B1741" s="28"/>
      <c r="C1741" s="34"/>
      <c r="D1741" s="21"/>
      <c r="E1741" s="34"/>
      <c r="F1741" s="13"/>
      <c r="G1741" s="24"/>
      <c r="H1741" s="28"/>
      <c r="I1741" s="34"/>
      <c r="J1741" s="13"/>
      <c r="K1741" s="24"/>
      <c r="L1741" s="31"/>
      <c r="M1741" s="24"/>
      <c r="N1741" s="31"/>
      <c r="O1741" s="24"/>
    </row>
    <row r="1742" ht="14.25" customHeight="1">
      <c r="A1742" s="28"/>
      <c r="B1742" s="35" t="s">
        <v>25</v>
      </c>
      <c r="C1742" s="55">
        <f>C1737*B1737 + B1738*C1738 + B1739*C1739 + B1740*C1740 + B1741*C1741</f>
        <v>0</v>
      </c>
      <c r="D1742" s="35" t="s">
        <v>25</v>
      </c>
      <c r="E1742" s="55">
        <f>E1737*D1737 + D1738*E1738 + D1739*E1739 + D1740*E1740 + D1741*E1741</f>
        <v>0</v>
      </c>
      <c r="F1742" s="35" t="s">
        <v>25</v>
      </c>
      <c r="G1742" s="55">
        <f>G1737*F1737 + F1738*G1738 + F1739*G1739 + F1740*G1740 + F1741*G1741</f>
        <v>660</v>
      </c>
      <c r="H1742" s="35" t="s">
        <v>25</v>
      </c>
      <c r="I1742" s="56">
        <f>I1737*H1737 + H1738*I1738 + H1739*I1739 + H1740*I1740 + H1741*I1741</f>
        <v>0</v>
      </c>
      <c r="J1742" s="35" t="s">
        <v>25</v>
      </c>
      <c r="K1742" s="36">
        <f>K1737*J1737 + J1738*K1738 + J1739*K1739 + J1740*K1740 + J1741*K1741</f>
        <v>0</v>
      </c>
      <c r="L1742" s="57" t="s">
        <v>25</v>
      </c>
      <c r="M1742" s="58">
        <f>M1737*L1737 + L1738*M1738 + L1739*M1739 + L1740*M1740 + L1741*M1741</f>
        <v>0</v>
      </c>
      <c r="N1742" s="57" t="s">
        <v>25</v>
      </c>
      <c r="O1742" s="58">
        <f>O1737*N1737 + N1738*O1738 + N1739*O1739 + N1740*O1740 + N1741*O1741</f>
        <v>0</v>
      </c>
    </row>
    <row r="1743" ht="14.25" customHeight="1">
      <c r="A1743" s="28"/>
      <c r="B1743" s="39" t="s">
        <v>26</v>
      </c>
      <c r="C1743" s="40">
        <f>(B1737*C1737 + B1738*C1738 + B1739*C1739 + B1740*C1740 + B1741*C1741)/SUM(C1737:C1741)</f>
        <v>0</v>
      </c>
      <c r="D1743" s="59" t="s">
        <v>26</v>
      </c>
      <c r="E1743" s="40" t="str">
        <f>(D1737*E1737 + D1738*E1738 + D1739*E1739 + D1740*E1740 + D1741*E1741)/SUM(E1737:E1741)</f>
        <v>#DIV/0!</v>
      </c>
      <c r="F1743" s="39" t="s">
        <v>26</v>
      </c>
      <c r="G1743" s="40">
        <f>(F1737*G1737 + F1738*G1738 + F1739*G1739 + F1740*G1740 + F1741*G1741)/SUM(G1737:G1741)</f>
        <v>55</v>
      </c>
      <c r="H1743" s="59" t="s">
        <v>26</v>
      </c>
      <c r="I1743" s="40" t="str">
        <f>(H1737*I1737 + H1738*I1738 + H1739*I1739 + H1740*I1740 + H1741*I1741)/SUM(I1737:I1741)</f>
        <v>#DIV/0!</v>
      </c>
      <c r="J1743" s="39" t="s">
        <v>26</v>
      </c>
      <c r="K1743" s="40">
        <f>(J1737*K1737 + J1738*K1738 + J1739*K1739 + J1740*K1740 + J1741*K1741)/SUM(K1737:K1741)</f>
        <v>0</v>
      </c>
      <c r="L1743" s="59" t="s">
        <v>26</v>
      </c>
      <c r="M1743" s="40" t="str">
        <f>(L1737*M1737 + L1738*M1738 + L1739*M1739 + L1740*M1740 + L1741*M1741)/SUM(M1737:M1741)</f>
        <v>#DIV/0!</v>
      </c>
      <c r="N1743" s="59" t="s">
        <v>26</v>
      </c>
      <c r="O1743" s="40" t="str">
        <f>(N1737*O1737 + N1738*O1738 + N1739*O1739 + N1740*O1740 + N1741*O1741)/SUM(O1737:O1741)</f>
        <v>#DIV/0!</v>
      </c>
    </row>
    <row r="1744" ht="14.25" customHeight="1">
      <c r="A1744" s="28"/>
      <c r="B1744" s="28" t="s">
        <v>51</v>
      </c>
      <c r="C1744" s="30" t="s">
        <v>49</v>
      </c>
      <c r="D1744" s="28" t="s">
        <v>51</v>
      </c>
      <c r="E1744" s="30" t="s">
        <v>49</v>
      </c>
      <c r="F1744" s="28" t="s">
        <v>51</v>
      </c>
      <c r="G1744" s="30" t="s">
        <v>49</v>
      </c>
      <c r="H1744" s="28"/>
      <c r="I1744" s="30" t="s">
        <v>49</v>
      </c>
      <c r="J1744" s="28" t="s">
        <v>51</v>
      </c>
      <c r="K1744" s="30" t="s">
        <v>49</v>
      </c>
      <c r="L1744" s="28"/>
      <c r="M1744" s="60" t="s">
        <v>49</v>
      </c>
      <c r="N1744" s="28"/>
      <c r="O1744" s="60" t="s">
        <v>49</v>
      </c>
    </row>
    <row r="1745" ht="14.25" customHeight="1">
      <c r="A1745" s="28"/>
      <c r="B1745" s="27"/>
      <c r="C1745" s="63"/>
      <c r="D1745" s="27"/>
      <c r="E1745" s="60"/>
      <c r="F1745" s="27"/>
      <c r="G1745" s="63"/>
      <c r="H1745" s="27"/>
      <c r="I1745" s="60"/>
      <c r="J1745" s="27"/>
      <c r="K1745" s="63"/>
      <c r="L1745" s="27"/>
      <c r="M1745" s="60"/>
      <c r="N1745" s="27"/>
      <c r="O1745" s="60"/>
    </row>
    <row r="1746" ht="14.25" customHeight="1">
      <c r="A1746" s="28"/>
      <c r="B1746" s="27"/>
      <c r="C1746" s="60"/>
      <c r="D1746" s="27"/>
      <c r="E1746" s="63"/>
      <c r="F1746" s="28"/>
      <c r="G1746" s="60"/>
      <c r="H1746" s="27"/>
      <c r="I1746" s="60"/>
      <c r="J1746" s="28"/>
      <c r="K1746" s="60"/>
      <c r="L1746" s="27"/>
      <c r="M1746" s="60"/>
      <c r="N1746" s="27"/>
      <c r="O1746" s="60"/>
    </row>
    <row r="1747" ht="14.25" customHeight="1">
      <c r="A1747" s="37"/>
      <c r="B1747" s="28"/>
      <c r="C1747" s="60"/>
      <c r="D1747" s="28"/>
      <c r="E1747" s="60"/>
      <c r="F1747" s="28"/>
      <c r="G1747" s="60"/>
      <c r="H1747" s="30"/>
      <c r="I1747" s="60"/>
      <c r="J1747" s="28"/>
      <c r="K1747" s="60"/>
      <c r="L1747" s="1"/>
      <c r="M1747" s="60"/>
      <c r="N1747" s="30"/>
      <c r="O1747" s="60"/>
    </row>
    <row r="1748" ht="14.25" customHeight="1">
      <c r="A1748" s="37"/>
      <c r="B1748" s="28"/>
      <c r="C1748" s="1"/>
      <c r="D1748" s="28"/>
      <c r="E1748" s="1"/>
      <c r="F1748" s="28"/>
      <c r="G1748" s="63"/>
      <c r="H1748" s="30"/>
      <c r="I1748" s="30"/>
      <c r="J1748" s="28"/>
      <c r="K1748" s="60"/>
      <c r="L1748" s="30"/>
      <c r="M1748" s="60"/>
      <c r="N1748" s="30"/>
      <c r="O1748" s="60"/>
    </row>
    <row r="1749" ht="14.25" customHeight="1">
      <c r="A1749" s="37"/>
      <c r="B1749" s="28"/>
      <c r="C1749" s="1"/>
      <c r="D1749" s="28"/>
      <c r="E1749" s="1"/>
      <c r="F1749" s="28"/>
      <c r="G1749" s="60"/>
      <c r="H1749" s="28"/>
      <c r="I1749" s="30"/>
      <c r="J1749" s="28"/>
      <c r="K1749" s="60"/>
      <c r="L1749" s="30"/>
      <c r="M1749" s="60"/>
      <c r="N1749" s="30"/>
      <c r="O1749" s="60"/>
    </row>
    <row r="1750" ht="14.25" customHeight="1">
      <c r="A1750" s="37"/>
      <c r="B1750" s="28"/>
      <c r="C1750" s="1"/>
      <c r="D1750" s="28"/>
      <c r="E1750" s="1"/>
      <c r="F1750" s="28"/>
      <c r="G1750" s="60"/>
      <c r="H1750" s="30"/>
      <c r="I1750" s="30"/>
      <c r="J1750" s="37"/>
      <c r="K1750" s="60"/>
      <c r="L1750" s="30"/>
      <c r="M1750" s="60"/>
      <c r="N1750" s="30"/>
      <c r="O1750" s="60"/>
    </row>
    <row r="1751" ht="14.25" customHeight="1">
      <c r="A1751" s="64"/>
      <c r="B1751" s="65"/>
      <c r="C1751" s="66"/>
      <c r="D1751" s="65"/>
      <c r="E1751" s="66"/>
      <c r="F1751" s="64"/>
      <c r="G1751" s="67"/>
      <c r="H1751" s="66"/>
      <c r="I1751" s="66"/>
      <c r="J1751" s="64"/>
      <c r="K1751" s="67"/>
      <c r="L1751" s="66"/>
      <c r="M1751" s="67"/>
      <c r="N1751" s="66"/>
      <c r="O1751" s="67"/>
    </row>
    <row r="1752" ht="14.25" customHeight="1">
      <c r="A1752" s="30"/>
      <c r="B1752" s="1"/>
      <c r="C1752" s="30"/>
      <c r="D1752" s="1"/>
      <c r="E1752" s="30"/>
      <c r="F1752" s="30"/>
      <c r="G1752" s="30"/>
      <c r="H1752" s="30"/>
      <c r="I1752" s="30"/>
      <c r="J1752" s="30"/>
      <c r="K1752" s="30"/>
      <c r="L1752" s="30"/>
      <c r="M1752" s="30"/>
      <c r="N1752" s="30"/>
      <c r="O1752" s="30"/>
    </row>
    <row r="1753" ht="14.25" customHeight="1">
      <c r="A1753" s="2" t="s">
        <v>2</v>
      </c>
      <c r="B1753" s="3" t="s">
        <v>3</v>
      </c>
      <c r="C1753" s="4">
        <f>M1715+2</f>
        <v>45684</v>
      </c>
      <c r="D1753" s="5" t="s">
        <v>4</v>
      </c>
      <c r="E1753" s="6">
        <f>C1753+1</f>
        <v>45685</v>
      </c>
      <c r="F1753" s="3" t="s">
        <v>5</v>
      </c>
      <c r="G1753" s="6">
        <f>E1753+1</f>
        <v>45686</v>
      </c>
      <c r="H1753" s="3" t="s">
        <v>6</v>
      </c>
      <c r="I1753" s="6">
        <f>G1753+1</f>
        <v>45687</v>
      </c>
      <c r="J1753" s="3" t="s">
        <v>7</v>
      </c>
      <c r="K1753" s="6">
        <f>I1753+1</f>
        <v>45688</v>
      </c>
      <c r="L1753" s="7" t="s">
        <v>8</v>
      </c>
      <c r="M1753" s="8">
        <f>K1753+1</f>
        <v>45689</v>
      </c>
      <c r="N1753" s="9" t="s">
        <v>9</v>
      </c>
      <c r="O1753" s="8">
        <f>M1753+1</f>
        <v>45690</v>
      </c>
    </row>
    <row r="1754" ht="14.25" customHeight="1">
      <c r="A1754" s="10">
        <f>A1716+1</f>
        <v>48</v>
      </c>
      <c r="B1754" s="11" t="s">
        <v>10</v>
      </c>
      <c r="C1754" s="12" t="s">
        <v>11</v>
      </c>
      <c r="D1754" s="11" t="s">
        <v>10</v>
      </c>
      <c r="E1754" s="12" t="s">
        <v>11</v>
      </c>
      <c r="F1754" s="11" t="s">
        <v>10</v>
      </c>
      <c r="G1754" s="12" t="s">
        <v>11</v>
      </c>
      <c r="H1754" s="11" t="s">
        <v>10</v>
      </c>
      <c r="I1754" s="12" t="s">
        <v>11</v>
      </c>
      <c r="J1754" s="11" t="s">
        <v>10</v>
      </c>
      <c r="K1754" s="12" t="s">
        <v>11</v>
      </c>
      <c r="L1754" s="11" t="s">
        <v>10</v>
      </c>
      <c r="M1754" s="12" t="s">
        <v>11</v>
      </c>
      <c r="N1754" s="11" t="s">
        <v>10</v>
      </c>
      <c r="O1754" s="12" t="s">
        <v>11</v>
      </c>
    </row>
    <row r="1755" ht="14.25" customHeight="1">
      <c r="A1755" s="13"/>
      <c r="B1755" s="14" t="s">
        <v>306</v>
      </c>
      <c r="C1755" s="15"/>
      <c r="D1755" s="14"/>
      <c r="E1755" s="15"/>
      <c r="F1755" s="14" t="s">
        <v>306</v>
      </c>
      <c r="G1755" s="15"/>
      <c r="H1755" s="14" t="s">
        <v>315</v>
      </c>
      <c r="I1755" s="15"/>
      <c r="J1755" s="14" t="s">
        <v>315</v>
      </c>
      <c r="K1755" s="15"/>
      <c r="L1755" s="14" t="s">
        <v>315</v>
      </c>
      <c r="M1755" s="15"/>
      <c r="N1755" s="14" t="s">
        <v>31</v>
      </c>
      <c r="O1755" s="15"/>
    </row>
    <row r="1756" ht="14.25" customHeight="1">
      <c r="A1756" s="13" t="s">
        <v>12</v>
      </c>
      <c r="B1756" s="20" t="s">
        <v>413</v>
      </c>
      <c r="C1756" s="17"/>
      <c r="D1756" s="45"/>
      <c r="E1756" s="17"/>
      <c r="F1756" s="45" t="s">
        <v>417</v>
      </c>
      <c r="G1756" s="17"/>
      <c r="H1756" s="45" t="s">
        <v>141</v>
      </c>
      <c r="I1756" s="17"/>
      <c r="J1756" s="20"/>
      <c r="K1756" s="17"/>
      <c r="L1756" s="18"/>
      <c r="M1756" s="17"/>
      <c r="N1756" s="20"/>
      <c r="O1756" s="17"/>
    </row>
    <row r="1757" ht="14.25" customHeight="1">
      <c r="A1757" s="13"/>
      <c r="B1757" s="46">
        <v>110.0</v>
      </c>
      <c r="C1757" s="48">
        <v>3.0</v>
      </c>
      <c r="D1757" s="1"/>
      <c r="E1757" s="48"/>
      <c r="F1757" s="1"/>
      <c r="G1757" s="48"/>
      <c r="H1757" s="1"/>
      <c r="I1757" s="48"/>
      <c r="J1757" s="46"/>
      <c r="K1757" s="48"/>
      <c r="L1757" s="1"/>
      <c r="M1757" s="26"/>
      <c r="N1757" s="27"/>
      <c r="O1757" s="24"/>
    </row>
    <row r="1758" ht="14.25" customHeight="1">
      <c r="A1758" s="28" t="s">
        <v>20</v>
      </c>
      <c r="B1758" s="46">
        <v>120.0</v>
      </c>
      <c r="C1758" s="48">
        <v>2.0</v>
      </c>
      <c r="D1758" s="1"/>
      <c r="E1758" s="48"/>
      <c r="F1758" s="1"/>
      <c r="G1758" s="48"/>
      <c r="H1758" s="1"/>
      <c r="I1758" s="48"/>
      <c r="J1758" s="46"/>
      <c r="K1758" s="48"/>
      <c r="L1758" s="1"/>
      <c r="M1758" s="26"/>
      <c r="N1758" s="28"/>
      <c r="O1758" s="24"/>
    </row>
    <row r="1759" ht="14.25" customHeight="1">
      <c r="A1759" s="29" t="s">
        <v>22</v>
      </c>
      <c r="B1759" s="46">
        <v>125.0</v>
      </c>
      <c r="C1759" s="48">
        <v>2.0</v>
      </c>
      <c r="D1759" s="1"/>
      <c r="E1759" s="48"/>
      <c r="F1759" s="1"/>
      <c r="G1759" s="48"/>
      <c r="H1759" s="1"/>
      <c r="I1759" s="48"/>
      <c r="J1759" s="46"/>
      <c r="K1759" s="48"/>
      <c r="L1759" s="33"/>
      <c r="M1759" s="26"/>
      <c r="N1759" s="23"/>
      <c r="O1759" s="24"/>
    </row>
    <row r="1760" ht="14.25" customHeight="1">
      <c r="A1760" s="28" t="s">
        <v>23</v>
      </c>
      <c r="B1760" s="28"/>
      <c r="C1760" s="54"/>
      <c r="D1760" s="46"/>
      <c r="E1760" s="54"/>
      <c r="F1760" s="46"/>
      <c r="G1760" s="54"/>
      <c r="H1760" s="1"/>
      <c r="I1760" s="54"/>
      <c r="J1760" s="28"/>
      <c r="K1760" s="54"/>
      <c r="L1760" s="1"/>
      <c r="M1760" s="26"/>
      <c r="N1760" s="32"/>
      <c r="O1760" s="26"/>
    </row>
    <row r="1761" ht="14.25" customHeight="1">
      <c r="A1761" s="13"/>
      <c r="B1761" s="33"/>
      <c r="C1761" s="26"/>
      <c r="D1761" s="33"/>
      <c r="E1761" s="26"/>
      <c r="F1761" s="33"/>
      <c r="G1761" s="26"/>
      <c r="H1761" s="33"/>
      <c r="I1761" s="26"/>
      <c r="J1761" s="33"/>
      <c r="K1761" s="26"/>
      <c r="L1761" s="33"/>
      <c r="M1761" s="26"/>
      <c r="N1761" s="13"/>
      <c r="O1761" s="24"/>
    </row>
    <row r="1762" ht="14.25" customHeight="1">
      <c r="A1762" s="28" t="s">
        <v>24</v>
      </c>
      <c r="B1762" s="35" t="s">
        <v>25</v>
      </c>
      <c r="C1762" s="36">
        <f>C1757*B1757 + B1758*C1758 + B1759*C1759 + B1760*C1760 + B1761*C1761</f>
        <v>820</v>
      </c>
      <c r="D1762" s="57" t="s">
        <v>25</v>
      </c>
      <c r="E1762" s="36" t="str">
        <f>E1757*D1757 + D1758*#REF! + E1758*E1759 + D1760*E1760 + D1761*E1761</f>
        <v>#REF!</v>
      </c>
      <c r="F1762" s="57" t="s">
        <v>25</v>
      </c>
      <c r="G1762" s="55" t="str">
        <f>G1757*F1757 + F1758*#REF! + G1758*G1759 + F1760*G1760 + F1761*G1761</f>
        <v>#REF!</v>
      </c>
      <c r="H1762" s="35" t="s">
        <v>25</v>
      </c>
      <c r="I1762" s="36">
        <f>I1757*H1757 + H1758*I1758 + H1759*I1759 + H1760*I1760 + H1761*I1761</f>
        <v>0</v>
      </c>
      <c r="J1762" s="35" t="s">
        <v>25</v>
      </c>
      <c r="K1762" s="36">
        <f>K1757*J1757 + J1758*K1758 + J1759*K1759 + J1760*K1760 + J1761*K1761</f>
        <v>0</v>
      </c>
      <c r="L1762" s="35" t="s">
        <v>25</v>
      </c>
      <c r="M1762" s="36">
        <f>M1757*L1757 + L1758*M1758 + L1759*M1759 + L1760*M1760 + L1761*M1761</f>
        <v>0</v>
      </c>
      <c r="N1762" s="35" t="s">
        <v>25</v>
      </c>
      <c r="O1762" s="36">
        <f>O1757*N1757 + N1758*O1758 + N1759*O1759 + N1760*O1760 + N1761*O1761</f>
        <v>0</v>
      </c>
    </row>
    <row r="1763" ht="14.25" customHeight="1">
      <c r="A1763" s="37"/>
      <c r="B1763" s="13" t="s">
        <v>26</v>
      </c>
      <c r="C1763" s="40">
        <f>(B1757*C1757 + B1758*C1758 + B1759*C1759 + B1760*C1760 + B1761*C1761)/SUM(C1757:C1761)</f>
        <v>117.1428571</v>
      </c>
      <c r="D1763" s="31" t="s">
        <v>26</v>
      </c>
      <c r="E1763" s="75" t="str">
        <f>(D1757*E1757 + D1758*#REF! + E1758*E1759 + D1760*E1760 + D1761*E1761)/SUM(E1757:E1761)</f>
        <v>#REF!</v>
      </c>
      <c r="F1763" s="31" t="s">
        <v>26</v>
      </c>
      <c r="G1763" s="74" t="str">
        <f>(F1757*G1757 + F1758*#REF! + G1758*G1759 + F1760*G1760 + F1761*G1761)/SUM(G1757:G1761)</f>
        <v>#REF!</v>
      </c>
      <c r="H1763" s="13" t="s">
        <v>26</v>
      </c>
      <c r="I1763" s="40" t="str">
        <f>(H1757*I1757 + H1758*I1758 + H1759*I1759 + H1760*I1760 + H1761*I1761)/SUM(I1757:I1761)</f>
        <v>#DIV/0!</v>
      </c>
      <c r="J1763" s="13" t="s">
        <v>26</v>
      </c>
      <c r="K1763" s="40" t="str">
        <f>(J1757*K1757 + J1758*K1758 + J1759*K1759 + J1760*K1760 + J1761*K1761)/SUM(K1757:K1761)</f>
        <v>#DIV/0!</v>
      </c>
      <c r="L1763" s="13" t="s">
        <v>26</v>
      </c>
      <c r="M1763" s="40" t="str">
        <f>(L1757*M1757 + L1758*M1758 + L1759*M1759 + L1760*M1760 + L1761*M1761)/SUM(M1757:M1761)</f>
        <v>#DIV/0!</v>
      </c>
      <c r="N1763" s="13" t="s">
        <v>26</v>
      </c>
      <c r="O1763" s="40" t="str">
        <f>(N1757*O1757 + N1758*O1758 + N1759*O1759 + N1760*O1760 + N1761*O1761)/SUM(O1757:O1761)</f>
        <v>#DIV/0!</v>
      </c>
    </row>
    <row r="1764" ht="14.25" customHeight="1">
      <c r="A1764" s="28" t="s">
        <v>27</v>
      </c>
      <c r="B1764" s="11" t="s">
        <v>10</v>
      </c>
      <c r="C1764" s="12" t="s">
        <v>11</v>
      </c>
      <c r="D1764" s="11" t="s">
        <v>10</v>
      </c>
      <c r="E1764" s="12" t="s">
        <v>11</v>
      </c>
      <c r="F1764" s="11" t="s">
        <v>10</v>
      </c>
      <c r="G1764" s="12" t="s">
        <v>11</v>
      </c>
      <c r="H1764" s="11" t="s">
        <v>10</v>
      </c>
      <c r="I1764" s="12" t="s">
        <v>11</v>
      </c>
      <c r="J1764" s="11" t="s">
        <v>10</v>
      </c>
      <c r="K1764" s="12" t="s">
        <v>11</v>
      </c>
      <c r="L1764" s="11" t="s">
        <v>10</v>
      </c>
      <c r="M1764" s="12" t="s">
        <v>11</v>
      </c>
      <c r="N1764" s="11" t="s">
        <v>10</v>
      </c>
      <c r="O1764" s="12" t="s">
        <v>11</v>
      </c>
    </row>
    <row r="1765" ht="14.25" customHeight="1">
      <c r="A1765" s="41" t="s">
        <v>28</v>
      </c>
      <c r="B1765" s="20" t="s">
        <v>363</v>
      </c>
      <c r="C1765" s="17"/>
      <c r="D1765" s="20"/>
      <c r="E1765" s="17"/>
      <c r="F1765" s="20" t="s">
        <v>418</v>
      </c>
      <c r="G1765" s="17"/>
      <c r="H1765" s="20"/>
      <c r="I1765" s="17"/>
      <c r="J1765" s="20"/>
      <c r="K1765" s="17"/>
      <c r="L1765" s="20"/>
      <c r="M1765" s="76"/>
      <c r="N1765" s="42"/>
      <c r="O1765" s="44"/>
    </row>
    <row r="1766" ht="14.25" customHeight="1">
      <c r="A1766" s="28"/>
      <c r="B1766" s="46">
        <v>180.0</v>
      </c>
      <c r="C1766" s="48">
        <v>5.0</v>
      </c>
      <c r="D1766" s="46"/>
      <c r="E1766" s="48"/>
      <c r="F1766" s="46" t="s">
        <v>419</v>
      </c>
      <c r="G1766" s="48"/>
      <c r="H1766" s="46"/>
      <c r="I1766" s="48"/>
      <c r="J1766" s="46"/>
      <c r="K1766" s="48"/>
      <c r="L1766" s="46"/>
      <c r="M1766" s="48"/>
      <c r="N1766" s="46"/>
      <c r="O1766" s="26"/>
    </row>
    <row r="1767" ht="14.25" customHeight="1">
      <c r="A1767" s="28" t="s">
        <v>37</v>
      </c>
      <c r="B1767" s="46">
        <v>190.0</v>
      </c>
      <c r="C1767" s="48">
        <v>5.0</v>
      </c>
      <c r="D1767" s="46"/>
      <c r="E1767" s="48"/>
      <c r="F1767" s="46"/>
      <c r="G1767" s="48"/>
      <c r="H1767" s="46"/>
      <c r="I1767" s="48"/>
      <c r="J1767" s="46"/>
      <c r="K1767" s="48"/>
      <c r="L1767" s="46"/>
      <c r="M1767" s="48"/>
      <c r="N1767" s="46"/>
      <c r="O1767" s="26"/>
    </row>
    <row r="1768" ht="14.25" customHeight="1">
      <c r="A1768" s="28" t="s">
        <v>39</v>
      </c>
      <c r="B1768" s="46">
        <v>200.0</v>
      </c>
      <c r="C1768" s="48">
        <v>5.0</v>
      </c>
      <c r="D1768" s="46"/>
      <c r="E1768" s="48"/>
      <c r="F1768" s="46"/>
      <c r="G1768" s="48"/>
      <c r="H1768" s="46"/>
      <c r="I1768" s="48"/>
      <c r="J1768" s="46"/>
      <c r="K1768" s="48"/>
      <c r="L1768" s="46"/>
      <c r="M1768" s="48"/>
      <c r="N1768" s="46"/>
      <c r="O1768" s="26"/>
    </row>
    <row r="1769" ht="14.25" customHeight="1">
      <c r="A1769" s="28"/>
      <c r="B1769" s="28"/>
      <c r="C1769" s="26"/>
      <c r="D1769" s="46"/>
      <c r="E1769" s="54"/>
      <c r="F1769" s="1"/>
      <c r="G1769" s="26"/>
      <c r="H1769" s="1"/>
      <c r="I1769" s="54"/>
      <c r="J1769" s="28"/>
      <c r="K1769" s="26"/>
      <c r="L1769" s="46"/>
      <c r="M1769" s="26"/>
      <c r="N1769" s="46"/>
      <c r="O1769" s="26"/>
    </row>
    <row r="1770" ht="14.25" customHeight="1">
      <c r="A1770" s="28" t="s">
        <v>41</v>
      </c>
      <c r="B1770" s="28"/>
      <c r="C1770" s="24"/>
      <c r="D1770" s="1"/>
      <c r="E1770" s="24"/>
      <c r="F1770" s="1"/>
      <c r="G1770" s="54"/>
      <c r="H1770" s="1"/>
      <c r="I1770" s="24"/>
      <c r="J1770" s="28"/>
      <c r="K1770" s="24"/>
      <c r="L1770" s="28"/>
      <c r="M1770" s="24"/>
      <c r="N1770" s="32"/>
      <c r="O1770" s="24"/>
    </row>
    <row r="1771" ht="14.25" customHeight="1">
      <c r="A1771" s="28" t="s">
        <v>43</v>
      </c>
      <c r="B1771" s="32"/>
      <c r="C1771" s="26"/>
      <c r="D1771" s="28"/>
      <c r="E1771" s="34"/>
      <c r="F1771" s="28"/>
      <c r="G1771" s="54"/>
      <c r="H1771" s="28"/>
      <c r="I1771" s="24"/>
      <c r="J1771" s="32"/>
      <c r="K1771" s="26"/>
      <c r="L1771" s="32"/>
      <c r="M1771" s="26"/>
      <c r="N1771" s="32"/>
      <c r="O1771" s="26"/>
    </row>
    <row r="1772" ht="14.25" customHeight="1">
      <c r="A1772" s="28"/>
      <c r="B1772" s="35" t="s">
        <v>25</v>
      </c>
      <c r="C1772" s="36">
        <f>C1766*B1766 + B1767*C1767 + B1768*C1768 + B1769*C1769 + B1771*C1771</f>
        <v>2850</v>
      </c>
      <c r="D1772" s="35" t="s">
        <v>25</v>
      </c>
      <c r="E1772" s="55">
        <f>E1766*D1766 + D1767*E1767 + D1768*E1768 + D1769*E1769 + D1771*E1771</f>
        <v>0</v>
      </c>
      <c r="F1772" s="35" t="s">
        <v>25</v>
      </c>
      <c r="G1772" s="36" t="str">
        <f>G1766*F1766 + F1767*G1767 + F1768*G1768 + F1769*G1769 + F1771*G1771</f>
        <v>#VALUE!</v>
      </c>
      <c r="H1772" s="35" t="s">
        <v>25</v>
      </c>
      <c r="I1772" s="36">
        <f>I1766*H1766 + H1767*I1767 + H1768*I1768 + H1769*I1769 + H1771*I1771</f>
        <v>0</v>
      </c>
      <c r="J1772" s="35" t="s">
        <v>25</v>
      </c>
      <c r="K1772" s="36">
        <f>K1766*J1766 + J1767*K1767 + J1768*K1768 + J1769*K1769 + J1771*K1771</f>
        <v>0</v>
      </c>
      <c r="L1772" s="35" t="s">
        <v>25</v>
      </c>
      <c r="M1772" s="36">
        <f>M1766*L1766 + L1767*M1767 + L1768*M1768 + L1769*M1769 + L1771*M1771</f>
        <v>0</v>
      </c>
      <c r="N1772" s="35" t="s">
        <v>25</v>
      </c>
      <c r="O1772" s="36">
        <f>O1766*N1766 + N1767*O1767 + N1768*O1768 + N1769*O1769 + N1771*O1771</f>
        <v>0</v>
      </c>
    </row>
    <row r="1773" ht="14.25" customHeight="1">
      <c r="A1773" s="28" t="s">
        <v>116</v>
      </c>
      <c r="B1773" s="39" t="s">
        <v>26</v>
      </c>
      <c r="C1773" s="40">
        <f>(B1767*C1767 + B1768*C1768 + B1769*C1769 + B1770*C1770 + B1771*C1771)/SUM(C1767:C1771)</f>
        <v>195</v>
      </c>
      <c r="D1773" s="39" t="s">
        <v>26</v>
      </c>
      <c r="E1773" s="77" t="str">
        <f>(D1766*E1766 + D1767*E1767 + D1768*E1768 + D1769*E1769 + D1771*E1771)/SUM(E1766:E1771)</f>
        <v>#DIV/0!</v>
      </c>
      <c r="F1773" s="39" t="s">
        <v>26</v>
      </c>
      <c r="G1773" s="40" t="str">
        <f>(F1767*G1767 + F1768*G1768 + F1769*G1769 + F1770*G1770 + F1771*G1771)/SUM(G1767:G1771)</f>
        <v>#DIV/0!</v>
      </c>
      <c r="H1773" s="39" t="s">
        <v>26</v>
      </c>
      <c r="I1773" s="40" t="str">
        <f>(H1766*I1766 + H1767*I1767 + H1768*I1768 + H1769*I1769 + H1771*I1771)/SUM(I1766:I1771)</f>
        <v>#DIV/0!</v>
      </c>
      <c r="J1773" s="39" t="s">
        <v>26</v>
      </c>
      <c r="K1773" s="40" t="str">
        <f>(J1767*K1767 + J1768*K1768 + J1769*K1769 + J1770*K1770 + J1771*K1771)/SUM(K1767:K1771)</f>
        <v>#DIV/0!</v>
      </c>
      <c r="L1773" s="39" t="s">
        <v>26</v>
      </c>
      <c r="M1773" s="40" t="str">
        <f>(L1767*M1767 + L1768*M1768 + L1769*M1769 + L1770*M1770 + L1771*M1771)/SUM(M1767:M1771)</f>
        <v>#DIV/0!</v>
      </c>
      <c r="N1773" s="39" t="s">
        <v>26</v>
      </c>
      <c r="O1773" s="40" t="str">
        <f>(N1767*O1767 + N1768*O1768 + N1769*O1769 + N1770*O1770 + N1771*O1771)/SUM(O1767:O1771)</f>
        <v>#DIV/0!</v>
      </c>
    </row>
    <row r="1774" ht="14.25" customHeight="1">
      <c r="A1774" s="28" t="s">
        <v>117</v>
      </c>
      <c r="B1774" s="49" t="s">
        <v>416</v>
      </c>
      <c r="C1774" s="50"/>
      <c r="D1774" s="49"/>
      <c r="E1774" s="50"/>
      <c r="F1774" s="20"/>
      <c r="G1774" s="17"/>
      <c r="H1774" s="45"/>
      <c r="I1774" s="17"/>
      <c r="J1774" s="49"/>
      <c r="K1774" s="50"/>
      <c r="L1774" s="49"/>
      <c r="M1774" s="50"/>
      <c r="N1774" s="49"/>
      <c r="O1774" s="50" t="s">
        <v>49</v>
      </c>
    </row>
    <row r="1775" ht="14.25" customHeight="1">
      <c r="A1775" s="28" t="s">
        <v>120</v>
      </c>
      <c r="B1775" s="46"/>
      <c r="C1775" s="54">
        <v>3.0</v>
      </c>
      <c r="D1775" s="46"/>
      <c r="E1775" s="54"/>
      <c r="F1775" s="46"/>
      <c r="G1775" s="48"/>
      <c r="H1775" s="1"/>
      <c r="I1775" s="54"/>
      <c r="J1775" s="46"/>
      <c r="K1775" s="54"/>
      <c r="L1775" s="46"/>
      <c r="M1775" s="54"/>
      <c r="N1775" s="21"/>
      <c r="O1775" s="24"/>
    </row>
    <row r="1776" ht="14.25" customHeight="1">
      <c r="A1776" s="28"/>
      <c r="B1776" s="46"/>
      <c r="C1776" s="54">
        <v>3.0</v>
      </c>
      <c r="D1776" s="46"/>
      <c r="E1776" s="54"/>
      <c r="F1776" s="46"/>
      <c r="G1776" s="48"/>
      <c r="H1776" s="1"/>
      <c r="I1776" s="54"/>
      <c r="J1776" s="46"/>
      <c r="K1776" s="54"/>
      <c r="L1776" s="46"/>
      <c r="M1776" s="54"/>
      <c r="N1776" s="21"/>
      <c r="O1776" s="26"/>
    </row>
    <row r="1777" ht="14.25" customHeight="1">
      <c r="A1777" s="28"/>
      <c r="B1777" s="46"/>
      <c r="C1777" s="54">
        <v>3.0</v>
      </c>
      <c r="D1777" s="46"/>
      <c r="E1777" s="54"/>
      <c r="F1777" s="46"/>
      <c r="G1777" s="48"/>
      <c r="H1777" s="1"/>
      <c r="I1777" s="26"/>
      <c r="J1777" s="46"/>
      <c r="K1777" s="54"/>
      <c r="L1777" s="46"/>
      <c r="M1777" s="54"/>
      <c r="N1777" s="46"/>
      <c r="O1777" s="24"/>
    </row>
    <row r="1778" ht="14.25" customHeight="1">
      <c r="A1778" s="28"/>
      <c r="B1778" s="46"/>
      <c r="C1778" s="54"/>
      <c r="D1778" s="46"/>
      <c r="E1778" s="54"/>
      <c r="F1778" s="46"/>
      <c r="G1778" s="54"/>
      <c r="H1778" s="1"/>
      <c r="I1778" s="26"/>
      <c r="J1778" s="46"/>
      <c r="K1778" s="54"/>
      <c r="L1778" s="46"/>
      <c r="M1778" s="54"/>
      <c r="N1778" s="21"/>
      <c r="O1778" s="24"/>
    </row>
    <row r="1779" ht="14.25" customHeight="1">
      <c r="A1779" s="28"/>
      <c r="B1779" s="28"/>
      <c r="C1779" s="34"/>
      <c r="D1779" s="21"/>
      <c r="E1779" s="34"/>
      <c r="F1779" s="13"/>
      <c r="G1779" s="24"/>
      <c r="H1779" s="28"/>
      <c r="I1779" s="34"/>
      <c r="J1779" s="13"/>
      <c r="K1779" s="24"/>
      <c r="L1779" s="31"/>
      <c r="M1779" s="24"/>
      <c r="N1779" s="31"/>
      <c r="O1779" s="24"/>
    </row>
    <row r="1780" ht="14.25" customHeight="1">
      <c r="A1780" s="28"/>
      <c r="B1780" s="35" t="s">
        <v>25</v>
      </c>
      <c r="C1780" s="55">
        <f>C1775*B1775 + B1776*C1776 + B1777*C1777 + B1778*C1778 + B1779*C1779</f>
        <v>0</v>
      </c>
      <c r="D1780" s="35" t="s">
        <v>25</v>
      </c>
      <c r="E1780" s="55">
        <f>E1775*D1775 + D1776*E1776 + D1777*E1777 + D1778*E1778 + D1779*E1779</f>
        <v>0</v>
      </c>
      <c r="F1780" s="35" t="s">
        <v>25</v>
      </c>
      <c r="G1780" s="55">
        <f>G1775*F1775 + F1776*G1776 + F1777*G1777 + F1778*G1778 + F1779*G1779</f>
        <v>0</v>
      </c>
      <c r="H1780" s="35" t="s">
        <v>25</v>
      </c>
      <c r="I1780" s="56">
        <f>I1775*H1775 + H1776*I1776 + H1777*I1777 + H1778*I1778 + H1779*I1779</f>
        <v>0</v>
      </c>
      <c r="J1780" s="35" t="s">
        <v>25</v>
      </c>
      <c r="K1780" s="36">
        <f>K1775*J1775 + J1776*K1776 + J1777*K1777 + J1778*K1778 + J1779*K1779</f>
        <v>0</v>
      </c>
      <c r="L1780" s="57" t="s">
        <v>25</v>
      </c>
      <c r="M1780" s="58">
        <f>M1775*L1775 + L1776*M1776 + L1777*M1777 + L1778*M1778 + L1779*M1779</f>
        <v>0</v>
      </c>
      <c r="N1780" s="57" t="s">
        <v>25</v>
      </c>
      <c r="O1780" s="58">
        <f>O1775*N1775 + N1776*O1776 + N1777*O1777 + N1778*O1778 + N1779*O1779</f>
        <v>0</v>
      </c>
    </row>
    <row r="1781" ht="14.25" customHeight="1">
      <c r="A1781" s="28"/>
      <c r="B1781" s="39" t="s">
        <v>26</v>
      </c>
      <c r="C1781" s="40">
        <f>(B1775*C1775 + B1776*C1776 + B1777*C1777 + B1778*C1778 + B1779*C1779)/SUM(C1775:C1779)</f>
        <v>0</v>
      </c>
      <c r="D1781" s="59" t="s">
        <v>26</v>
      </c>
      <c r="E1781" s="40" t="str">
        <f>(D1775*E1775 + D1776*E1776 + D1777*E1777 + D1778*E1778 + D1779*E1779)/SUM(E1775:E1779)</f>
        <v>#DIV/0!</v>
      </c>
      <c r="F1781" s="39" t="s">
        <v>26</v>
      </c>
      <c r="G1781" s="40" t="str">
        <f>(F1775*G1775 + F1776*G1776 + F1777*G1777 + F1778*G1778 + F1779*G1779)/SUM(G1775:G1779)</f>
        <v>#DIV/0!</v>
      </c>
      <c r="H1781" s="59" t="s">
        <v>26</v>
      </c>
      <c r="I1781" s="40" t="str">
        <f>(H1775*I1775 + H1776*I1776 + H1777*I1777 + H1778*I1778 + H1779*I1779)/SUM(I1775:I1779)</f>
        <v>#DIV/0!</v>
      </c>
      <c r="J1781" s="39" t="s">
        <v>26</v>
      </c>
      <c r="K1781" s="40" t="str">
        <f>(J1775*K1775 + J1776*K1776 + J1777*K1777 + J1778*K1778 + J1779*K1779)/SUM(K1775:K1779)</f>
        <v>#DIV/0!</v>
      </c>
      <c r="L1781" s="59" t="s">
        <v>26</v>
      </c>
      <c r="M1781" s="40" t="str">
        <f>(L1775*M1775 + L1776*M1776 + L1777*M1777 + L1778*M1778 + L1779*M1779)/SUM(M1775:M1779)</f>
        <v>#DIV/0!</v>
      </c>
      <c r="N1781" s="59" t="s">
        <v>26</v>
      </c>
      <c r="O1781" s="40" t="str">
        <f>(N1775*O1775 + N1776*O1776 + N1777*O1777 + N1778*O1778 + N1779*O1779)/SUM(O1775:O1779)</f>
        <v>#DIV/0!</v>
      </c>
    </row>
    <row r="1782" ht="14.25" customHeight="1">
      <c r="A1782" s="28"/>
      <c r="B1782" s="28" t="s">
        <v>51</v>
      </c>
      <c r="C1782" s="30" t="s">
        <v>49</v>
      </c>
      <c r="D1782" s="28" t="s">
        <v>51</v>
      </c>
      <c r="E1782" s="30" t="s">
        <v>49</v>
      </c>
      <c r="F1782" s="28" t="s">
        <v>51</v>
      </c>
      <c r="G1782" s="30" t="s">
        <v>49</v>
      </c>
      <c r="H1782" s="28"/>
      <c r="I1782" s="30" t="s">
        <v>49</v>
      </c>
      <c r="J1782" s="28" t="s">
        <v>51</v>
      </c>
      <c r="K1782" s="30" t="s">
        <v>49</v>
      </c>
      <c r="L1782" s="28"/>
      <c r="M1782" s="60" t="s">
        <v>49</v>
      </c>
      <c r="N1782" s="28"/>
      <c r="O1782" s="60" t="s">
        <v>49</v>
      </c>
    </row>
    <row r="1783" ht="14.25" customHeight="1">
      <c r="A1783" s="28"/>
      <c r="B1783" s="27" t="s">
        <v>409</v>
      </c>
      <c r="C1783" s="63"/>
      <c r="D1783" s="27"/>
      <c r="E1783" s="60"/>
      <c r="F1783" s="27"/>
      <c r="G1783" s="63"/>
      <c r="H1783" s="27"/>
      <c r="I1783" s="60"/>
      <c r="J1783" s="27"/>
      <c r="K1783" s="63"/>
      <c r="L1783" s="27"/>
      <c r="M1783" s="60"/>
      <c r="N1783" s="27"/>
      <c r="O1783" s="60"/>
    </row>
    <row r="1784" ht="14.25" customHeight="1">
      <c r="A1784" s="28"/>
      <c r="B1784" s="27" t="s">
        <v>411</v>
      </c>
      <c r="C1784" s="60"/>
      <c r="D1784" s="27"/>
      <c r="E1784" s="63"/>
      <c r="F1784" s="28"/>
      <c r="G1784" s="60"/>
      <c r="H1784" s="27"/>
      <c r="I1784" s="60"/>
      <c r="J1784" s="28"/>
      <c r="K1784" s="60"/>
      <c r="L1784" s="27"/>
      <c r="M1784" s="60"/>
      <c r="N1784" s="27"/>
      <c r="O1784" s="60"/>
    </row>
    <row r="1785" ht="14.25" customHeight="1">
      <c r="A1785" s="37"/>
      <c r="B1785" s="28" t="s">
        <v>412</v>
      </c>
      <c r="C1785" s="60"/>
      <c r="D1785" s="28"/>
      <c r="E1785" s="60"/>
      <c r="F1785" s="28"/>
      <c r="G1785" s="60"/>
      <c r="H1785" s="30"/>
      <c r="I1785" s="60"/>
      <c r="J1785" s="28"/>
      <c r="K1785" s="60"/>
      <c r="L1785" s="1"/>
      <c r="M1785" s="60"/>
      <c r="N1785" s="30"/>
      <c r="O1785" s="60"/>
    </row>
    <row r="1786" ht="14.25" customHeight="1">
      <c r="A1786" s="37"/>
      <c r="B1786" s="28"/>
      <c r="C1786" s="1"/>
      <c r="D1786" s="28"/>
      <c r="E1786" s="1"/>
      <c r="F1786" s="28"/>
      <c r="G1786" s="63"/>
      <c r="H1786" s="30"/>
      <c r="I1786" s="30"/>
      <c r="J1786" s="28"/>
      <c r="K1786" s="60"/>
      <c r="L1786" s="30"/>
      <c r="M1786" s="60"/>
      <c r="N1786" s="30"/>
      <c r="O1786" s="60"/>
    </row>
    <row r="1787" ht="14.25" customHeight="1">
      <c r="A1787" s="37"/>
      <c r="B1787" s="28"/>
      <c r="C1787" s="1"/>
      <c r="D1787" s="28"/>
      <c r="E1787" s="1"/>
      <c r="F1787" s="28"/>
      <c r="G1787" s="60"/>
      <c r="H1787" s="28"/>
      <c r="I1787" s="30"/>
      <c r="J1787" s="28"/>
      <c r="K1787" s="60"/>
      <c r="L1787" s="30"/>
      <c r="M1787" s="60"/>
      <c r="N1787" s="30"/>
      <c r="O1787" s="60"/>
    </row>
    <row r="1788" ht="14.25" customHeight="1">
      <c r="A1788" s="37"/>
      <c r="B1788" s="28"/>
      <c r="C1788" s="1"/>
      <c r="D1788" s="28"/>
      <c r="E1788" s="1"/>
      <c r="F1788" s="28"/>
      <c r="G1788" s="60"/>
      <c r="H1788" s="30"/>
      <c r="I1788" s="30"/>
      <c r="J1788" s="37"/>
      <c r="K1788" s="60"/>
      <c r="L1788" s="30"/>
      <c r="M1788" s="60"/>
      <c r="N1788" s="30"/>
      <c r="O1788" s="60"/>
    </row>
    <row r="1789" ht="14.25" customHeight="1">
      <c r="A1789" s="64"/>
      <c r="B1789" s="65"/>
      <c r="C1789" s="66"/>
      <c r="D1789" s="65"/>
      <c r="E1789" s="66"/>
      <c r="F1789" s="64"/>
      <c r="G1789" s="67"/>
      <c r="H1789" s="66"/>
      <c r="I1789" s="66"/>
      <c r="J1789" s="64"/>
      <c r="K1789" s="67"/>
      <c r="L1789" s="66"/>
      <c r="M1789" s="67"/>
      <c r="N1789" s="66"/>
      <c r="O1789" s="67"/>
    </row>
    <row r="1790" ht="14.25" customHeight="1">
      <c r="A1790" s="30"/>
      <c r="B1790" s="1"/>
      <c r="C1790" s="30"/>
      <c r="D1790" s="1"/>
      <c r="E1790" s="30"/>
      <c r="F1790" s="30"/>
      <c r="G1790" s="30"/>
      <c r="H1790" s="30"/>
      <c r="I1790" s="30"/>
      <c r="J1790" s="30"/>
      <c r="K1790" s="30"/>
      <c r="L1790" s="30"/>
      <c r="M1790" s="30"/>
      <c r="N1790" s="30"/>
      <c r="O1790" s="30"/>
    </row>
    <row r="1791" ht="14.25" customHeight="1">
      <c r="A1791" s="30"/>
      <c r="B1791" s="1"/>
      <c r="C1791" s="30"/>
      <c r="D1791" s="1"/>
      <c r="E1791" s="30"/>
      <c r="F1791" s="30"/>
      <c r="G1791" s="30"/>
      <c r="H1791" s="30"/>
      <c r="I1791" s="30"/>
      <c r="J1791" s="30"/>
      <c r="K1791" s="30"/>
      <c r="L1791" s="30"/>
      <c r="M1791" s="30"/>
      <c r="N1791" s="30"/>
      <c r="O1791" s="30"/>
    </row>
    <row r="1792" ht="14.25" customHeight="1">
      <c r="A1792" s="30"/>
      <c r="B1792" s="1"/>
      <c r="C1792" s="30"/>
      <c r="D1792" s="1"/>
      <c r="E1792" s="30"/>
      <c r="F1792" s="30"/>
      <c r="G1792" s="30"/>
      <c r="H1792" s="30"/>
      <c r="I1792" s="30"/>
      <c r="J1792" s="30"/>
      <c r="K1792" s="30"/>
      <c r="L1792" s="30"/>
      <c r="M1792" s="30"/>
      <c r="N1792" s="30"/>
      <c r="O1792" s="30"/>
    </row>
    <row r="1793" ht="14.25" customHeight="1">
      <c r="A1793" s="30"/>
      <c r="B1793" s="1"/>
      <c r="C1793" s="30"/>
      <c r="D1793" s="1"/>
      <c r="E1793" s="30"/>
      <c r="F1793" s="30"/>
      <c r="G1793" s="30"/>
      <c r="H1793" s="30"/>
      <c r="I1793" s="30"/>
      <c r="J1793" s="30"/>
      <c r="K1793" s="30"/>
      <c r="L1793" s="30"/>
      <c r="M1793" s="30"/>
      <c r="N1793" s="30"/>
      <c r="O1793" s="30"/>
    </row>
    <row r="1794" ht="14.25" customHeight="1">
      <c r="A1794" s="30"/>
      <c r="B1794" s="1"/>
      <c r="C1794" s="30"/>
      <c r="D1794" s="1"/>
      <c r="E1794" s="30"/>
      <c r="F1794" s="30"/>
      <c r="G1794" s="30"/>
      <c r="H1794" s="30"/>
      <c r="I1794" s="30"/>
      <c r="J1794" s="30"/>
      <c r="K1794" s="30"/>
      <c r="L1794" s="30"/>
      <c r="M1794" s="30"/>
      <c r="N1794" s="30"/>
      <c r="O1794" s="30"/>
    </row>
    <row r="1795" ht="14.25" customHeight="1">
      <c r="A1795" s="30"/>
      <c r="B1795" s="1"/>
      <c r="C1795" s="30"/>
      <c r="D1795" s="1"/>
      <c r="E1795" s="30"/>
      <c r="F1795" s="30"/>
      <c r="G1795" s="30"/>
      <c r="H1795" s="30"/>
      <c r="I1795" s="30"/>
      <c r="J1795" s="30"/>
      <c r="K1795" s="30"/>
      <c r="L1795" s="30"/>
      <c r="M1795" s="30"/>
      <c r="N1795" s="30"/>
      <c r="O1795" s="30"/>
    </row>
    <row r="1796" ht="14.25" customHeight="1">
      <c r="A1796" s="30"/>
      <c r="B1796" s="1"/>
      <c r="C1796" s="30"/>
      <c r="D1796" s="1"/>
      <c r="E1796" s="30"/>
      <c r="F1796" s="30"/>
      <c r="G1796" s="30"/>
      <c r="H1796" s="30"/>
      <c r="I1796" s="30"/>
      <c r="J1796" s="30"/>
      <c r="K1796" s="30"/>
      <c r="L1796" s="30"/>
      <c r="M1796" s="30"/>
      <c r="N1796" s="30"/>
      <c r="O1796" s="30"/>
    </row>
    <row r="1797" ht="14.25" customHeight="1">
      <c r="A1797" s="30"/>
      <c r="B1797" s="1"/>
      <c r="C1797" s="30"/>
      <c r="D1797" s="1"/>
      <c r="E1797" s="30"/>
      <c r="F1797" s="30"/>
      <c r="G1797" s="30"/>
      <c r="H1797" s="30"/>
      <c r="I1797" s="30"/>
      <c r="J1797" s="30"/>
      <c r="K1797" s="30"/>
      <c r="L1797" s="30"/>
      <c r="M1797" s="30"/>
      <c r="N1797" s="30"/>
      <c r="O1797" s="30"/>
    </row>
    <row r="1798" ht="14.25" customHeight="1">
      <c r="A1798" s="30"/>
      <c r="B1798" s="1"/>
      <c r="C1798" s="30"/>
      <c r="D1798" s="1"/>
      <c r="E1798" s="30"/>
      <c r="F1798" s="30"/>
      <c r="G1798" s="30"/>
      <c r="H1798" s="30"/>
      <c r="I1798" s="30"/>
      <c r="J1798" s="30"/>
      <c r="K1798" s="30"/>
      <c r="L1798" s="30"/>
      <c r="M1798" s="30"/>
      <c r="N1798" s="30"/>
      <c r="O1798" s="30"/>
    </row>
    <row r="1799" ht="14.25" customHeight="1">
      <c r="A1799" s="30"/>
      <c r="B1799" s="1"/>
      <c r="C1799" s="30"/>
      <c r="D1799" s="1"/>
      <c r="E1799" s="30"/>
      <c r="F1799" s="30"/>
      <c r="G1799" s="30"/>
      <c r="H1799" s="30"/>
      <c r="I1799" s="30"/>
      <c r="J1799" s="30"/>
      <c r="K1799" s="30"/>
      <c r="L1799" s="30"/>
      <c r="M1799" s="30"/>
      <c r="N1799" s="30"/>
      <c r="O1799" s="30"/>
    </row>
    <row r="1800" ht="14.25" customHeight="1">
      <c r="A1800" s="30"/>
      <c r="B1800" s="1"/>
      <c r="C1800" s="30"/>
      <c r="D1800" s="1"/>
      <c r="E1800" s="30"/>
      <c r="F1800" s="30"/>
      <c r="G1800" s="30"/>
      <c r="H1800" s="30"/>
      <c r="I1800" s="30"/>
      <c r="J1800" s="30"/>
      <c r="K1800" s="30"/>
      <c r="L1800" s="30"/>
      <c r="M1800" s="30"/>
      <c r="N1800" s="30"/>
      <c r="O1800" s="30"/>
    </row>
    <row r="1801" ht="14.25" customHeight="1">
      <c r="A1801" s="30"/>
      <c r="B1801" s="1"/>
      <c r="C1801" s="30"/>
      <c r="D1801" s="1"/>
      <c r="E1801" s="30"/>
      <c r="F1801" s="30"/>
      <c r="G1801" s="30"/>
      <c r="H1801" s="30"/>
      <c r="I1801" s="30"/>
      <c r="J1801" s="30"/>
      <c r="K1801" s="30"/>
      <c r="L1801" s="30"/>
      <c r="M1801" s="30"/>
      <c r="N1801" s="30"/>
      <c r="O1801" s="30"/>
    </row>
    <row r="1802" ht="14.25" customHeight="1">
      <c r="A1802" s="30"/>
      <c r="B1802" s="1"/>
      <c r="C1802" s="30"/>
      <c r="D1802" s="1"/>
      <c r="E1802" s="30"/>
      <c r="F1802" s="30"/>
      <c r="G1802" s="30"/>
      <c r="H1802" s="30"/>
      <c r="I1802" s="30"/>
      <c r="J1802" s="30"/>
      <c r="K1802" s="30"/>
      <c r="L1802" s="30"/>
      <c r="M1802" s="30"/>
      <c r="N1802" s="30"/>
      <c r="O1802" s="30"/>
    </row>
    <row r="1803" ht="14.25" customHeight="1">
      <c r="A1803" s="30"/>
      <c r="B1803" s="1"/>
      <c r="C1803" s="30"/>
      <c r="D1803" s="1"/>
      <c r="E1803" s="30"/>
      <c r="F1803" s="30"/>
      <c r="G1803" s="30"/>
      <c r="H1803" s="30"/>
      <c r="I1803" s="30"/>
      <c r="J1803" s="30"/>
      <c r="K1803" s="30"/>
      <c r="L1803" s="30"/>
      <c r="M1803" s="30"/>
      <c r="N1803" s="30"/>
      <c r="O1803" s="30"/>
    </row>
    <row r="1804" ht="14.25" customHeight="1">
      <c r="A1804" s="30"/>
      <c r="B1804" s="1"/>
      <c r="C1804" s="30"/>
      <c r="D1804" s="1"/>
      <c r="E1804" s="30"/>
      <c r="F1804" s="30"/>
      <c r="G1804" s="30"/>
      <c r="H1804" s="30"/>
      <c r="I1804" s="30"/>
      <c r="J1804" s="30"/>
      <c r="K1804" s="30"/>
      <c r="L1804" s="30"/>
      <c r="M1804" s="30"/>
      <c r="N1804" s="30"/>
      <c r="O1804" s="30"/>
    </row>
    <row r="1805" ht="14.25" customHeight="1">
      <c r="A1805" s="30"/>
      <c r="B1805" s="1"/>
      <c r="C1805" s="30"/>
      <c r="D1805" s="1"/>
      <c r="E1805" s="30"/>
      <c r="F1805" s="30"/>
      <c r="G1805" s="30"/>
      <c r="H1805" s="30"/>
      <c r="I1805" s="30"/>
      <c r="J1805" s="30"/>
      <c r="K1805" s="30"/>
      <c r="L1805" s="30"/>
      <c r="M1805" s="30"/>
      <c r="N1805" s="30"/>
      <c r="O1805" s="30"/>
    </row>
    <row r="1806" ht="14.25" customHeight="1">
      <c r="A1806" s="30"/>
      <c r="B1806" s="1"/>
      <c r="C1806" s="30"/>
      <c r="D1806" s="1"/>
      <c r="E1806" s="30"/>
      <c r="F1806" s="30"/>
      <c r="G1806" s="30"/>
      <c r="H1806" s="30"/>
      <c r="I1806" s="30"/>
      <c r="J1806" s="30"/>
      <c r="K1806" s="30"/>
      <c r="L1806" s="30"/>
      <c r="M1806" s="30"/>
      <c r="N1806" s="30"/>
      <c r="O1806" s="30"/>
    </row>
    <row r="1807" ht="14.25" customHeight="1">
      <c r="A1807" s="30"/>
      <c r="B1807" s="1"/>
      <c r="C1807" s="30"/>
      <c r="D1807" s="1"/>
      <c r="E1807" s="30"/>
      <c r="F1807" s="30"/>
      <c r="G1807" s="30"/>
      <c r="H1807" s="30"/>
      <c r="I1807" s="30"/>
      <c r="J1807" s="30"/>
      <c r="K1807" s="30"/>
      <c r="L1807" s="30"/>
      <c r="M1807" s="30"/>
      <c r="N1807" s="30"/>
      <c r="O1807" s="30"/>
    </row>
    <row r="1808" ht="14.25" customHeight="1">
      <c r="A1808" s="30"/>
      <c r="B1808" s="1"/>
      <c r="C1808" s="30"/>
      <c r="D1808" s="1"/>
      <c r="E1808" s="30"/>
      <c r="F1808" s="30"/>
      <c r="G1808" s="30"/>
      <c r="H1808" s="30"/>
      <c r="I1808" s="30"/>
      <c r="J1808" s="30"/>
      <c r="K1808" s="30"/>
      <c r="L1808" s="30"/>
      <c r="M1808" s="30"/>
      <c r="N1808" s="30"/>
      <c r="O1808" s="30"/>
    </row>
    <row r="1809" ht="14.25" customHeight="1">
      <c r="A1809" s="30"/>
      <c r="B1809" s="1"/>
      <c r="C1809" s="30"/>
      <c r="D1809" s="1"/>
      <c r="E1809" s="30"/>
      <c r="F1809" s="30"/>
      <c r="G1809" s="30"/>
      <c r="H1809" s="30"/>
      <c r="I1809" s="30"/>
      <c r="J1809" s="30"/>
      <c r="K1809" s="30"/>
      <c r="L1809" s="30"/>
      <c r="M1809" s="30"/>
      <c r="N1809" s="30"/>
      <c r="O1809" s="30"/>
    </row>
    <row r="1810" ht="14.25" customHeight="1">
      <c r="A1810" s="30"/>
      <c r="B1810" s="1"/>
      <c r="C1810" s="30"/>
      <c r="D1810" s="1"/>
      <c r="E1810" s="30"/>
      <c r="F1810" s="30"/>
      <c r="G1810" s="30"/>
      <c r="H1810" s="30"/>
      <c r="I1810" s="30"/>
      <c r="J1810" s="30"/>
      <c r="K1810" s="30"/>
      <c r="L1810" s="30"/>
      <c r="M1810" s="30"/>
      <c r="N1810" s="30"/>
      <c r="O1810" s="30"/>
    </row>
    <row r="1811" ht="14.25" customHeight="1">
      <c r="A1811" s="30"/>
      <c r="B1811" s="1"/>
      <c r="C1811" s="30"/>
      <c r="D1811" s="1"/>
      <c r="E1811" s="30"/>
      <c r="F1811" s="30"/>
      <c r="G1811" s="30"/>
      <c r="H1811" s="30"/>
      <c r="I1811" s="30"/>
      <c r="J1811" s="30"/>
      <c r="K1811" s="30"/>
      <c r="L1811" s="30"/>
      <c r="M1811" s="30"/>
      <c r="N1811" s="30"/>
      <c r="O1811" s="30"/>
    </row>
    <row r="1812" ht="14.25" customHeight="1">
      <c r="A1812" s="30"/>
      <c r="B1812" s="1"/>
      <c r="C1812" s="30"/>
      <c r="D1812" s="1"/>
      <c r="E1812" s="30"/>
      <c r="F1812" s="30"/>
      <c r="G1812" s="30"/>
      <c r="H1812" s="30"/>
      <c r="I1812" s="30"/>
      <c r="J1812" s="30"/>
      <c r="K1812" s="30"/>
      <c r="L1812" s="30"/>
      <c r="M1812" s="30"/>
      <c r="N1812" s="30"/>
      <c r="O1812" s="30"/>
    </row>
    <row r="1813" ht="14.25" customHeight="1">
      <c r="A1813" s="30"/>
      <c r="B1813" s="1"/>
      <c r="C1813" s="30"/>
      <c r="D1813" s="1"/>
      <c r="E1813" s="30"/>
      <c r="F1813" s="30"/>
      <c r="G1813" s="30"/>
      <c r="H1813" s="30"/>
      <c r="I1813" s="30"/>
      <c r="J1813" s="30"/>
      <c r="K1813" s="30"/>
      <c r="L1813" s="30"/>
      <c r="M1813" s="30"/>
      <c r="N1813" s="30"/>
      <c r="O1813" s="30"/>
    </row>
    <row r="1814" ht="14.25" customHeight="1">
      <c r="A1814" s="30"/>
      <c r="B1814" s="1"/>
      <c r="C1814" s="30"/>
      <c r="D1814" s="1"/>
      <c r="E1814" s="30"/>
      <c r="F1814" s="30"/>
      <c r="G1814" s="30"/>
      <c r="H1814" s="30"/>
      <c r="I1814" s="30"/>
      <c r="J1814" s="30"/>
      <c r="K1814" s="30"/>
      <c r="L1814" s="30"/>
      <c r="M1814" s="30"/>
      <c r="N1814" s="30"/>
      <c r="O1814" s="30"/>
    </row>
    <row r="1815" ht="14.25" customHeight="1">
      <c r="A1815" s="30"/>
      <c r="B1815" s="1"/>
      <c r="C1815" s="30"/>
      <c r="D1815" s="1"/>
      <c r="E1815" s="30"/>
      <c r="F1815" s="30"/>
      <c r="G1815" s="30"/>
      <c r="H1815" s="30"/>
      <c r="I1815" s="30"/>
      <c r="J1815" s="30"/>
      <c r="K1815" s="30"/>
      <c r="L1815" s="30"/>
      <c r="M1815" s="30"/>
      <c r="N1815" s="30"/>
      <c r="O1815" s="30"/>
    </row>
    <row r="1816" ht="14.25" customHeight="1">
      <c r="A1816" s="30"/>
      <c r="B1816" s="1"/>
      <c r="C1816" s="30"/>
      <c r="D1816" s="1"/>
      <c r="E1816" s="30"/>
      <c r="F1816" s="30"/>
      <c r="G1816" s="30"/>
      <c r="H1816" s="30"/>
      <c r="I1816" s="30"/>
      <c r="J1816" s="30"/>
      <c r="K1816" s="30"/>
      <c r="L1816" s="30"/>
      <c r="M1816" s="30"/>
      <c r="N1816" s="30"/>
      <c r="O1816" s="30"/>
    </row>
    <row r="1817" ht="14.25" customHeight="1">
      <c r="A1817" s="30"/>
      <c r="B1817" s="1"/>
      <c r="C1817" s="30"/>
      <c r="D1817" s="1"/>
      <c r="E1817" s="30"/>
      <c r="F1817" s="30"/>
      <c r="G1817" s="30"/>
      <c r="H1817" s="30"/>
      <c r="I1817" s="30"/>
      <c r="J1817" s="30"/>
      <c r="K1817" s="30"/>
      <c r="L1817" s="30"/>
      <c r="M1817" s="30"/>
      <c r="N1817" s="30"/>
      <c r="O1817" s="30"/>
    </row>
    <row r="1818" ht="14.25" customHeight="1">
      <c r="A1818" s="30"/>
      <c r="B1818" s="1"/>
      <c r="C1818" s="30"/>
      <c r="D1818" s="1"/>
      <c r="E1818" s="30"/>
      <c r="F1818" s="30"/>
      <c r="G1818" s="30"/>
      <c r="H1818" s="30"/>
      <c r="I1818" s="30"/>
      <c r="J1818" s="30"/>
      <c r="K1818" s="30"/>
      <c r="L1818" s="30"/>
      <c r="M1818" s="30"/>
      <c r="N1818" s="30"/>
      <c r="O1818" s="30"/>
    </row>
    <row r="1819" ht="14.25" customHeight="1">
      <c r="A1819" s="30"/>
      <c r="B1819" s="1"/>
      <c r="C1819" s="30"/>
      <c r="D1819" s="1"/>
      <c r="E1819" s="30"/>
      <c r="F1819" s="30"/>
      <c r="G1819" s="30"/>
      <c r="H1819" s="30"/>
      <c r="I1819" s="30"/>
      <c r="J1819" s="30"/>
      <c r="K1819" s="30"/>
      <c r="L1819" s="30"/>
      <c r="M1819" s="30"/>
      <c r="N1819" s="30"/>
      <c r="O1819" s="30"/>
    </row>
    <row r="1820" ht="14.25" customHeight="1">
      <c r="A1820" s="30"/>
      <c r="B1820" s="1"/>
      <c r="C1820" s="30"/>
      <c r="D1820" s="1"/>
      <c r="E1820" s="30"/>
      <c r="F1820" s="30"/>
      <c r="G1820" s="30"/>
      <c r="H1820" s="30"/>
      <c r="I1820" s="30"/>
      <c r="J1820" s="30"/>
      <c r="K1820" s="30"/>
      <c r="L1820" s="30"/>
      <c r="M1820" s="30"/>
      <c r="N1820" s="30"/>
      <c r="O1820" s="30"/>
    </row>
    <row r="1821" ht="14.25" customHeight="1">
      <c r="A1821" s="30"/>
      <c r="B1821" s="1"/>
      <c r="C1821" s="30"/>
      <c r="D1821" s="1"/>
      <c r="E1821" s="30"/>
      <c r="F1821" s="30"/>
      <c r="G1821" s="30"/>
      <c r="H1821" s="30"/>
      <c r="I1821" s="30"/>
      <c r="J1821" s="30"/>
      <c r="K1821" s="30"/>
      <c r="L1821" s="30"/>
      <c r="M1821" s="30"/>
      <c r="N1821" s="30"/>
      <c r="O1821" s="30"/>
    </row>
    <row r="1822" ht="14.25" customHeight="1">
      <c r="A1822" s="30"/>
      <c r="B1822" s="1"/>
      <c r="C1822" s="30"/>
      <c r="D1822" s="1"/>
      <c r="E1822" s="30"/>
      <c r="F1822" s="30"/>
      <c r="G1822" s="30"/>
      <c r="H1822" s="30"/>
      <c r="I1822" s="30"/>
      <c r="J1822" s="30"/>
      <c r="K1822" s="30"/>
      <c r="L1822" s="30"/>
      <c r="M1822" s="30"/>
      <c r="N1822" s="30"/>
      <c r="O1822" s="30"/>
    </row>
    <row r="1823" ht="14.25" customHeight="1">
      <c r="A1823" s="30"/>
      <c r="B1823" s="1"/>
      <c r="C1823" s="30"/>
      <c r="D1823" s="1"/>
      <c r="E1823" s="30"/>
      <c r="F1823" s="30"/>
      <c r="G1823" s="30"/>
      <c r="H1823" s="30"/>
      <c r="I1823" s="30"/>
      <c r="J1823" s="30"/>
      <c r="K1823" s="30"/>
      <c r="L1823" s="30"/>
      <c r="M1823" s="30"/>
      <c r="N1823" s="30"/>
      <c r="O1823" s="30"/>
    </row>
    <row r="1824" ht="14.25" customHeight="1">
      <c r="A1824" s="30"/>
      <c r="B1824" s="1"/>
      <c r="C1824" s="30"/>
      <c r="D1824" s="1"/>
      <c r="E1824" s="30"/>
      <c r="F1824" s="30"/>
      <c r="G1824" s="30"/>
      <c r="H1824" s="30"/>
      <c r="I1824" s="30"/>
      <c r="J1824" s="30"/>
      <c r="K1824" s="30"/>
      <c r="L1824" s="30"/>
      <c r="M1824" s="30"/>
      <c r="N1824" s="30"/>
      <c r="O1824" s="30"/>
    </row>
    <row r="1825" ht="14.25" customHeight="1">
      <c r="A1825" s="30"/>
      <c r="B1825" s="1"/>
      <c r="C1825" s="30"/>
      <c r="D1825" s="1"/>
      <c r="E1825" s="30"/>
      <c r="F1825" s="30"/>
      <c r="G1825" s="30"/>
      <c r="H1825" s="30"/>
      <c r="I1825" s="30"/>
      <c r="J1825" s="30"/>
      <c r="K1825" s="30"/>
      <c r="L1825" s="30"/>
      <c r="M1825" s="30"/>
      <c r="N1825" s="30"/>
      <c r="O1825" s="30"/>
    </row>
    <row r="1826" ht="14.25" customHeight="1">
      <c r="A1826" s="30"/>
      <c r="B1826" s="1"/>
      <c r="C1826" s="30"/>
      <c r="D1826" s="1"/>
      <c r="E1826" s="30"/>
      <c r="F1826" s="30"/>
      <c r="G1826" s="30"/>
      <c r="H1826" s="30"/>
      <c r="I1826" s="30"/>
      <c r="J1826" s="30"/>
      <c r="K1826" s="30"/>
      <c r="L1826" s="30"/>
      <c r="M1826" s="30"/>
      <c r="N1826" s="30"/>
      <c r="O1826" s="30"/>
    </row>
    <row r="1827" ht="14.25" customHeight="1">
      <c r="A1827" s="30"/>
      <c r="B1827" s="1"/>
      <c r="C1827" s="30"/>
      <c r="D1827" s="1"/>
      <c r="E1827" s="30"/>
      <c r="F1827" s="30"/>
      <c r="G1827" s="30"/>
      <c r="H1827" s="30"/>
      <c r="I1827" s="30"/>
      <c r="J1827" s="30"/>
      <c r="K1827" s="30"/>
      <c r="L1827" s="30"/>
      <c r="M1827" s="30"/>
      <c r="N1827" s="30"/>
      <c r="O1827" s="30"/>
    </row>
    <row r="1828" ht="14.25" customHeight="1">
      <c r="A1828" s="30"/>
      <c r="B1828" s="1"/>
      <c r="C1828" s="30"/>
      <c r="D1828" s="1"/>
      <c r="E1828" s="30"/>
      <c r="F1828" s="30"/>
      <c r="G1828" s="30"/>
      <c r="H1828" s="30"/>
      <c r="I1828" s="30"/>
      <c r="J1828" s="30"/>
      <c r="K1828" s="30"/>
      <c r="L1828" s="30"/>
      <c r="M1828" s="30"/>
      <c r="N1828" s="30"/>
      <c r="O1828" s="30"/>
    </row>
    <row r="1829" ht="14.25" customHeight="1">
      <c r="A1829" s="30"/>
      <c r="B1829" s="1"/>
      <c r="C1829" s="30"/>
      <c r="D1829" s="1"/>
      <c r="E1829" s="30"/>
      <c r="F1829" s="30"/>
      <c r="G1829" s="30"/>
      <c r="H1829" s="30"/>
      <c r="I1829" s="30"/>
      <c r="J1829" s="30"/>
      <c r="K1829" s="30"/>
      <c r="L1829" s="30"/>
      <c r="M1829" s="30"/>
      <c r="N1829" s="30"/>
      <c r="O1829" s="30"/>
    </row>
    <row r="1830" ht="14.25" customHeight="1">
      <c r="A1830" s="30"/>
      <c r="B1830" s="1"/>
      <c r="C1830" s="30"/>
      <c r="D1830" s="1"/>
      <c r="E1830" s="30"/>
      <c r="F1830" s="30"/>
      <c r="G1830" s="30"/>
      <c r="H1830" s="30"/>
      <c r="I1830" s="30"/>
      <c r="J1830" s="30"/>
      <c r="K1830" s="30"/>
      <c r="L1830" s="30"/>
      <c r="M1830" s="30"/>
      <c r="N1830" s="30"/>
      <c r="O1830" s="30"/>
    </row>
    <row r="1831" ht="14.25" customHeight="1">
      <c r="A1831" s="30"/>
      <c r="B1831" s="1"/>
      <c r="C1831" s="30"/>
      <c r="D1831" s="1"/>
      <c r="E1831" s="30"/>
      <c r="F1831" s="30"/>
      <c r="G1831" s="30"/>
      <c r="H1831" s="30"/>
      <c r="I1831" s="30"/>
      <c r="J1831" s="30"/>
      <c r="K1831" s="30"/>
      <c r="L1831" s="30"/>
      <c r="M1831" s="30"/>
      <c r="N1831" s="30"/>
      <c r="O1831" s="30"/>
    </row>
    <row r="1832" ht="14.25" customHeight="1">
      <c r="A1832" s="30"/>
      <c r="B1832" s="1"/>
      <c r="C1832" s="30"/>
      <c r="D1832" s="1"/>
      <c r="E1832" s="30"/>
      <c r="F1832" s="30"/>
      <c r="G1832" s="30"/>
      <c r="H1832" s="30"/>
      <c r="I1832" s="30"/>
      <c r="J1832" s="30"/>
      <c r="K1832" s="30"/>
      <c r="L1832" s="30"/>
      <c r="M1832" s="30"/>
      <c r="N1832" s="30"/>
      <c r="O1832" s="30"/>
    </row>
    <row r="1833" ht="14.25" customHeight="1">
      <c r="A1833" s="30"/>
      <c r="B1833" s="1"/>
      <c r="C1833" s="30"/>
      <c r="D1833" s="1"/>
      <c r="E1833" s="30"/>
      <c r="F1833" s="30"/>
      <c r="G1833" s="30"/>
      <c r="H1833" s="30"/>
      <c r="I1833" s="30"/>
      <c r="J1833" s="30"/>
      <c r="K1833" s="30"/>
      <c r="L1833" s="30"/>
      <c r="M1833" s="30"/>
      <c r="N1833" s="30"/>
      <c r="O1833" s="30"/>
    </row>
    <row r="1834" ht="14.25" customHeight="1">
      <c r="A1834" s="30"/>
      <c r="B1834" s="1"/>
      <c r="C1834" s="30"/>
      <c r="D1834" s="1"/>
      <c r="E1834" s="30"/>
      <c r="F1834" s="30"/>
      <c r="G1834" s="30"/>
      <c r="H1834" s="30"/>
      <c r="I1834" s="30"/>
      <c r="J1834" s="30"/>
      <c r="K1834" s="30"/>
      <c r="L1834" s="30"/>
      <c r="M1834" s="30"/>
      <c r="N1834" s="30"/>
      <c r="O1834" s="30"/>
    </row>
    <row r="1835" ht="14.25" customHeight="1">
      <c r="A1835" s="30"/>
      <c r="B1835" s="1"/>
      <c r="C1835" s="30"/>
      <c r="D1835" s="1"/>
      <c r="E1835" s="30"/>
      <c r="F1835" s="30"/>
      <c r="G1835" s="30"/>
      <c r="H1835" s="30"/>
      <c r="I1835" s="30"/>
      <c r="J1835" s="30"/>
      <c r="K1835" s="30"/>
      <c r="L1835" s="30"/>
      <c r="M1835" s="30"/>
      <c r="N1835" s="30"/>
      <c r="O1835" s="30"/>
    </row>
    <row r="1836" ht="14.25" customHeight="1">
      <c r="A1836" s="30"/>
      <c r="B1836" s="1"/>
      <c r="C1836" s="30"/>
      <c r="D1836" s="1"/>
      <c r="E1836" s="30"/>
      <c r="F1836" s="30"/>
      <c r="G1836" s="30"/>
      <c r="H1836" s="30"/>
      <c r="I1836" s="30"/>
      <c r="J1836" s="30"/>
      <c r="K1836" s="30"/>
      <c r="L1836" s="30"/>
      <c r="M1836" s="30"/>
      <c r="N1836" s="30"/>
      <c r="O1836" s="30"/>
    </row>
    <row r="1837" ht="14.25" customHeight="1">
      <c r="A1837" s="30"/>
      <c r="B1837" s="1"/>
      <c r="C1837" s="30"/>
      <c r="D1837" s="1"/>
      <c r="E1837" s="30"/>
      <c r="F1837" s="30"/>
      <c r="G1837" s="30"/>
      <c r="H1837" s="30"/>
      <c r="I1837" s="30"/>
      <c r="J1837" s="30"/>
      <c r="K1837" s="30"/>
      <c r="L1837" s="30"/>
      <c r="M1837" s="30"/>
      <c r="N1837" s="30"/>
      <c r="O1837" s="30"/>
    </row>
    <row r="1838" ht="14.25" customHeight="1">
      <c r="A1838" s="30"/>
      <c r="B1838" s="1"/>
      <c r="C1838" s="30"/>
      <c r="D1838" s="1"/>
      <c r="E1838" s="30"/>
      <c r="F1838" s="30"/>
      <c r="G1838" s="30"/>
      <c r="H1838" s="30"/>
      <c r="I1838" s="30"/>
      <c r="J1838" s="30"/>
      <c r="K1838" s="30"/>
      <c r="L1838" s="30"/>
      <c r="M1838" s="30"/>
      <c r="N1838" s="30"/>
      <c r="O1838" s="30"/>
    </row>
    <row r="1839" ht="14.25" customHeight="1">
      <c r="A1839" s="30"/>
      <c r="B1839" s="1"/>
      <c r="C1839" s="30"/>
      <c r="D1839" s="1"/>
      <c r="E1839" s="30"/>
      <c r="F1839" s="30"/>
      <c r="G1839" s="30"/>
      <c r="H1839" s="30"/>
      <c r="I1839" s="30"/>
      <c r="J1839" s="30"/>
      <c r="K1839" s="30"/>
      <c r="L1839" s="30"/>
      <c r="M1839" s="30"/>
      <c r="N1839" s="30"/>
      <c r="O1839" s="30"/>
    </row>
    <row r="1840" ht="14.25" customHeight="1">
      <c r="A1840" s="30"/>
      <c r="B1840" s="1"/>
      <c r="C1840" s="30"/>
      <c r="D1840" s="1"/>
      <c r="E1840" s="30"/>
      <c r="F1840" s="30"/>
      <c r="G1840" s="30"/>
      <c r="H1840" s="30"/>
      <c r="I1840" s="30"/>
      <c r="J1840" s="30"/>
      <c r="K1840" s="30"/>
      <c r="L1840" s="30"/>
      <c r="M1840" s="30"/>
      <c r="N1840" s="30"/>
      <c r="O1840" s="30"/>
    </row>
    <row r="1841" ht="14.25" customHeight="1">
      <c r="A1841" s="30"/>
      <c r="B1841" s="1"/>
      <c r="C1841" s="30"/>
      <c r="D1841" s="1"/>
      <c r="E1841" s="30"/>
      <c r="F1841" s="30"/>
      <c r="G1841" s="30"/>
      <c r="H1841" s="30"/>
      <c r="I1841" s="30"/>
      <c r="J1841" s="30"/>
      <c r="K1841" s="30"/>
      <c r="L1841" s="30"/>
      <c r="M1841" s="30"/>
      <c r="N1841" s="30"/>
      <c r="O1841" s="30"/>
    </row>
    <row r="1842" ht="14.25" customHeight="1">
      <c r="A1842" s="30"/>
      <c r="B1842" s="1"/>
      <c r="C1842" s="30"/>
      <c r="D1842" s="1"/>
      <c r="E1842" s="30"/>
      <c r="F1842" s="30"/>
      <c r="G1842" s="30"/>
      <c r="H1842" s="30"/>
      <c r="I1842" s="30"/>
      <c r="J1842" s="30"/>
      <c r="K1842" s="30"/>
      <c r="L1842" s="30"/>
      <c r="M1842" s="30"/>
      <c r="N1842" s="30"/>
      <c r="O1842" s="30"/>
    </row>
    <row r="1843" ht="14.25" customHeight="1">
      <c r="A1843" s="30"/>
      <c r="B1843" s="1"/>
      <c r="C1843" s="30"/>
      <c r="D1843" s="1"/>
      <c r="E1843" s="30"/>
      <c r="F1843" s="30"/>
      <c r="G1843" s="30"/>
      <c r="H1843" s="30"/>
      <c r="I1843" s="30"/>
      <c r="J1843" s="30"/>
      <c r="K1843" s="30"/>
      <c r="L1843" s="30"/>
      <c r="M1843" s="30"/>
      <c r="N1843" s="30"/>
      <c r="O1843" s="30"/>
    </row>
    <row r="1844" ht="14.25" customHeight="1">
      <c r="A1844" s="30"/>
      <c r="B1844" s="1"/>
      <c r="C1844" s="30"/>
      <c r="D1844" s="1"/>
      <c r="E1844" s="30"/>
      <c r="F1844" s="30"/>
      <c r="G1844" s="30"/>
      <c r="H1844" s="30"/>
      <c r="I1844" s="30"/>
      <c r="J1844" s="30"/>
      <c r="K1844" s="30"/>
      <c r="L1844" s="30"/>
      <c r="M1844" s="30"/>
      <c r="N1844" s="30"/>
      <c r="O1844" s="30"/>
    </row>
    <row r="1845" ht="14.25" customHeight="1">
      <c r="A1845" s="30"/>
      <c r="B1845" s="1"/>
      <c r="C1845" s="30"/>
      <c r="D1845" s="1"/>
      <c r="E1845" s="30"/>
      <c r="F1845" s="30"/>
      <c r="G1845" s="30"/>
      <c r="H1845" s="30"/>
      <c r="I1845" s="30"/>
      <c r="J1845" s="30"/>
      <c r="K1845" s="30"/>
      <c r="L1845" s="30"/>
      <c r="M1845" s="30"/>
      <c r="N1845" s="30"/>
      <c r="O1845" s="30"/>
    </row>
    <row r="1846" ht="14.25" customHeight="1">
      <c r="A1846" s="30"/>
      <c r="B1846" s="1"/>
      <c r="C1846" s="30"/>
      <c r="D1846" s="1"/>
      <c r="E1846" s="30"/>
      <c r="F1846" s="30"/>
      <c r="G1846" s="30"/>
      <c r="H1846" s="30"/>
      <c r="I1846" s="30"/>
      <c r="J1846" s="30"/>
      <c r="K1846" s="30"/>
      <c r="L1846" s="30"/>
      <c r="M1846" s="30"/>
      <c r="N1846" s="30"/>
      <c r="O1846" s="30"/>
    </row>
    <row r="1847" ht="14.25" customHeight="1">
      <c r="A1847" s="30"/>
      <c r="B1847" s="1"/>
      <c r="C1847" s="30"/>
      <c r="D1847" s="1"/>
      <c r="E1847" s="30"/>
      <c r="F1847" s="30"/>
      <c r="G1847" s="30"/>
      <c r="H1847" s="30"/>
      <c r="I1847" s="30"/>
      <c r="J1847" s="30"/>
      <c r="K1847" s="30"/>
      <c r="L1847" s="30"/>
      <c r="M1847" s="30"/>
      <c r="N1847" s="30"/>
      <c r="O1847" s="30"/>
    </row>
    <row r="1848" ht="14.25" customHeight="1">
      <c r="A1848" s="30"/>
      <c r="B1848" s="1"/>
      <c r="C1848" s="30"/>
      <c r="D1848" s="1"/>
      <c r="E1848" s="30"/>
      <c r="F1848" s="30"/>
      <c r="G1848" s="30"/>
      <c r="H1848" s="30"/>
      <c r="I1848" s="30"/>
      <c r="J1848" s="30"/>
      <c r="K1848" s="30"/>
      <c r="L1848" s="30"/>
      <c r="M1848" s="30"/>
      <c r="N1848" s="30"/>
      <c r="O1848" s="30"/>
    </row>
    <row r="1849" ht="14.25" customHeight="1">
      <c r="A1849" s="30"/>
      <c r="B1849" s="1"/>
      <c r="C1849" s="30"/>
      <c r="D1849" s="1"/>
      <c r="E1849" s="30"/>
      <c r="F1849" s="30"/>
      <c r="G1849" s="30"/>
      <c r="H1849" s="30"/>
      <c r="I1849" s="30"/>
      <c r="J1849" s="30"/>
      <c r="K1849" s="30"/>
      <c r="L1849" s="30"/>
      <c r="M1849" s="30"/>
      <c r="N1849" s="30"/>
      <c r="O1849" s="30"/>
    </row>
    <row r="1850" ht="14.25" customHeight="1">
      <c r="A1850" s="30"/>
      <c r="B1850" s="1"/>
      <c r="C1850" s="30"/>
      <c r="D1850" s="1"/>
      <c r="E1850" s="30"/>
      <c r="F1850" s="30"/>
      <c r="G1850" s="30"/>
      <c r="H1850" s="30"/>
      <c r="I1850" s="30"/>
      <c r="J1850" s="30"/>
      <c r="K1850" s="30"/>
      <c r="L1850" s="30"/>
      <c r="M1850" s="30"/>
      <c r="N1850" s="30"/>
      <c r="O1850" s="30"/>
    </row>
    <row r="1851" ht="14.25" customHeight="1">
      <c r="A1851" s="30"/>
      <c r="B1851" s="1"/>
      <c r="C1851" s="30"/>
      <c r="D1851" s="1"/>
      <c r="E1851" s="30"/>
      <c r="F1851" s="30"/>
      <c r="G1851" s="30"/>
      <c r="H1851" s="30"/>
      <c r="I1851" s="30"/>
      <c r="J1851" s="30"/>
      <c r="K1851" s="30"/>
      <c r="L1851" s="30"/>
      <c r="M1851" s="30"/>
      <c r="N1851" s="30"/>
      <c r="O1851" s="30"/>
    </row>
    <row r="1852" ht="14.25" customHeight="1">
      <c r="A1852" s="30"/>
      <c r="B1852" s="1"/>
      <c r="C1852" s="30"/>
      <c r="D1852" s="1"/>
      <c r="E1852" s="30"/>
      <c r="F1852" s="30"/>
      <c r="G1852" s="30"/>
      <c r="H1852" s="30"/>
      <c r="I1852" s="30"/>
      <c r="J1852" s="30"/>
      <c r="K1852" s="30"/>
      <c r="L1852" s="30"/>
      <c r="M1852" s="30"/>
      <c r="N1852" s="30"/>
      <c r="O1852" s="30"/>
    </row>
    <row r="1853" ht="14.25" customHeight="1">
      <c r="A1853" s="30"/>
      <c r="B1853" s="1"/>
      <c r="C1853" s="30"/>
      <c r="D1853" s="1"/>
      <c r="E1853" s="30"/>
      <c r="F1853" s="30"/>
      <c r="G1853" s="30"/>
      <c r="H1853" s="30"/>
      <c r="I1853" s="30"/>
      <c r="J1853" s="30"/>
      <c r="K1853" s="30"/>
      <c r="L1853" s="30"/>
      <c r="M1853" s="30"/>
      <c r="N1853" s="30"/>
      <c r="O1853" s="30"/>
    </row>
    <row r="1854" ht="14.25" customHeight="1">
      <c r="A1854" s="30"/>
      <c r="B1854" s="1"/>
      <c r="C1854" s="30"/>
      <c r="D1854" s="1"/>
      <c r="E1854" s="30"/>
      <c r="F1854" s="30"/>
      <c r="G1854" s="30"/>
      <c r="H1854" s="30"/>
      <c r="I1854" s="30"/>
      <c r="J1854" s="30"/>
      <c r="K1854" s="30"/>
      <c r="L1854" s="30"/>
      <c r="M1854" s="30"/>
      <c r="N1854" s="30"/>
      <c r="O1854" s="30"/>
    </row>
    <row r="1855" ht="14.25" customHeight="1">
      <c r="A1855" s="30"/>
      <c r="B1855" s="1"/>
      <c r="C1855" s="30"/>
      <c r="D1855" s="1"/>
      <c r="E1855" s="30"/>
      <c r="F1855" s="30"/>
      <c r="G1855" s="30"/>
      <c r="H1855" s="30"/>
      <c r="I1855" s="30"/>
      <c r="J1855" s="30"/>
      <c r="K1855" s="30"/>
      <c r="L1855" s="30"/>
      <c r="M1855" s="30"/>
      <c r="N1855" s="30"/>
      <c r="O1855" s="30"/>
    </row>
    <row r="1856" ht="14.25" customHeight="1">
      <c r="A1856" s="30"/>
      <c r="B1856" s="1"/>
      <c r="C1856" s="30"/>
      <c r="D1856" s="1"/>
      <c r="E1856" s="30"/>
      <c r="F1856" s="30"/>
      <c r="G1856" s="30"/>
      <c r="H1856" s="30"/>
      <c r="I1856" s="30"/>
      <c r="J1856" s="30"/>
      <c r="K1856" s="30"/>
      <c r="L1856" s="30"/>
      <c r="M1856" s="30"/>
      <c r="N1856" s="30"/>
      <c r="O1856" s="30"/>
    </row>
    <row r="1857" ht="14.25" customHeight="1">
      <c r="A1857" s="30"/>
      <c r="B1857" s="1"/>
      <c r="C1857" s="30"/>
      <c r="D1857" s="1"/>
      <c r="E1857" s="30"/>
      <c r="F1857" s="30"/>
      <c r="G1857" s="30"/>
      <c r="H1857" s="30"/>
      <c r="I1857" s="30"/>
      <c r="J1857" s="30"/>
      <c r="K1857" s="30"/>
      <c r="L1857" s="30"/>
      <c r="M1857" s="30"/>
      <c r="N1857" s="30"/>
      <c r="O1857" s="30"/>
    </row>
    <row r="1858" ht="14.25" customHeight="1">
      <c r="A1858" s="30"/>
      <c r="B1858" s="1"/>
      <c r="C1858" s="30"/>
      <c r="D1858" s="1"/>
      <c r="E1858" s="30"/>
      <c r="F1858" s="30"/>
      <c r="G1858" s="30"/>
      <c r="H1858" s="30"/>
      <c r="I1858" s="30"/>
      <c r="J1858" s="30"/>
      <c r="K1858" s="30"/>
      <c r="L1858" s="30"/>
      <c r="M1858" s="30"/>
      <c r="N1858" s="30"/>
      <c r="O1858" s="30"/>
    </row>
    <row r="1859" ht="14.25" customHeight="1">
      <c r="A1859" s="30"/>
      <c r="B1859" s="1"/>
      <c r="C1859" s="30"/>
      <c r="D1859" s="1"/>
      <c r="E1859" s="30"/>
      <c r="F1859" s="30"/>
      <c r="G1859" s="30"/>
      <c r="H1859" s="30"/>
      <c r="I1859" s="30"/>
      <c r="J1859" s="30"/>
      <c r="K1859" s="30"/>
      <c r="L1859" s="30"/>
      <c r="M1859" s="30"/>
      <c r="N1859" s="30"/>
      <c r="O1859" s="30"/>
    </row>
    <row r="1860" ht="14.25" customHeight="1">
      <c r="A1860" s="30"/>
      <c r="B1860" s="1"/>
      <c r="C1860" s="30"/>
      <c r="D1860" s="1"/>
      <c r="E1860" s="30"/>
      <c r="F1860" s="30"/>
      <c r="G1860" s="30"/>
      <c r="H1860" s="30"/>
      <c r="I1860" s="30"/>
      <c r="J1860" s="30"/>
      <c r="K1860" s="30"/>
      <c r="L1860" s="30"/>
      <c r="M1860" s="30"/>
      <c r="N1860" s="30"/>
      <c r="O1860" s="30"/>
    </row>
    <row r="1861" ht="14.25" customHeight="1">
      <c r="A1861" s="30"/>
      <c r="B1861" s="1"/>
      <c r="C1861" s="30"/>
      <c r="D1861" s="1"/>
      <c r="E1861" s="30"/>
      <c r="F1861" s="30"/>
      <c r="G1861" s="30"/>
      <c r="H1861" s="30"/>
      <c r="I1861" s="30"/>
      <c r="J1861" s="30"/>
      <c r="K1861" s="30"/>
      <c r="L1861" s="30"/>
      <c r="M1861" s="30"/>
      <c r="N1861" s="30"/>
      <c r="O1861" s="30"/>
    </row>
    <row r="1862" ht="14.25" customHeight="1">
      <c r="A1862" s="30"/>
      <c r="B1862" s="1"/>
      <c r="C1862" s="30"/>
      <c r="D1862" s="1"/>
      <c r="E1862" s="30"/>
      <c r="F1862" s="30"/>
      <c r="G1862" s="30"/>
      <c r="H1862" s="30"/>
      <c r="I1862" s="30"/>
      <c r="J1862" s="30"/>
      <c r="K1862" s="30"/>
      <c r="L1862" s="30"/>
      <c r="M1862" s="30"/>
      <c r="N1862" s="30"/>
      <c r="O1862" s="30"/>
    </row>
    <row r="1863" ht="14.25" customHeight="1">
      <c r="A1863" s="30"/>
      <c r="B1863" s="1"/>
      <c r="C1863" s="30"/>
      <c r="D1863" s="1"/>
      <c r="E1863" s="30"/>
      <c r="F1863" s="30"/>
      <c r="G1863" s="30"/>
      <c r="H1863" s="30"/>
      <c r="I1863" s="30"/>
      <c r="J1863" s="30"/>
      <c r="K1863" s="30"/>
      <c r="L1863" s="30"/>
      <c r="M1863" s="30"/>
      <c r="N1863" s="30"/>
      <c r="O1863" s="30"/>
    </row>
    <row r="1864" ht="14.25" customHeight="1">
      <c r="A1864" s="30"/>
      <c r="B1864" s="1"/>
      <c r="C1864" s="30"/>
      <c r="D1864" s="1"/>
      <c r="E1864" s="30"/>
      <c r="F1864" s="30"/>
      <c r="G1864" s="30"/>
      <c r="H1864" s="30"/>
      <c r="I1864" s="30"/>
      <c r="J1864" s="30"/>
      <c r="K1864" s="30"/>
      <c r="L1864" s="30"/>
      <c r="M1864" s="30"/>
      <c r="N1864" s="30"/>
      <c r="O1864" s="30"/>
    </row>
    <row r="1865" ht="14.25" customHeight="1">
      <c r="A1865" s="30"/>
      <c r="B1865" s="1"/>
      <c r="C1865" s="30"/>
      <c r="D1865" s="1"/>
      <c r="E1865" s="30"/>
      <c r="F1865" s="30"/>
      <c r="G1865" s="30"/>
      <c r="H1865" s="30"/>
      <c r="I1865" s="30"/>
      <c r="J1865" s="30"/>
      <c r="K1865" s="30"/>
      <c r="L1865" s="30"/>
      <c r="M1865" s="30"/>
      <c r="N1865" s="30"/>
      <c r="O1865" s="30"/>
    </row>
    <row r="1866" ht="14.25" customHeight="1">
      <c r="A1866" s="30"/>
      <c r="B1866" s="1"/>
      <c r="C1866" s="30"/>
      <c r="D1866" s="1"/>
      <c r="E1866" s="30"/>
      <c r="F1866" s="30"/>
      <c r="G1866" s="30"/>
      <c r="H1866" s="30"/>
      <c r="I1866" s="30"/>
      <c r="J1866" s="30"/>
      <c r="K1866" s="30"/>
      <c r="L1866" s="30"/>
      <c r="M1866" s="30"/>
      <c r="N1866" s="30"/>
      <c r="O1866" s="30"/>
    </row>
    <row r="1867" ht="14.25" customHeight="1">
      <c r="A1867" s="30"/>
      <c r="B1867" s="1"/>
      <c r="C1867" s="30"/>
      <c r="D1867" s="1"/>
      <c r="E1867" s="30"/>
      <c r="F1867" s="30"/>
      <c r="G1867" s="30"/>
      <c r="H1867" s="30"/>
      <c r="I1867" s="30"/>
      <c r="J1867" s="30"/>
      <c r="K1867" s="30"/>
      <c r="L1867" s="30"/>
      <c r="M1867" s="30"/>
      <c r="N1867" s="30"/>
      <c r="O1867" s="30"/>
    </row>
    <row r="1868" ht="14.25" customHeight="1">
      <c r="A1868" s="30"/>
      <c r="B1868" s="1"/>
      <c r="C1868" s="30"/>
      <c r="D1868" s="1"/>
      <c r="E1868" s="30"/>
      <c r="F1868" s="30"/>
      <c r="G1868" s="30"/>
      <c r="H1868" s="30"/>
      <c r="I1868" s="30"/>
      <c r="J1868" s="30"/>
      <c r="K1868" s="30"/>
      <c r="L1868" s="30"/>
      <c r="M1868" s="30"/>
      <c r="N1868" s="30"/>
      <c r="O1868" s="30"/>
    </row>
    <row r="1869" ht="14.25" customHeight="1">
      <c r="A1869" s="30"/>
      <c r="B1869" s="1"/>
      <c r="C1869" s="30"/>
      <c r="D1869" s="1"/>
      <c r="E1869" s="30"/>
      <c r="F1869" s="30"/>
      <c r="G1869" s="30"/>
      <c r="H1869" s="30"/>
      <c r="I1869" s="30"/>
      <c r="J1869" s="30"/>
      <c r="K1869" s="30"/>
      <c r="L1869" s="30"/>
      <c r="M1869" s="30"/>
      <c r="N1869" s="30"/>
      <c r="O1869" s="30"/>
    </row>
    <row r="1870" ht="14.25" customHeight="1">
      <c r="A1870" s="30"/>
      <c r="B1870" s="1"/>
      <c r="C1870" s="30"/>
      <c r="D1870" s="1"/>
      <c r="E1870" s="30"/>
      <c r="F1870" s="30"/>
      <c r="G1870" s="30"/>
      <c r="H1870" s="30"/>
      <c r="I1870" s="30"/>
      <c r="J1870" s="30"/>
      <c r="K1870" s="30"/>
      <c r="L1870" s="30"/>
      <c r="M1870" s="30"/>
      <c r="N1870" s="30"/>
      <c r="O1870" s="30"/>
    </row>
    <row r="1871" ht="14.25" customHeight="1">
      <c r="A1871" s="30"/>
      <c r="B1871" s="1"/>
      <c r="C1871" s="30"/>
      <c r="D1871" s="1"/>
      <c r="E1871" s="30"/>
      <c r="F1871" s="30"/>
      <c r="G1871" s="30"/>
      <c r="H1871" s="30"/>
      <c r="I1871" s="30"/>
      <c r="J1871" s="30"/>
      <c r="K1871" s="30"/>
      <c r="L1871" s="30"/>
      <c r="M1871" s="30"/>
      <c r="N1871" s="30"/>
      <c r="O1871" s="30"/>
    </row>
    <row r="1872" ht="14.25" customHeight="1">
      <c r="A1872" s="30"/>
      <c r="B1872" s="1"/>
      <c r="C1872" s="30"/>
      <c r="D1872" s="1"/>
      <c r="E1872" s="30"/>
      <c r="F1872" s="30"/>
      <c r="G1872" s="30"/>
      <c r="H1872" s="30"/>
      <c r="I1872" s="30"/>
      <c r="J1872" s="30"/>
      <c r="K1872" s="30"/>
      <c r="L1872" s="30"/>
      <c r="M1872" s="30"/>
      <c r="N1872" s="30"/>
      <c r="O1872" s="30"/>
    </row>
    <row r="1873" ht="14.25" customHeight="1">
      <c r="A1873" s="30"/>
      <c r="B1873" s="1"/>
      <c r="C1873" s="30"/>
      <c r="D1873" s="1"/>
      <c r="E1873" s="30"/>
      <c r="F1873" s="30"/>
      <c r="G1873" s="30"/>
      <c r="H1873" s="30"/>
      <c r="I1873" s="30"/>
      <c r="J1873" s="30"/>
      <c r="K1873" s="30"/>
      <c r="L1873" s="30"/>
      <c r="M1873" s="30"/>
      <c r="N1873" s="30"/>
      <c r="O1873" s="30"/>
    </row>
    <row r="1874" ht="14.25" customHeight="1">
      <c r="A1874" s="30"/>
      <c r="B1874" s="1"/>
      <c r="C1874" s="30"/>
      <c r="D1874" s="1"/>
      <c r="E1874" s="30"/>
      <c r="F1874" s="30"/>
      <c r="G1874" s="30"/>
      <c r="H1874" s="30"/>
      <c r="I1874" s="30"/>
      <c r="J1874" s="30"/>
      <c r="K1874" s="30"/>
      <c r="L1874" s="30"/>
      <c r="M1874" s="30"/>
      <c r="N1874" s="30"/>
      <c r="O1874" s="30"/>
    </row>
    <row r="1875" ht="14.25" customHeight="1">
      <c r="A1875" s="30"/>
      <c r="B1875" s="1"/>
      <c r="C1875" s="30"/>
      <c r="D1875" s="1"/>
      <c r="E1875" s="30"/>
      <c r="F1875" s="30"/>
      <c r="G1875" s="30"/>
      <c r="H1875" s="30"/>
      <c r="I1875" s="30"/>
      <c r="J1875" s="30"/>
      <c r="K1875" s="30"/>
      <c r="L1875" s="30"/>
      <c r="M1875" s="30"/>
      <c r="N1875" s="30"/>
      <c r="O1875" s="30"/>
    </row>
    <row r="1876" ht="14.25" customHeight="1">
      <c r="A1876" s="30"/>
      <c r="B1876" s="1"/>
      <c r="C1876" s="30"/>
      <c r="D1876" s="1"/>
      <c r="E1876" s="30"/>
      <c r="F1876" s="30"/>
      <c r="G1876" s="30"/>
      <c r="H1876" s="30"/>
      <c r="I1876" s="30"/>
      <c r="J1876" s="30"/>
      <c r="K1876" s="30"/>
      <c r="L1876" s="30"/>
      <c r="M1876" s="30"/>
      <c r="N1876" s="30"/>
      <c r="O1876" s="30"/>
    </row>
    <row r="1877" ht="14.25" customHeight="1">
      <c r="A1877" s="30"/>
      <c r="B1877" s="1"/>
      <c r="C1877" s="30"/>
      <c r="D1877" s="1"/>
      <c r="E1877" s="30"/>
      <c r="F1877" s="30"/>
      <c r="G1877" s="30"/>
      <c r="H1877" s="30"/>
      <c r="I1877" s="30"/>
      <c r="J1877" s="30"/>
      <c r="K1877" s="30"/>
      <c r="L1877" s="30"/>
      <c r="M1877" s="30"/>
      <c r="N1877" s="30"/>
      <c r="O1877" s="30"/>
    </row>
    <row r="1878" ht="14.25" customHeight="1">
      <c r="A1878" s="30"/>
      <c r="B1878" s="1"/>
      <c r="C1878" s="30"/>
      <c r="D1878" s="1"/>
      <c r="E1878" s="30"/>
      <c r="F1878" s="30"/>
      <c r="G1878" s="30"/>
      <c r="H1878" s="30"/>
      <c r="I1878" s="30"/>
      <c r="J1878" s="30"/>
      <c r="K1878" s="30"/>
      <c r="L1878" s="30"/>
      <c r="M1878" s="30"/>
      <c r="N1878" s="30"/>
      <c r="O1878" s="30"/>
    </row>
    <row r="1879" ht="14.25" customHeight="1">
      <c r="A1879" s="30"/>
      <c r="B1879" s="1"/>
      <c r="C1879" s="30"/>
      <c r="D1879" s="1"/>
      <c r="E1879" s="30"/>
      <c r="F1879" s="30"/>
      <c r="G1879" s="30"/>
      <c r="H1879" s="30"/>
      <c r="I1879" s="30"/>
      <c r="J1879" s="30"/>
      <c r="K1879" s="30"/>
      <c r="L1879" s="30"/>
      <c r="M1879" s="30"/>
      <c r="N1879" s="30"/>
      <c r="O1879" s="30"/>
    </row>
    <row r="1880" ht="14.25" customHeight="1">
      <c r="A1880" s="30"/>
      <c r="B1880" s="1"/>
      <c r="C1880" s="30"/>
      <c r="D1880" s="1"/>
      <c r="E1880" s="30"/>
      <c r="F1880" s="30"/>
      <c r="G1880" s="30"/>
      <c r="H1880" s="30"/>
      <c r="I1880" s="30"/>
      <c r="J1880" s="30"/>
      <c r="K1880" s="30"/>
      <c r="L1880" s="30"/>
      <c r="M1880" s="30"/>
      <c r="N1880" s="30"/>
      <c r="O1880" s="30"/>
    </row>
    <row r="1881" ht="14.25" customHeight="1">
      <c r="A1881" s="30"/>
      <c r="B1881" s="1"/>
      <c r="C1881" s="30"/>
      <c r="D1881" s="1"/>
      <c r="E1881" s="30"/>
      <c r="F1881" s="30"/>
      <c r="G1881" s="30"/>
      <c r="H1881" s="30"/>
      <c r="I1881" s="30"/>
      <c r="J1881" s="30"/>
      <c r="K1881" s="30"/>
      <c r="L1881" s="30"/>
      <c r="M1881" s="30"/>
      <c r="N1881" s="30"/>
      <c r="O1881" s="30"/>
    </row>
    <row r="1882" ht="14.25" customHeight="1">
      <c r="A1882" s="30"/>
      <c r="B1882" s="1"/>
      <c r="C1882" s="30"/>
      <c r="D1882" s="1"/>
      <c r="E1882" s="30"/>
      <c r="F1882" s="30"/>
      <c r="G1882" s="30"/>
      <c r="H1882" s="30"/>
      <c r="I1882" s="30"/>
      <c r="J1882" s="30"/>
      <c r="K1882" s="30"/>
      <c r="L1882" s="30"/>
      <c r="M1882" s="30"/>
      <c r="N1882" s="30"/>
      <c r="O1882" s="30"/>
    </row>
    <row r="1883" ht="14.25" customHeight="1">
      <c r="A1883" s="30"/>
      <c r="B1883" s="1"/>
      <c r="C1883" s="30"/>
      <c r="D1883" s="1"/>
      <c r="E1883" s="30"/>
      <c r="F1883" s="30"/>
      <c r="G1883" s="30"/>
      <c r="H1883" s="30"/>
      <c r="I1883" s="30"/>
      <c r="J1883" s="30"/>
      <c r="K1883" s="30"/>
      <c r="L1883" s="30"/>
      <c r="M1883" s="30"/>
      <c r="N1883" s="30"/>
      <c r="O1883" s="30"/>
    </row>
    <row r="1884" ht="14.25" customHeight="1">
      <c r="A1884" s="30"/>
      <c r="B1884" s="1"/>
      <c r="C1884" s="30"/>
      <c r="D1884" s="1"/>
      <c r="E1884" s="30"/>
      <c r="F1884" s="30"/>
      <c r="G1884" s="30"/>
      <c r="H1884" s="30"/>
      <c r="I1884" s="30"/>
      <c r="J1884" s="30"/>
      <c r="K1884" s="30"/>
      <c r="L1884" s="30"/>
      <c r="M1884" s="30"/>
      <c r="N1884" s="30"/>
      <c r="O1884" s="30"/>
    </row>
    <row r="1885" ht="14.25" customHeight="1">
      <c r="A1885" s="30"/>
      <c r="B1885" s="1"/>
      <c r="C1885" s="30"/>
      <c r="D1885" s="1"/>
      <c r="E1885" s="30"/>
      <c r="F1885" s="30"/>
      <c r="G1885" s="30"/>
      <c r="H1885" s="30"/>
      <c r="I1885" s="30"/>
      <c r="J1885" s="30"/>
      <c r="K1885" s="30"/>
      <c r="L1885" s="30"/>
      <c r="M1885" s="30"/>
      <c r="N1885" s="30"/>
      <c r="O1885" s="30"/>
    </row>
    <row r="1886" ht="14.25" customHeight="1">
      <c r="A1886" s="30"/>
      <c r="B1886" s="1"/>
      <c r="C1886" s="30"/>
      <c r="D1886" s="1"/>
      <c r="E1886" s="30"/>
      <c r="F1886" s="30"/>
      <c r="G1886" s="30"/>
      <c r="H1886" s="30"/>
      <c r="I1886" s="30"/>
      <c r="J1886" s="30"/>
      <c r="K1886" s="30"/>
      <c r="L1886" s="30"/>
      <c r="M1886" s="30"/>
      <c r="N1886" s="30"/>
      <c r="O1886" s="30"/>
    </row>
    <row r="1887" ht="14.25" customHeight="1">
      <c r="A1887" s="30"/>
      <c r="B1887" s="1"/>
      <c r="C1887" s="30"/>
      <c r="D1887" s="1"/>
      <c r="E1887" s="30"/>
      <c r="F1887" s="30"/>
      <c r="G1887" s="30"/>
      <c r="H1887" s="30"/>
      <c r="I1887" s="30"/>
      <c r="J1887" s="30"/>
      <c r="K1887" s="30"/>
      <c r="L1887" s="30"/>
      <c r="M1887" s="30"/>
      <c r="N1887" s="30"/>
      <c r="O1887" s="30"/>
    </row>
    <row r="1888" ht="14.25" customHeight="1">
      <c r="A1888" s="30"/>
      <c r="B1888" s="1"/>
      <c r="C1888" s="30"/>
      <c r="D1888" s="1"/>
      <c r="E1888" s="30"/>
      <c r="F1888" s="30"/>
      <c r="G1888" s="30"/>
      <c r="H1888" s="30"/>
      <c r="I1888" s="30"/>
      <c r="J1888" s="30"/>
      <c r="K1888" s="30"/>
      <c r="L1888" s="30"/>
      <c r="M1888" s="30"/>
      <c r="N1888" s="30"/>
      <c r="O1888" s="30"/>
    </row>
    <row r="1889" ht="14.25" customHeight="1">
      <c r="A1889" s="30"/>
      <c r="B1889" s="1"/>
      <c r="C1889" s="30"/>
      <c r="D1889" s="1"/>
      <c r="E1889" s="30"/>
      <c r="F1889" s="30"/>
      <c r="G1889" s="30"/>
      <c r="H1889" s="30"/>
      <c r="I1889" s="30"/>
      <c r="J1889" s="30"/>
      <c r="K1889" s="30"/>
      <c r="L1889" s="30"/>
      <c r="M1889" s="30"/>
      <c r="N1889" s="30"/>
      <c r="O1889" s="30"/>
    </row>
    <row r="1890" ht="14.25" customHeight="1">
      <c r="A1890" s="30"/>
      <c r="B1890" s="1"/>
      <c r="C1890" s="30"/>
      <c r="D1890" s="1"/>
      <c r="E1890" s="30"/>
      <c r="F1890" s="30"/>
      <c r="G1890" s="30"/>
      <c r="H1890" s="30"/>
      <c r="I1890" s="30"/>
      <c r="J1890" s="30"/>
      <c r="K1890" s="30"/>
      <c r="L1890" s="30"/>
      <c r="M1890" s="30"/>
      <c r="N1890" s="30"/>
      <c r="O1890" s="30"/>
    </row>
    <row r="1891" ht="14.25" customHeight="1">
      <c r="A1891" s="30"/>
      <c r="B1891" s="1"/>
      <c r="C1891" s="30"/>
      <c r="D1891" s="1"/>
      <c r="E1891" s="30"/>
      <c r="F1891" s="30"/>
      <c r="G1891" s="30"/>
      <c r="H1891" s="30"/>
      <c r="I1891" s="30"/>
      <c r="J1891" s="30"/>
      <c r="K1891" s="30"/>
      <c r="L1891" s="30"/>
      <c r="M1891" s="30"/>
      <c r="N1891" s="30"/>
      <c r="O1891" s="30"/>
    </row>
    <row r="1892" ht="14.25" customHeight="1">
      <c r="A1892" s="30"/>
      <c r="B1892" s="1"/>
      <c r="C1892" s="30"/>
      <c r="D1892" s="1"/>
      <c r="E1892" s="30"/>
      <c r="F1892" s="30"/>
      <c r="G1892" s="30"/>
      <c r="H1892" s="30"/>
      <c r="I1892" s="30"/>
      <c r="J1892" s="30"/>
      <c r="K1892" s="30"/>
      <c r="L1892" s="30"/>
      <c r="M1892" s="30"/>
      <c r="N1892" s="30"/>
      <c r="O1892" s="30"/>
    </row>
    <row r="1893" ht="14.25" customHeight="1">
      <c r="A1893" s="30"/>
      <c r="B1893" s="1"/>
      <c r="C1893" s="30"/>
      <c r="D1893" s="1"/>
      <c r="E1893" s="30"/>
      <c r="F1893" s="30"/>
      <c r="G1893" s="30"/>
      <c r="H1893" s="30"/>
      <c r="I1893" s="30"/>
      <c r="J1893" s="30"/>
      <c r="K1893" s="30"/>
      <c r="L1893" s="30"/>
      <c r="M1893" s="30"/>
      <c r="N1893" s="30"/>
      <c r="O1893" s="30"/>
    </row>
    <row r="1894" ht="14.25" customHeight="1">
      <c r="A1894" s="30"/>
      <c r="B1894" s="1"/>
      <c r="C1894" s="30"/>
      <c r="D1894" s="1"/>
      <c r="E1894" s="30"/>
      <c r="F1894" s="30"/>
      <c r="G1894" s="30"/>
      <c r="H1894" s="30"/>
      <c r="I1894" s="30"/>
      <c r="J1894" s="30"/>
      <c r="K1894" s="30"/>
      <c r="L1894" s="30"/>
      <c r="M1894" s="30"/>
      <c r="N1894" s="30"/>
      <c r="O1894" s="30"/>
    </row>
    <row r="1895" ht="14.25" customHeight="1">
      <c r="A1895" s="30"/>
      <c r="B1895" s="1"/>
      <c r="C1895" s="30"/>
      <c r="D1895" s="1"/>
      <c r="E1895" s="30"/>
      <c r="F1895" s="30"/>
      <c r="G1895" s="30"/>
      <c r="H1895" s="30"/>
      <c r="I1895" s="30"/>
      <c r="J1895" s="30"/>
      <c r="K1895" s="30"/>
      <c r="L1895" s="30"/>
      <c r="M1895" s="30"/>
      <c r="N1895" s="30"/>
      <c r="O1895" s="30"/>
    </row>
    <row r="1896" ht="14.25" customHeight="1">
      <c r="A1896" s="30"/>
      <c r="B1896" s="1"/>
      <c r="C1896" s="30"/>
      <c r="D1896" s="1"/>
      <c r="E1896" s="30"/>
      <c r="F1896" s="30"/>
      <c r="G1896" s="30"/>
      <c r="H1896" s="30"/>
      <c r="I1896" s="30"/>
      <c r="J1896" s="30"/>
      <c r="K1896" s="30"/>
      <c r="L1896" s="30"/>
      <c r="M1896" s="30"/>
      <c r="N1896" s="30"/>
      <c r="O1896" s="30"/>
    </row>
    <row r="1897" ht="14.25" customHeight="1">
      <c r="A1897" s="30"/>
      <c r="B1897" s="1"/>
      <c r="C1897" s="30"/>
      <c r="D1897" s="1"/>
      <c r="E1897" s="30"/>
      <c r="F1897" s="30"/>
      <c r="G1897" s="30"/>
      <c r="H1897" s="30"/>
      <c r="I1897" s="30"/>
      <c r="J1897" s="30"/>
      <c r="K1897" s="30"/>
      <c r="L1897" s="30"/>
      <c r="M1897" s="30"/>
      <c r="N1897" s="30"/>
      <c r="O1897" s="30"/>
    </row>
    <row r="1898" ht="14.25" customHeight="1">
      <c r="A1898" s="30"/>
      <c r="B1898" s="1"/>
      <c r="C1898" s="30"/>
      <c r="D1898" s="1"/>
      <c r="E1898" s="30"/>
      <c r="F1898" s="30"/>
      <c r="G1898" s="30"/>
      <c r="H1898" s="30"/>
      <c r="I1898" s="30"/>
      <c r="J1898" s="30"/>
      <c r="K1898" s="30"/>
      <c r="L1898" s="30"/>
      <c r="M1898" s="30"/>
      <c r="N1898" s="30"/>
      <c r="O1898" s="30"/>
    </row>
    <row r="1899" ht="14.25" customHeight="1">
      <c r="A1899" s="30"/>
      <c r="B1899" s="1"/>
      <c r="C1899" s="30"/>
      <c r="D1899" s="1"/>
      <c r="E1899" s="30"/>
      <c r="F1899" s="30"/>
      <c r="G1899" s="30"/>
      <c r="H1899" s="30"/>
      <c r="I1899" s="30"/>
      <c r="J1899" s="30"/>
      <c r="K1899" s="30"/>
      <c r="L1899" s="30"/>
      <c r="M1899" s="30"/>
      <c r="N1899" s="30"/>
      <c r="O1899" s="30"/>
    </row>
    <row r="1900" ht="14.25" customHeight="1">
      <c r="A1900" s="30"/>
      <c r="B1900" s="1"/>
      <c r="C1900" s="30"/>
      <c r="D1900" s="1"/>
      <c r="E1900" s="30"/>
      <c r="F1900" s="30"/>
      <c r="G1900" s="30"/>
      <c r="H1900" s="30"/>
      <c r="I1900" s="30"/>
      <c r="J1900" s="30"/>
      <c r="K1900" s="30"/>
      <c r="L1900" s="30"/>
      <c r="M1900" s="30"/>
      <c r="N1900" s="30"/>
      <c r="O1900" s="30"/>
    </row>
    <row r="1901" ht="14.25" customHeight="1">
      <c r="A1901" s="30"/>
      <c r="B1901" s="1"/>
      <c r="C1901" s="30"/>
      <c r="D1901" s="1"/>
      <c r="E1901" s="30"/>
      <c r="F1901" s="30"/>
      <c r="G1901" s="30"/>
      <c r="H1901" s="30"/>
      <c r="I1901" s="30"/>
      <c r="J1901" s="30"/>
      <c r="K1901" s="30"/>
      <c r="L1901" s="30"/>
      <c r="M1901" s="30"/>
      <c r="N1901" s="30"/>
      <c r="O1901" s="30"/>
    </row>
    <row r="1902" ht="14.25" customHeight="1">
      <c r="A1902" s="30"/>
      <c r="B1902" s="1"/>
      <c r="C1902" s="30"/>
      <c r="D1902" s="1"/>
      <c r="E1902" s="30"/>
      <c r="F1902" s="30"/>
      <c r="G1902" s="30"/>
      <c r="H1902" s="30"/>
      <c r="I1902" s="30"/>
      <c r="J1902" s="30"/>
      <c r="K1902" s="30"/>
      <c r="L1902" s="30"/>
      <c r="M1902" s="30"/>
      <c r="N1902" s="30"/>
      <c r="O1902" s="30"/>
    </row>
    <row r="1903" ht="14.25" customHeight="1">
      <c r="A1903" s="30"/>
      <c r="B1903" s="1"/>
      <c r="C1903" s="30"/>
      <c r="D1903" s="1"/>
      <c r="E1903" s="30"/>
      <c r="F1903" s="30"/>
      <c r="G1903" s="30"/>
      <c r="H1903" s="30"/>
      <c r="I1903" s="30"/>
      <c r="J1903" s="30"/>
      <c r="K1903" s="30"/>
      <c r="L1903" s="30"/>
      <c r="M1903" s="30"/>
      <c r="N1903" s="30"/>
      <c r="O1903" s="30"/>
    </row>
    <row r="1904" ht="14.25" customHeight="1">
      <c r="A1904" s="30"/>
      <c r="B1904" s="1"/>
      <c r="C1904" s="30"/>
      <c r="D1904" s="1"/>
      <c r="E1904" s="30"/>
      <c r="F1904" s="30"/>
      <c r="G1904" s="30"/>
      <c r="H1904" s="30"/>
      <c r="I1904" s="30"/>
      <c r="J1904" s="30"/>
      <c r="K1904" s="30"/>
      <c r="L1904" s="30"/>
      <c r="M1904" s="30"/>
      <c r="N1904" s="30"/>
      <c r="O1904" s="30"/>
    </row>
    <row r="1905" ht="14.25" customHeight="1">
      <c r="A1905" s="30"/>
      <c r="B1905" s="1"/>
      <c r="C1905" s="30"/>
      <c r="D1905" s="1"/>
      <c r="E1905" s="30"/>
      <c r="F1905" s="30"/>
      <c r="G1905" s="30"/>
      <c r="H1905" s="30"/>
      <c r="I1905" s="30"/>
      <c r="J1905" s="30"/>
      <c r="K1905" s="30"/>
      <c r="L1905" s="30"/>
      <c r="M1905" s="30"/>
      <c r="N1905" s="30"/>
      <c r="O1905" s="30"/>
    </row>
    <row r="1906" ht="14.25" customHeight="1">
      <c r="A1906" s="30"/>
      <c r="B1906" s="1"/>
      <c r="C1906" s="30"/>
      <c r="D1906" s="1"/>
      <c r="E1906" s="30"/>
      <c r="F1906" s="30"/>
      <c r="G1906" s="30"/>
      <c r="H1906" s="30"/>
      <c r="I1906" s="30"/>
      <c r="J1906" s="30"/>
      <c r="K1906" s="30"/>
      <c r="L1906" s="30"/>
      <c r="M1906" s="30"/>
      <c r="N1906" s="30"/>
      <c r="O1906" s="30"/>
    </row>
    <row r="1907" ht="14.25" customHeight="1">
      <c r="A1907" s="30"/>
      <c r="B1907" s="1"/>
      <c r="C1907" s="30"/>
      <c r="D1907" s="1"/>
      <c r="E1907" s="30"/>
      <c r="F1907" s="30"/>
      <c r="G1907" s="30"/>
      <c r="H1907" s="30"/>
      <c r="I1907" s="30"/>
      <c r="J1907" s="30"/>
      <c r="K1907" s="30"/>
      <c r="L1907" s="30"/>
      <c r="M1907" s="30"/>
      <c r="N1907" s="30"/>
      <c r="O1907" s="30"/>
    </row>
    <row r="1908" ht="14.25" customHeight="1">
      <c r="A1908" s="30"/>
      <c r="B1908" s="1"/>
      <c r="C1908" s="30"/>
      <c r="D1908" s="1"/>
      <c r="E1908" s="30"/>
      <c r="F1908" s="30"/>
      <c r="G1908" s="30"/>
      <c r="H1908" s="30"/>
      <c r="I1908" s="30"/>
      <c r="J1908" s="30"/>
      <c r="K1908" s="30"/>
      <c r="L1908" s="30"/>
      <c r="M1908" s="30"/>
      <c r="N1908" s="30"/>
      <c r="O1908" s="30"/>
    </row>
    <row r="1909" ht="14.25" customHeight="1">
      <c r="A1909" s="30"/>
      <c r="B1909" s="1"/>
      <c r="C1909" s="30"/>
      <c r="D1909" s="1"/>
      <c r="E1909" s="30"/>
      <c r="F1909" s="30"/>
      <c r="G1909" s="30"/>
      <c r="H1909" s="30"/>
      <c r="I1909" s="30"/>
      <c r="J1909" s="30"/>
      <c r="K1909" s="30"/>
      <c r="L1909" s="30"/>
      <c r="M1909" s="30"/>
      <c r="N1909" s="30"/>
      <c r="O1909" s="30"/>
    </row>
    <row r="1910" ht="14.25" customHeight="1">
      <c r="A1910" s="30"/>
      <c r="B1910" s="1"/>
      <c r="C1910" s="30"/>
      <c r="D1910" s="1"/>
      <c r="E1910" s="30"/>
      <c r="F1910" s="30"/>
      <c r="G1910" s="30"/>
      <c r="H1910" s="30"/>
      <c r="I1910" s="30"/>
      <c r="J1910" s="30"/>
      <c r="K1910" s="30"/>
      <c r="L1910" s="30"/>
      <c r="M1910" s="30"/>
      <c r="N1910" s="30"/>
      <c r="O1910" s="30"/>
    </row>
    <row r="1911" ht="14.25" customHeight="1">
      <c r="A1911" s="30"/>
      <c r="B1911" s="1"/>
      <c r="C1911" s="30"/>
      <c r="D1911" s="1"/>
      <c r="E1911" s="30"/>
      <c r="F1911" s="30"/>
      <c r="G1911" s="30"/>
      <c r="H1911" s="30"/>
      <c r="I1911" s="30"/>
      <c r="J1911" s="30"/>
      <c r="K1911" s="30"/>
      <c r="L1911" s="30"/>
      <c r="M1911" s="30"/>
      <c r="N1911" s="30"/>
      <c r="O1911" s="30"/>
    </row>
    <row r="1912" ht="14.25" customHeight="1">
      <c r="A1912" s="30"/>
      <c r="B1912" s="1"/>
      <c r="C1912" s="30"/>
      <c r="D1912" s="1"/>
      <c r="E1912" s="30"/>
      <c r="F1912" s="30"/>
      <c r="G1912" s="30"/>
      <c r="H1912" s="30"/>
      <c r="I1912" s="30"/>
      <c r="J1912" s="30"/>
      <c r="K1912" s="30"/>
      <c r="L1912" s="30"/>
      <c r="M1912" s="30"/>
      <c r="N1912" s="30"/>
      <c r="O1912" s="30"/>
    </row>
    <row r="1913" ht="14.25" customHeight="1">
      <c r="A1913" s="30"/>
      <c r="B1913" s="1"/>
      <c r="C1913" s="30"/>
      <c r="D1913" s="1"/>
      <c r="E1913" s="30"/>
      <c r="F1913" s="30"/>
      <c r="G1913" s="30"/>
      <c r="H1913" s="30"/>
      <c r="I1913" s="30"/>
      <c r="J1913" s="30"/>
      <c r="K1913" s="30"/>
      <c r="L1913" s="30"/>
      <c r="M1913" s="30"/>
      <c r="N1913" s="30"/>
      <c r="O1913" s="30"/>
    </row>
    <row r="1914" ht="14.25" customHeight="1">
      <c r="A1914" s="30"/>
      <c r="B1914" s="1"/>
      <c r="C1914" s="30"/>
      <c r="D1914" s="1"/>
      <c r="E1914" s="30"/>
      <c r="F1914" s="30"/>
      <c r="G1914" s="30"/>
      <c r="H1914" s="30"/>
      <c r="I1914" s="30"/>
      <c r="J1914" s="30"/>
      <c r="K1914" s="30"/>
      <c r="L1914" s="30"/>
      <c r="M1914" s="30"/>
      <c r="N1914" s="30"/>
      <c r="O1914" s="30"/>
    </row>
    <row r="1915" ht="14.25" customHeight="1">
      <c r="A1915" s="30"/>
      <c r="B1915" s="1"/>
      <c r="C1915" s="30"/>
      <c r="D1915" s="1"/>
      <c r="E1915" s="30"/>
      <c r="F1915" s="30"/>
      <c r="G1915" s="30"/>
      <c r="H1915" s="30"/>
      <c r="I1915" s="30"/>
      <c r="J1915" s="30"/>
      <c r="K1915" s="30"/>
      <c r="L1915" s="30"/>
      <c r="M1915" s="30"/>
      <c r="N1915" s="30"/>
      <c r="O1915" s="30"/>
    </row>
    <row r="1916" ht="14.25" customHeight="1">
      <c r="A1916" s="30"/>
      <c r="B1916" s="1"/>
      <c r="C1916" s="30"/>
      <c r="D1916" s="1"/>
      <c r="E1916" s="30"/>
      <c r="F1916" s="30"/>
      <c r="G1916" s="30"/>
      <c r="H1916" s="30"/>
      <c r="I1916" s="30"/>
      <c r="J1916" s="30"/>
      <c r="K1916" s="30"/>
      <c r="L1916" s="30"/>
      <c r="M1916" s="30"/>
      <c r="N1916" s="30"/>
      <c r="O1916" s="30"/>
    </row>
    <row r="1917" ht="14.25" customHeight="1">
      <c r="A1917" s="30"/>
      <c r="B1917" s="1"/>
      <c r="C1917" s="30"/>
      <c r="D1917" s="1"/>
      <c r="E1917" s="30"/>
      <c r="F1917" s="30"/>
      <c r="G1917" s="30"/>
      <c r="H1917" s="30"/>
      <c r="I1917" s="30"/>
      <c r="J1917" s="30"/>
      <c r="K1917" s="30"/>
      <c r="L1917" s="30"/>
      <c r="M1917" s="30"/>
      <c r="N1917" s="30"/>
      <c r="O1917" s="30"/>
    </row>
    <row r="1918" ht="14.25" customHeight="1">
      <c r="A1918" s="30"/>
      <c r="B1918" s="1"/>
      <c r="C1918" s="30"/>
      <c r="D1918" s="1"/>
      <c r="E1918" s="30"/>
      <c r="F1918" s="30"/>
      <c r="G1918" s="30"/>
      <c r="H1918" s="30"/>
      <c r="I1918" s="30"/>
      <c r="J1918" s="30"/>
      <c r="K1918" s="30"/>
      <c r="L1918" s="30"/>
      <c r="M1918" s="30"/>
      <c r="N1918" s="30"/>
      <c r="O1918" s="30"/>
    </row>
    <row r="1919" ht="14.25" customHeight="1">
      <c r="A1919" s="30"/>
      <c r="B1919" s="1"/>
      <c r="C1919" s="30"/>
      <c r="D1919" s="1"/>
      <c r="E1919" s="30"/>
      <c r="F1919" s="30"/>
      <c r="G1919" s="30"/>
      <c r="H1919" s="30"/>
      <c r="I1919" s="30"/>
      <c r="J1919" s="30"/>
      <c r="K1919" s="30"/>
      <c r="L1919" s="30"/>
      <c r="M1919" s="30"/>
      <c r="N1919" s="30"/>
      <c r="O1919" s="30"/>
    </row>
    <row r="1920" ht="14.25" customHeight="1">
      <c r="A1920" s="30"/>
      <c r="B1920" s="1"/>
      <c r="C1920" s="30"/>
      <c r="D1920" s="1"/>
      <c r="E1920" s="30"/>
      <c r="F1920" s="30"/>
      <c r="G1920" s="30"/>
      <c r="H1920" s="30"/>
      <c r="I1920" s="30"/>
      <c r="J1920" s="30"/>
      <c r="K1920" s="30"/>
      <c r="L1920" s="30"/>
      <c r="M1920" s="30"/>
      <c r="N1920" s="30"/>
      <c r="O1920" s="30"/>
    </row>
    <row r="1921" ht="14.25" customHeight="1">
      <c r="A1921" s="30"/>
      <c r="B1921" s="1"/>
      <c r="C1921" s="30"/>
      <c r="D1921" s="1"/>
      <c r="E1921" s="30"/>
      <c r="F1921" s="30"/>
      <c r="G1921" s="30"/>
      <c r="H1921" s="30"/>
      <c r="I1921" s="30"/>
      <c r="J1921" s="30"/>
      <c r="K1921" s="30"/>
      <c r="L1921" s="30"/>
      <c r="M1921" s="30"/>
      <c r="N1921" s="30"/>
      <c r="O1921" s="30"/>
    </row>
    <row r="1922" ht="14.25" customHeight="1">
      <c r="A1922" s="30"/>
      <c r="B1922" s="1"/>
      <c r="C1922" s="30"/>
      <c r="D1922" s="1"/>
      <c r="E1922" s="30"/>
      <c r="F1922" s="30"/>
      <c r="G1922" s="30"/>
      <c r="H1922" s="30"/>
      <c r="I1922" s="30"/>
      <c r="J1922" s="30"/>
      <c r="K1922" s="30"/>
      <c r="L1922" s="30"/>
      <c r="M1922" s="30"/>
      <c r="N1922" s="30"/>
      <c r="O1922" s="30"/>
    </row>
    <row r="1923" ht="14.25" customHeight="1">
      <c r="A1923" s="30"/>
      <c r="B1923" s="1"/>
      <c r="C1923" s="30"/>
      <c r="D1923" s="1"/>
      <c r="E1923" s="30"/>
      <c r="F1923" s="30"/>
      <c r="G1923" s="30"/>
      <c r="H1923" s="30"/>
      <c r="I1923" s="30"/>
      <c r="J1923" s="30"/>
      <c r="K1923" s="30"/>
      <c r="L1923" s="30"/>
      <c r="M1923" s="30"/>
      <c r="N1923" s="30"/>
      <c r="O1923" s="30"/>
    </row>
    <row r="1924" ht="14.25" customHeight="1">
      <c r="A1924" s="30"/>
      <c r="B1924" s="1"/>
      <c r="C1924" s="30"/>
      <c r="D1924" s="1"/>
      <c r="E1924" s="30"/>
      <c r="F1924" s="30"/>
      <c r="G1924" s="30"/>
      <c r="H1924" s="30"/>
      <c r="I1924" s="30"/>
      <c r="J1924" s="30"/>
      <c r="K1924" s="30"/>
      <c r="L1924" s="30"/>
      <c r="M1924" s="30"/>
      <c r="N1924" s="30"/>
      <c r="O1924" s="30"/>
    </row>
    <row r="1925" ht="14.25" customHeight="1">
      <c r="A1925" s="30"/>
      <c r="B1925" s="1"/>
      <c r="C1925" s="30"/>
      <c r="D1925" s="1"/>
      <c r="E1925" s="30"/>
      <c r="F1925" s="30"/>
      <c r="G1925" s="30"/>
      <c r="H1925" s="30"/>
      <c r="I1925" s="30"/>
      <c r="J1925" s="30"/>
      <c r="K1925" s="30"/>
      <c r="L1925" s="30"/>
      <c r="M1925" s="30"/>
      <c r="N1925" s="30"/>
      <c r="O1925" s="30"/>
    </row>
    <row r="1926" ht="14.25" customHeight="1">
      <c r="A1926" s="30"/>
      <c r="B1926" s="1"/>
      <c r="C1926" s="30"/>
      <c r="D1926" s="1"/>
      <c r="E1926" s="30"/>
      <c r="F1926" s="30"/>
      <c r="G1926" s="30"/>
      <c r="H1926" s="30"/>
      <c r="I1926" s="30"/>
      <c r="J1926" s="30"/>
      <c r="K1926" s="30"/>
      <c r="L1926" s="30"/>
      <c r="M1926" s="30"/>
      <c r="N1926" s="30"/>
      <c r="O1926" s="30"/>
    </row>
    <row r="1927" ht="14.25" customHeight="1">
      <c r="A1927" s="30"/>
      <c r="B1927" s="1"/>
      <c r="C1927" s="30"/>
      <c r="D1927" s="1"/>
      <c r="E1927" s="30"/>
      <c r="F1927" s="30"/>
      <c r="G1927" s="30"/>
      <c r="H1927" s="30"/>
      <c r="I1927" s="30"/>
      <c r="J1927" s="30"/>
      <c r="K1927" s="30"/>
      <c r="L1927" s="30"/>
      <c r="M1927" s="30"/>
      <c r="N1927" s="30"/>
      <c r="O1927" s="30"/>
    </row>
    <row r="1928" ht="14.25" customHeight="1">
      <c r="A1928" s="30"/>
      <c r="B1928" s="1"/>
      <c r="C1928" s="30"/>
      <c r="D1928" s="1"/>
      <c r="E1928" s="30"/>
      <c r="F1928" s="30"/>
      <c r="G1928" s="30"/>
      <c r="H1928" s="30"/>
      <c r="I1928" s="30"/>
      <c r="J1928" s="30"/>
      <c r="K1928" s="30"/>
      <c r="L1928" s="30"/>
      <c r="M1928" s="30"/>
      <c r="N1928" s="30"/>
      <c r="O1928" s="30"/>
    </row>
    <row r="1929" ht="14.25" customHeight="1">
      <c r="A1929" s="30"/>
      <c r="B1929" s="1"/>
      <c r="C1929" s="30"/>
      <c r="D1929" s="1"/>
      <c r="E1929" s="30"/>
      <c r="F1929" s="30"/>
      <c r="G1929" s="30"/>
      <c r="H1929" s="30"/>
      <c r="I1929" s="30"/>
      <c r="J1929" s="30"/>
      <c r="K1929" s="30"/>
      <c r="L1929" s="30"/>
      <c r="M1929" s="30"/>
      <c r="N1929" s="30"/>
      <c r="O1929" s="30"/>
    </row>
    <row r="1930" ht="14.25" customHeight="1">
      <c r="A1930" s="30"/>
      <c r="B1930" s="1"/>
      <c r="C1930" s="30"/>
      <c r="D1930" s="1"/>
      <c r="E1930" s="30"/>
      <c r="F1930" s="30"/>
      <c r="G1930" s="30"/>
      <c r="H1930" s="30"/>
      <c r="I1930" s="30"/>
      <c r="J1930" s="30"/>
      <c r="K1930" s="30"/>
      <c r="L1930" s="30"/>
      <c r="M1930" s="30"/>
      <c r="N1930" s="30"/>
      <c r="O1930" s="30"/>
    </row>
    <row r="1931" ht="14.25" customHeight="1">
      <c r="A1931" s="30"/>
      <c r="B1931" s="1"/>
      <c r="C1931" s="30"/>
      <c r="D1931" s="1"/>
      <c r="E1931" s="30"/>
      <c r="F1931" s="30"/>
      <c r="G1931" s="30"/>
      <c r="H1931" s="30"/>
      <c r="I1931" s="30"/>
      <c r="J1931" s="30"/>
      <c r="K1931" s="30"/>
      <c r="L1931" s="30"/>
      <c r="M1931" s="30"/>
      <c r="N1931" s="30"/>
      <c r="O1931" s="30"/>
    </row>
    <row r="1932" ht="14.25" customHeight="1">
      <c r="A1932" s="30"/>
      <c r="B1932" s="1"/>
      <c r="C1932" s="30"/>
      <c r="D1932" s="1"/>
      <c r="E1932" s="30"/>
      <c r="F1932" s="30"/>
      <c r="G1932" s="30"/>
      <c r="H1932" s="30"/>
      <c r="I1932" s="30"/>
      <c r="J1932" s="30"/>
      <c r="K1932" s="30"/>
      <c r="L1932" s="30"/>
      <c r="M1932" s="30"/>
      <c r="N1932" s="30"/>
      <c r="O1932" s="30"/>
    </row>
    <row r="1933" ht="14.25" customHeight="1">
      <c r="A1933" s="30"/>
      <c r="B1933" s="1"/>
      <c r="C1933" s="30"/>
      <c r="D1933" s="1"/>
      <c r="E1933" s="30"/>
      <c r="F1933" s="30"/>
      <c r="G1933" s="30"/>
      <c r="H1933" s="30"/>
      <c r="I1933" s="30"/>
      <c r="J1933" s="30"/>
      <c r="K1933" s="30"/>
      <c r="L1933" s="30"/>
      <c r="M1933" s="30"/>
      <c r="N1933" s="30"/>
      <c r="O1933" s="30"/>
    </row>
    <row r="1934" ht="14.25" customHeight="1">
      <c r="A1934" s="30"/>
      <c r="B1934" s="1"/>
      <c r="C1934" s="30"/>
      <c r="D1934" s="1"/>
      <c r="E1934" s="30"/>
      <c r="F1934" s="30"/>
      <c r="G1934" s="30"/>
      <c r="H1934" s="30"/>
      <c r="I1934" s="30"/>
      <c r="J1934" s="30"/>
      <c r="K1934" s="30"/>
      <c r="L1934" s="30"/>
      <c r="M1934" s="30"/>
      <c r="N1934" s="30"/>
      <c r="O1934" s="30"/>
    </row>
    <row r="1935" ht="14.25" customHeight="1">
      <c r="A1935" s="30"/>
      <c r="B1935" s="1"/>
      <c r="C1935" s="30"/>
      <c r="D1935" s="1"/>
      <c r="E1935" s="30"/>
      <c r="F1935" s="30"/>
      <c r="G1935" s="30"/>
      <c r="H1935" s="30"/>
      <c r="I1935" s="30"/>
      <c r="J1935" s="30"/>
      <c r="K1935" s="30"/>
      <c r="L1935" s="30"/>
      <c r="M1935" s="30"/>
      <c r="N1935" s="30"/>
      <c r="O1935" s="30"/>
    </row>
    <row r="1936" ht="14.25" customHeight="1">
      <c r="A1936" s="30"/>
      <c r="B1936" s="1"/>
      <c r="C1936" s="30"/>
      <c r="D1936" s="1"/>
      <c r="E1936" s="30"/>
      <c r="F1936" s="30"/>
      <c r="G1936" s="30"/>
      <c r="H1936" s="30"/>
      <c r="I1936" s="30"/>
      <c r="J1936" s="30"/>
      <c r="K1936" s="30"/>
      <c r="L1936" s="30"/>
      <c r="M1936" s="30"/>
      <c r="N1936" s="30"/>
      <c r="O1936" s="30"/>
    </row>
    <row r="1937" ht="14.25" customHeight="1">
      <c r="A1937" s="30"/>
      <c r="B1937" s="1"/>
      <c r="C1937" s="30"/>
      <c r="D1937" s="1"/>
      <c r="E1937" s="30"/>
      <c r="F1937" s="30"/>
      <c r="G1937" s="30"/>
      <c r="H1937" s="30"/>
      <c r="I1937" s="30"/>
      <c r="J1937" s="30"/>
      <c r="K1937" s="30"/>
      <c r="L1937" s="30"/>
      <c r="M1937" s="30"/>
      <c r="N1937" s="30"/>
      <c r="O1937" s="30"/>
    </row>
    <row r="1938" ht="14.25" customHeight="1">
      <c r="A1938" s="30"/>
      <c r="B1938" s="1"/>
      <c r="C1938" s="30"/>
      <c r="D1938" s="1"/>
      <c r="E1938" s="30"/>
      <c r="F1938" s="30"/>
      <c r="G1938" s="30"/>
      <c r="H1938" s="30"/>
      <c r="I1938" s="30"/>
      <c r="J1938" s="30"/>
      <c r="K1938" s="30"/>
      <c r="L1938" s="30"/>
      <c r="M1938" s="30"/>
      <c r="N1938" s="30"/>
      <c r="O1938" s="30"/>
    </row>
    <row r="1939" ht="14.25" customHeight="1">
      <c r="A1939" s="30"/>
      <c r="B1939" s="1"/>
      <c r="C1939" s="30"/>
      <c r="D1939" s="1"/>
      <c r="E1939" s="30"/>
      <c r="F1939" s="30"/>
      <c r="G1939" s="30"/>
      <c r="H1939" s="30"/>
      <c r="I1939" s="30"/>
      <c r="J1939" s="30"/>
      <c r="K1939" s="30"/>
      <c r="L1939" s="30"/>
      <c r="M1939" s="30"/>
      <c r="N1939" s="30"/>
      <c r="O1939" s="30"/>
    </row>
    <row r="1940" ht="14.25" customHeight="1">
      <c r="A1940" s="30"/>
      <c r="B1940" s="1"/>
      <c r="C1940" s="30"/>
      <c r="D1940" s="1"/>
      <c r="E1940" s="30"/>
      <c r="F1940" s="30"/>
      <c r="G1940" s="30"/>
      <c r="H1940" s="30"/>
      <c r="I1940" s="30"/>
      <c r="J1940" s="30"/>
      <c r="K1940" s="30"/>
      <c r="L1940" s="30"/>
      <c r="M1940" s="30"/>
      <c r="N1940" s="30"/>
      <c r="O1940" s="30"/>
    </row>
    <row r="1941" ht="14.25" customHeight="1">
      <c r="A1941" s="30"/>
      <c r="B1941" s="1"/>
      <c r="C1941" s="30"/>
      <c r="D1941" s="1"/>
      <c r="E1941" s="30"/>
      <c r="F1941" s="30"/>
      <c r="G1941" s="30"/>
      <c r="H1941" s="30"/>
      <c r="I1941" s="30"/>
      <c r="J1941" s="30"/>
      <c r="K1941" s="30"/>
      <c r="L1941" s="30"/>
      <c r="M1941" s="30"/>
      <c r="N1941" s="30"/>
      <c r="O1941" s="30"/>
    </row>
    <row r="1942" ht="14.25" customHeight="1">
      <c r="A1942" s="30"/>
      <c r="B1942" s="1"/>
      <c r="C1942" s="30"/>
      <c r="D1942" s="1"/>
      <c r="E1942" s="30"/>
      <c r="F1942" s="30"/>
      <c r="G1942" s="30"/>
      <c r="H1942" s="30"/>
      <c r="I1942" s="30"/>
      <c r="J1942" s="30"/>
      <c r="K1942" s="30"/>
      <c r="L1942" s="30"/>
      <c r="M1942" s="30"/>
      <c r="N1942" s="30"/>
      <c r="O1942" s="30"/>
    </row>
    <row r="1943" ht="14.25" customHeight="1">
      <c r="A1943" s="30"/>
      <c r="B1943" s="1"/>
      <c r="C1943" s="30"/>
      <c r="D1943" s="1"/>
      <c r="E1943" s="30"/>
      <c r="F1943" s="30"/>
      <c r="G1943" s="30"/>
      <c r="H1943" s="30"/>
      <c r="I1943" s="30"/>
      <c r="J1943" s="30"/>
      <c r="K1943" s="30"/>
      <c r="L1943" s="30"/>
      <c r="M1943" s="30"/>
      <c r="N1943" s="30"/>
      <c r="O1943" s="30"/>
    </row>
    <row r="1944" ht="14.25" customHeight="1">
      <c r="A1944" s="30"/>
      <c r="B1944" s="1"/>
      <c r="C1944" s="30"/>
      <c r="D1944" s="1"/>
      <c r="E1944" s="30"/>
      <c r="F1944" s="30"/>
      <c r="G1944" s="30"/>
      <c r="H1944" s="30"/>
      <c r="I1944" s="30"/>
      <c r="J1944" s="30"/>
      <c r="K1944" s="30"/>
      <c r="L1944" s="30"/>
      <c r="M1944" s="30"/>
      <c r="N1944" s="30"/>
      <c r="O1944" s="30"/>
    </row>
    <row r="1945" ht="14.25" customHeight="1">
      <c r="A1945" s="30"/>
      <c r="B1945" s="1"/>
      <c r="C1945" s="30"/>
      <c r="D1945" s="1"/>
      <c r="E1945" s="30"/>
      <c r="F1945" s="30"/>
      <c r="G1945" s="30"/>
      <c r="H1945" s="30"/>
      <c r="I1945" s="30"/>
      <c r="J1945" s="30"/>
      <c r="K1945" s="30"/>
      <c r="L1945" s="30"/>
      <c r="M1945" s="30"/>
      <c r="N1945" s="30"/>
      <c r="O1945" s="30"/>
    </row>
    <row r="1946" ht="14.25" customHeight="1">
      <c r="A1946" s="30"/>
      <c r="B1946" s="1"/>
      <c r="C1946" s="30"/>
      <c r="D1946" s="1"/>
      <c r="E1946" s="30"/>
      <c r="F1946" s="30"/>
      <c r="G1946" s="30"/>
      <c r="H1946" s="30"/>
      <c r="I1946" s="30"/>
      <c r="J1946" s="30"/>
      <c r="K1946" s="30"/>
      <c r="L1946" s="30"/>
      <c r="M1946" s="30"/>
      <c r="N1946" s="30"/>
      <c r="O1946" s="30"/>
    </row>
    <row r="1947" ht="14.25" customHeight="1">
      <c r="A1947" s="30"/>
      <c r="B1947" s="1"/>
      <c r="C1947" s="30"/>
      <c r="D1947" s="1"/>
      <c r="E1947" s="30"/>
      <c r="F1947" s="30"/>
      <c r="G1947" s="30"/>
      <c r="H1947" s="30"/>
      <c r="I1947" s="30"/>
      <c r="J1947" s="30"/>
      <c r="K1947" s="30"/>
      <c r="L1947" s="30"/>
      <c r="M1947" s="30"/>
      <c r="N1947" s="30"/>
      <c r="O1947" s="30"/>
    </row>
    <row r="1948" ht="14.25" customHeight="1">
      <c r="A1948" s="30"/>
      <c r="B1948" s="1"/>
      <c r="C1948" s="30"/>
      <c r="D1948" s="1"/>
      <c r="E1948" s="30"/>
      <c r="F1948" s="30"/>
      <c r="G1948" s="30"/>
      <c r="H1948" s="30"/>
      <c r="I1948" s="30"/>
      <c r="J1948" s="30"/>
      <c r="K1948" s="30"/>
      <c r="L1948" s="30"/>
      <c r="M1948" s="30"/>
      <c r="N1948" s="30"/>
      <c r="O1948" s="30"/>
    </row>
    <row r="1949" ht="14.25" customHeight="1">
      <c r="A1949" s="30"/>
      <c r="B1949" s="1"/>
      <c r="C1949" s="30"/>
      <c r="D1949" s="1"/>
      <c r="E1949" s="30"/>
      <c r="F1949" s="30"/>
      <c r="G1949" s="30"/>
      <c r="H1949" s="30"/>
      <c r="I1949" s="30"/>
      <c r="J1949" s="30"/>
      <c r="K1949" s="30"/>
      <c r="L1949" s="30"/>
      <c r="M1949" s="30"/>
      <c r="N1949" s="30"/>
      <c r="O1949" s="30"/>
    </row>
    <row r="1950" ht="14.25" customHeight="1">
      <c r="A1950" s="30"/>
      <c r="B1950" s="1"/>
      <c r="C1950" s="30"/>
      <c r="D1950" s="1"/>
      <c r="E1950" s="30"/>
      <c r="F1950" s="30"/>
      <c r="G1950" s="30"/>
      <c r="H1950" s="30"/>
      <c r="I1950" s="30"/>
      <c r="J1950" s="30"/>
      <c r="K1950" s="30"/>
      <c r="L1950" s="30"/>
      <c r="M1950" s="30"/>
      <c r="N1950" s="30"/>
      <c r="O1950" s="30"/>
    </row>
    <row r="1951" ht="14.25" customHeight="1">
      <c r="A1951" s="30"/>
      <c r="B1951" s="1"/>
      <c r="C1951" s="30"/>
      <c r="D1951" s="1"/>
      <c r="E1951" s="30"/>
      <c r="F1951" s="30"/>
      <c r="G1951" s="30"/>
      <c r="H1951" s="30"/>
      <c r="I1951" s="30"/>
      <c r="J1951" s="30"/>
      <c r="K1951" s="30"/>
      <c r="L1951" s="30"/>
      <c r="M1951" s="30"/>
      <c r="N1951" s="30"/>
      <c r="O1951" s="30"/>
    </row>
    <row r="1952" ht="14.25" customHeight="1">
      <c r="A1952" s="30"/>
      <c r="B1952" s="1"/>
      <c r="C1952" s="30"/>
      <c r="D1952" s="1"/>
      <c r="E1952" s="30"/>
      <c r="F1952" s="30"/>
      <c r="G1952" s="30"/>
      <c r="H1952" s="30"/>
      <c r="I1952" s="30"/>
      <c r="J1952" s="30"/>
      <c r="K1952" s="30"/>
      <c r="L1952" s="30"/>
      <c r="M1952" s="30"/>
      <c r="N1952" s="30"/>
      <c r="O1952" s="30"/>
    </row>
    <row r="1953" ht="14.25" customHeight="1">
      <c r="A1953" s="30"/>
      <c r="B1953" s="1"/>
      <c r="C1953" s="30"/>
      <c r="D1953" s="1"/>
      <c r="E1953" s="30"/>
      <c r="F1953" s="30"/>
      <c r="G1953" s="30"/>
      <c r="H1953" s="30"/>
      <c r="I1953" s="30"/>
      <c r="J1953" s="30"/>
      <c r="K1953" s="30"/>
      <c r="L1953" s="30"/>
      <c r="M1953" s="30"/>
      <c r="N1953" s="30"/>
      <c r="O1953" s="30"/>
    </row>
    <row r="1954" ht="14.25" customHeight="1">
      <c r="A1954" s="30"/>
      <c r="B1954" s="1"/>
      <c r="C1954" s="30"/>
      <c r="D1954" s="1"/>
      <c r="E1954" s="30"/>
      <c r="F1954" s="30"/>
      <c r="G1954" s="30"/>
      <c r="H1954" s="30"/>
      <c r="I1954" s="30"/>
      <c r="J1954" s="30"/>
      <c r="K1954" s="30"/>
      <c r="L1954" s="30"/>
      <c r="M1954" s="30"/>
      <c r="N1954" s="30"/>
      <c r="O1954" s="30"/>
    </row>
    <row r="1955" ht="14.25" customHeight="1">
      <c r="A1955" s="30"/>
      <c r="B1955" s="1"/>
      <c r="C1955" s="30"/>
      <c r="D1955" s="1"/>
      <c r="E1955" s="30"/>
      <c r="F1955" s="30"/>
      <c r="G1955" s="30"/>
      <c r="H1955" s="30"/>
      <c r="I1955" s="30"/>
      <c r="J1955" s="30"/>
      <c r="K1955" s="30"/>
      <c r="L1955" s="30"/>
      <c r="M1955" s="30"/>
      <c r="N1955" s="30"/>
      <c r="O1955" s="30"/>
    </row>
    <row r="1956" ht="14.25" customHeight="1">
      <c r="A1956" s="30"/>
      <c r="B1956" s="1"/>
      <c r="C1956" s="30"/>
      <c r="D1956" s="1"/>
      <c r="E1956" s="30"/>
      <c r="F1956" s="30"/>
      <c r="G1956" s="30"/>
      <c r="H1956" s="30"/>
      <c r="I1956" s="30"/>
      <c r="J1956" s="30"/>
      <c r="K1956" s="30"/>
      <c r="L1956" s="30"/>
      <c r="M1956" s="30"/>
      <c r="N1956" s="30"/>
      <c r="O1956" s="30"/>
    </row>
    <row r="1957" ht="14.25" customHeight="1">
      <c r="A1957" s="30"/>
      <c r="B1957" s="1"/>
      <c r="C1957" s="30"/>
      <c r="D1957" s="1"/>
      <c r="E1957" s="30"/>
      <c r="F1957" s="30"/>
      <c r="G1957" s="30"/>
      <c r="H1957" s="30"/>
      <c r="I1957" s="30"/>
      <c r="J1957" s="30"/>
      <c r="K1957" s="30"/>
      <c r="L1957" s="30"/>
      <c r="M1957" s="30"/>
      <c r="N1957" s="30"/>
      <c r="O1957" s="30"/>
    </row>
    <row r="1958" ht="14.25" customHeight="1">
      <c r="A1958" s="30"/>
      <c r="B1958" s="1"/>
      <c r="C1958" s="30"/>
      <c r="D1958" s="1"/>
      <c r="E1958" s="30"/>
      <c r="F1958" s="30"/>
      <c r="G1958" s="30"/>
      <c r="H1958" s="30"/>
      <c r="I1958" s="30"/>
      <c r="J1958" s="30"/>
      <c r="K1958" s="30"/>
      <c r="L1958" s="30"/>
      <c r="M1958" s="30"/>
      <c r="N1958" s="30"/>
      <c r="O1958" s="30"/>
    </row>
    <row r="1959" ht="14.25" customHeight="1">
      <c r="A1959" s="30"/>
      <c r="B1959" s="1"/>
      <c r="C1959" s="30"/>
      <c r="D1959" s="1"/>
      <c r="E1959" s="30"/>
      <c r="F1959" s="30"/>
      <c r="G1959" s="30"/>
      <c r="H1959" s="30"/>
      <c r="I1959" s="30"/>
      <c r="J1959" s="30"/>
      <c r="K1959" s="30"/>
      <c r="L1959" s="30"/>
      <c r="M1959" s="30"/>
      <c r="N1959" s="30"/>
      <c r="O1959" s="30"/>
    </row>
    <row r="1960" ht="14.25" customHeight="1">
      <c r="A1960" s="30"/>
      <c r="B1960" s="1"/>
      <c r="C1960" s="30"/>
      <c r="D1960" s="1"/>
      <c r="E1960" s="30"/>
      <c r="F1960" s="30"/>
      <c r="G1960" s="30"/>
      <c r="H1960" s="30"/>
      <c r="I1960" s="30"/>
      <c r="J1960" s="30"/>
      <c r="K1960" s="30"/>
      <c r="L1960" s="30"/>
      <c r="M1960" s="30"/>
      <c r="N1960" s="30"/>
      <c r="O1960" s="30"/>
    </row>
    <row r="1961" ht="14.25" customHeight="1">
      <c r="A1961" s="30"/>
      <c r="B1961" s="1"/>
      <c r="C1961" s="30"/>
      <c r="D1961" s="1"/>
      <c r="E1961" s="30"/>
      <c r="F1961" s="30"/>
      <c r="G1961" s="30"/>
      <c r="H1961" s="30"/>
      <c r="I1961" s="30"/>
      <c r="J1961" s="30"/>
      <c r="K1961" s="30"/>
      <c r="L1961" s="30"/>
      <c r="M1961" s="30"/>
      <c r="N1961" s="30"/>
      <c r="O1961" s="30"/>
    </row>
    <row r="1962" ht="14.25" customHeight="1">
      <c r="A1962" s="30"/>
      <c r="B1962" s="1"/>
      <c r="C1962" s="30"/>
      <c r="D1962" s="1"/>
      <c r="E1962" s="30"/>
      <c r="F1962" s="30"/>
      <c r="G1962" s="30"/>
      <c r="H1962" s="30"/>
      <c r="I1962" s="30"/>
      <c r="J1962" s="30"/>
      <c r="K1962" s="30"/>
      <c r="L1962" s="30"/>
      <c r="M1962" s="30"/>
      <c r="N1962" s="30"/>
      <c r="O1962" s="30"/>
    </row>
    <row r="1963" ht="14.25" customHeight="1">
      <c r="A1963" s="30"/>
      <c r="B1963" s="1"/>
      <c r="C1963" s="30"/>
      <c r="D1963" s="1"/>
      <c r="E1963" s="30"/>
      <c r="F1963" s="30"/>
      <c r="G1963" s="30"/>
      <c r="H1963" s="30"/>
      <c r="I1963" s="30"/>
      <c r="J1963" s="30"/>
      <c r="K1963" s="30"/>
      <c r="L1963" s="30"/>
      <c r="M1963" s="30"/>
      <c r="N1963" s="30"/>
      <c r="O1963" s="30"/>
    </row>
    <row r="1964" ht="14.25" customHeight="1">
      <c r="A1964" s="30"/>
      <c r="B1964" s="1"/>
      <c r="C1964" s="30"/>
      <c r="D1964" s="1"/>
      <c r="E1964" s="30"/>
      <c r="F1964" s="30"/>
      <c r="G1964" s="30"/>
      <c r="H1964" s="30"/>
      <c r="I1964" s="30"/>
      <c r="J1964" s="30"/>
      <c r="K1964" s="30"/>
      <c r="L1964" s="30"/>
      <c r="M1964" s="30"/>
      <c r="N1964" s="30"/>
      <c r="O1964" s="30"/>
    </row>
    <row r="1965" ht="14.25" customHeight="1">
      <c r="A1965" s="30"/>
      <c r="B1965" s="1"/>
      <c r="C1965" s="30"/>
      <c r="D1965" s="1"/>
      <c r="E1965" s="30"/>
      <c r="F1965" s="30"/>
      <c r="G1965" s="30"/>
      <c r="H1965" s="30"/>
      <c r="I1965" s="30"/>
      <c r="J1965" s="30"/>
      <c r="K1965" s="30"/>
      <c r="L1965" s="30"/>
      <c r="M1965" s="30"/>
      <c r="N1965" s="30"/>
      <c r="O1965" s="30"/>
    </row>
    <row r="1966" ht="14.25" customHeight="1">
      <c r="A1966" s="30"/>
      <c r="B1966" s="1"/>
      <c r="C1966" s="30"/>
      <c r="D1966" s="1"/>
      <c r="E1966" s="30"/>
      <c r="F1966" s="30"/>
      <c r="G1966" s="30"/>
      <c r="H1966" s="30"/>
      <c r="I1966" s="30"/>
      <c r="J1966" s="30"/>
      <c r="K1966" s="30"/>
      <c r="L1966" s="30"/>
      <c r="M1966" s="30"/>
      <c r="N1966" s="30"/>
      <c r="O1966" s="30"/>
    </row>
    <row r="1967" ht="14.25" customHeight="1">
      <c r="A1967" s="30"/>
      <c r="B1967" s="1"/>
      <c r="C1967" s="30"/>
      <c r="D1967" s="1"/>
      <c r="E1967" s="30"/>
      <c r="F1967" s="30"/>
      <c r="G1967" s="30"/>
      <c r="H1967" s="30"/>
      <c r="I1967" s="30"/>
      <c r="J1967" s="30"/>
      <c r="K1967" s="30"/>
      <c r="L1967" s="30"/>
      <c r="M1967" s="30"/>
      <c r="N1967" s="30"/>
      <c r="O1967" s="30"/>
    </row>
    <row r="1968" ht="14.25" customHeight="1">
      <c r="A1968" s="30"/>
      <c r="B1968" s="1"/>
      <c r="C1968" s="30"/>
      <c r="D1968" s="1"/>
      <c r="E1968" s="30"/>
      <c r="F1968" s="30"/>
      <c r="G1968" s="30"/>
      <c r="H1968" s="30"/>
      <c r="I1968" s="30"/>
      <c r="J1968" s="30"/>
      <c r="K1968" s="30"/>
      <c r="L1968" s="30"/>
      <c r="M1968" s="30"/>
      <c r="N1968" s="30"/>
      <c r="O1968" s="30"/>
    </row>
    <row r="1969" ht="14.25" customHeight="1">
      <c r="A1969" s="30"/>
      <c r="B1969" s="1"/>
      <c r="C1969" s="30"/>
      <c r="D1969" s="1"/>
      <c r="E1969" s="30"/>
      <c r="F1969" s="30"/>
      <c r="G1969" s="30"/>
      <c r="H1969" s="30"/>
      <c r="I1969" s="30"/>
      <c r="J1969" s="30"/>
      <c r="K1969" s="30"/>
      <c r="L1969" s="30"/>
      <c r="M1969" s="30"/>
      <c r="N1969" s="30"/>
      <c r="O1969" s="30"/>
    </row>
    <row r="1970" ht="14.25" customHeight="1">
      <c r="A1970" s="30"/>
      <c r="B1970" s="1"/>
      <c r="C1970" s="30"/>
      <c r="D1970" s="1"/>
      <c r="E1970" s="30"/>
      <c r="F1970" s="30"/>
      <c r="G1970" s="30"/>
      <c r="H1970" s="30"/>
      <c r="I1970" s="30"/>
      <c r="J1970" s="30"/>
      <c r="K1970" s="30"/>
      <c r="L1970" s="30"/>
      <c r="M1970" s="30"/>
      <c r="N1970" s="30"/>
      <c r="O1970" s="30"/>
    </row>
    <row r="1971" ht="14.25" customHeight="1">
      <c r="A1971" s="30"/>
      <c r="B1971" s="1"/>
      <c r="C1971" s="30"/>
      <c r="D1971" s="1"/>
      <c r="E1971" s="30"/>
      <c r="F1971" s="30"/>
      <c r="G1971" s="30"/>
      <c r="H1971" s="30"/>
      <c r="I1971" s="30"/>
      <c r="J1971" s="30"/>
      <c r="K1971" s="30"/>
      <c r="L1971" s="30"/>
      <c r="M1971" s="30"/>
      <c r="N1971" s="30"/>
      <c r="O1971" s="30"/>
    </row>
    <row r="1972" ht="14.25" customHeight="1">
      <c r="A1972" s="30"/>
      <c r="B1972" s="1"/>
      <c r="C1972" s="30"/>
      <c r="D1972" s="1"/>
      <c r="E1972" s="30"/>
      <c r="F1972" s="30"/>
      <c r="G1972" s="30"/>
      <c r="H1972" s="30"/>
      <c r="I1972" s="30"/>
      <c r="J1972" s="30"/>
      <c r="K1972" s="30"/>
      <c r="L1972" s="30"/>
      <c r="M1972" s="30"/>
      <c r="N1972" s="30"/>
      <c r="O1972" s="30"/>
    </row>
    <row r="1973" ht="14.25" customHeight="1">
      <c r="A1973" s="30"/>
      <c r="B1973" s="1"/>
      <c r="C1973" s="30"/>
      <c r="D1973" s="1"/>
      <c r="E1973" s="30"/>
      <c r="F1973" s="30"/>
      <c r="G1973" s="30"/>
      <c r="H1973" s="30"/>
      <c r="I1973" s="30"/>
      <c r="J1973" s="30"/>
      <c r="K1973" s="30"/>
      <c r="L1973" s="30"/>
      <c r="M1973" s="30"/>
      <c r="N1973" s="30"/>
      <c r="O1973" s="30"/>
    </row>
    <row r="1974" ht="14.25" customHeight="1">
      <c r="A1974" s="30"/>
      <c r="B1974" s="1"/>
      <c r="C1974" s="30"/>
      <c r="D1974" s="1"/>
      <c r="E1974" s="30"/>
      <c r="F1974" s="30"/>
      <c r="G1974" s="30"/>
      <c r="H1974" s="30"/>
      <c r="I1974" s="30"/>
      <c r="J1974" s="30"/>
      <c r="K1974" s="30"/>
      <c r="L1974" s="30"/>
      <c r="M1974" s="30"/>
      <c r="N1974" s="30"/>
      <c r="O1974" s="30"/>
    </row>
    <row r="1975" ht="14.25" customHeight="1">
      <c r="A1975" s="30"/>
      <c r="B1975" s="1"/>
      <c r="C1975" s="30"/>
      <c r="D1975" s="1"/>
      <c r="E1975" s="30"/>
      <c r="F1975" s="30"/>
      <c r="G1975" s="30"/>
      <c r="H1975" s="30"/>
      <c r="I1975" s="30"/>
      <c r="J1975" s="30"/>
      <c r="K1975" s="30"/>
      <c r="L1975" s="30"/>
      <c r="M1975" s="30"/>
      <c r="N1975" s="30"/>
      <c r="O1975" s="30"/>
    </row>
    <row r="1976" ht="14.25" customHeight="1">
      <c r="A1976" s="30"/>
      <c r="B1976" s="1"/>
      <c r="C1976" s="30"/>
      <c r="D1976" s="1"/>
      <c r="E1976" s="30"/>
      <c r="F1976" s="30"/>
      <c r="G1976" s="30"/>
      <c r="H1976" s="30"/>
      <c r="I1976" s="30"/>
      <c r="J1976" s="30"/>
      <c r="K1976" s="30"/>
      <c r="L1976" s="30"/>
      <c r="M1976" s="30"/>
      <c r="N1976" s="30"/>
      <c r="O1976" s="30"/>
    </row>
    <row r="1977" ht="14.25" customHeight="1">
      <c r="A1977" s="30"/>
      <c r="B1977" s="1"/>
      <c r="C1977" s="30"/>
      <c r="D1977" s="1"/>
      <c r="E1977" s="30"/>
      <c r="F1977" s="30"/>
      <c r="G1977" s="30"/>
      <c r="H1977" s="30"/>
      <c r="I1977" s="30"/>
      <c r="J1977" s="30"/>
      <c r="K1977" s="30"/>
      <c r="L1977" s="30"/>
      <c r="M1977" s="30"/>
      <c r="N1977" s="30"/>
      <c r="O1977" s="30"/>
    </row>
    <row r="1978" ht="14.25" customHeight="1">
      <c r="A1978" s="30"/>
      <c r="B1978" s="1"/>
      <c r="C1978" s="30"/>
      <c r="D1978" s="1"/>
      <c r="E1978" s="30"/>
      <c r="F1978" s="30"/>
      <c r="G1978" s="30"/>
      <c r="H1978" s="30"/>
      <c r="I1978" s="30"/>
      <c r="J1978" s="30"/>
      <c r="K1978" s="30"/>
      <c r="L1978" s="30"/>
      <c r="M1978" s="30"/>
      <c r="N1978" s="30"/>
      <c r="O1978" s="30"/>
    </row>
    <row r="1979" ht="14.25" customHeight="1">
      <c r="A1979" s="30"/>
      <c r="B1979" s="1"/>
      <c r="C1979" s="30"/>
      <c r="D1979" s="1"/>
      <c r="E1979" s="30"/>
      <c r="F1979" s="30"/>
      <c r="G1979" s="30"/>
      <c r="H1979" s="30"/>
      <c r="I1979" s="30"/>
      <c r="J1979" s="30"/>
      <c r="K1979" s="30"/>
      <c r="L1979" s="30"/>
      <c r="M1979" s="30"/>
      <c r="N1979" s="30"/>
      <c r="O1979" s="30"/>
    </row>
    <row r="1980" ht="14.25" customHeight="1">
      <c r="A1980" s="30"/>
      <c r="B1980" s="1"/>
      <c r="C1980" s="30"/>
      <c r="D1980" s="1"/>
      <c r="E1980" s="30"/>
      <c r="F1980" s="30"/>
      <c r="G1980" s="30"/>
      <c r="H1980" s="30"/>
      <c r="I1980" s="30"/>
      <c r="J1980" s="30"/>
      <c r="K1980" s="30"/>
      <c r="L1980" s="30"/>
      <c r="M1980" s="30"/>
      <c r="N1980" s="30"/>
      <c r="O1980" s="30"/>
    </row>
    <row r="1981" ht="14.25" customHeight="1">
      <c r="A1981" s="30"/>
      <c r="B1981" s="1"/>
      <c r="C1981" s="30"/>
      <c r="D1981" s="1"/>
      <c r="E1981" s="30"/>
      <c r="F1981" s="30"/>
      <c r="G1981" s="30"/>
      <c r="H1981" s="30"/>
      <c r="I1981" s="30"/>
      <c r="J1981" s="30"/>
      <c r="K1981" s="30"/>
      <c r="L1981" s="30"/>
      <c r="M1981" s="30"/>
      <c r="N1981" s="30"/>
      <c r="O1981" s="30"/>
    </row>
    <row r="1982" ht="14.25" customHeight="1">
      <c r="A1982" s="30"/>
      <c r="B1982" s="1"/>
      <c r="C1982" s="30"/>
      <c r="D1982" s="1"/>
      <c r="E1982" s="30"/>
      <c r="F1982" s="30"/>
      <c r="G1982" s="30"/>
      <c r="H1982" s="30"/>
      <c r="I1982" s="30"/>
      <c r="J1982" s="30"/>
      <c r="K1982" s="30"/>
      <c r="L1982" s="30"/>
      <c r="M1982" s="30"/>
      <c r="N1982" s="30"/>
      <c r="O1982" s="30"/>
    </row>
    <row r="1983" ht="14.25" customHeight="1">
      <c r="A1983" s="30"/>
      <c r="B1983" s="1"/>
      <c r="C1983" s="30"/>
      <c r="D1983" s="1"/>
      <c r="E1983" s="30"/>
      <c r="F1983" s="30"/>
      <c r="G1983" s="30"/>
      <c r="H1983" s="30"/>
      <c r="I1983" s="30"/>
      <c r="J1983" s="30"/>
      <c r="K1983" s="30"/>
      <c r="L1983" s="30"/>
      <c r="M1983" s="30"/>
      <c r="N1983" s="30"/>
      <c r="O1983" s="30"/>
    </row>
    <row r="1984" ht="14.25" customHeight="1">
      <c r="A1984" s="30"/>
      <c r="B1984" s="1"/>
      <c r="C1984" s="30"/>
      <c r="D1984" s="1"/>
      <c r="E1984" s="30"/>
      <c r="F1984" s="30"/>
      <c r="G1984" s="30"/>
      <c r="H1984" s="30"/>
      <c r="I1984" s="30"/>
      <c r="J1984" s="30"/>
      <c r="K1984" s="30"/>
      <c r="L1984" s="30"/>
      <c r="M1984" s="30"/>
      <c r="N1984" s="30"/>
      <c r="O1984" s="30"/>
    </row>
    <row r="1985" ht="14.25" customHeight="1">
      <c r="A1985" s="30"/>
      <c r="B1985" s="1"/>
      <c r="C1985" s="30"/>
      <c r="D1985" s="1"/>
      <c r="E1985" s="30"/>
      <c r="F1985" s="30"/>
      <c r="G1985" s="30"/>
      <c r="H1985" s="30"/>
      <c r="I1985" s="30"/>
      <c r="J1985" s="30"/>
      <c r="K1985" s="30"/>
      <c r="L1985" s="30"/>
      <c r="M1985" s="30"/>
      <c r="N1985" s="30"/>
      <c r="O1985" s="30"/>
    </row>
    <row r="1986" ht="14.25" customHeight="1">
      <c r="A1986" s="30"/>
      <c r="B1986" s="1"/>
      <c r="C1986" s="30"/>
      <c r="D1986" s="1"/>
      <c r="E1986" s="30"/>
      <c r="F1986" s="30"/>
      <c r="G1986" s="30"/>
      <c r="H1986" s="30"/>
      <c r="I1986" s="30"/>
      <c r="J1986" s="30"/>
      <c r="K1986" s="30"/>
      <c r="L1986" s="30"/>
      <c r="M1986" s="30"/>
      <c r="N1986" s="30"/>
      <c r="O1986" s="30"/>
    </row>
    <row r="1987" ht="14.25" customHeight="1">
      <c r="A1987" s="30"/>
      <c r="B1987" s="1"/>
      <c r="C1987" s="30"/>
      <c r="D1987" s="1"/>
      <c r="E1987" s="30"/>
      <c r="F1987" s="30"/>
      <c r="G1987" s="30"/>
      <c r="H1987" s="30"/>
      <c r="I1987" s="30"/>
      <c r="J1987" s="30"/>
      <c r="K1987" s="30"/>
      <c r="L1987" s="30"/>
      <c r="M1987" s="30"/>
      <c r="N1987" s="30"/>
      <c r="O1987" s="30"/>
    </row>
    <row r="1988" ht="14.25" customHeight="1">
      <c r="A1988" s="30"/>
      <c r="B1988" s="1"/>
      <c r="C1988" s="30"/>
      <c r="D1988" s="1"/>
      <c r="E1988" s="30"/>
      <c r="F1988" s="30"/>
      <c r="G1988" s="30"/>
      <c r="H1988" s="30"/>
      <c r="I1988" s="30"/>
      <c r="J1988" s="30"/>
      <c r="K1988" s="30"/>
      <c r="L1988" s="30"/>
      <c r="M1988" s="30"/>
      <c r="N1988" s="30"/>
      <c r="O1988" s="30"/>
    </row>
    <row r="1989" ht="14.25" customHeight="1">
      <c r="A1989" s="30"/>
      <c r="B1989" s="1"/>
      <c r="C1989" s="30"/>
      <c r="D1989" s="1"/>
      <c r="E1989" s="30"/>
      <c r="F1989" s="30"/>
      <c r="G1989" s="30"/>
      <c r="H1989" s="30"/>
      <c r="I1989" s="30"/>
      <c r="J1989" s="30"/>
      <c r="K1989" s="30"/>
      <c r="L1989" s="30"/>
      <c r="M1989" s="30"/>
      <c r="N1989" s="30"/>
      <c r="O1989" s="30"/>
    </row>
    <row r="1990" ht="14.25" customHeight="1">
      <c r="A1990" s="30"/>
      <c r="B1990" s="1"/>
      <c r="C1990" s="30"/>
      <c r="D1990" s="1"/>
      <c r="E1990" s="30"/>
      <c r="F1990" s="30"/>
      <c r="G1990" s="30"/>
      <c r="H1990" s="30"/>
      <c r="I1990" s="30"/>
      <c r="J1990" s="30"/>
      <c r="K1990" s="30"/>
      <c r="L1990" s="30"/>
      <c r="M1990" s="30"/>
      <c r="N1990" s="30"/>
      <c r="O1990" s="30"/>
    </row>
    <row r="1991" ht="14.25" customHeight="1">
      <c r="A1991" s="30"/>
      <c r="B1991" s="1"/>
      <c r="C1991" s="30"/>
      <c r="D1991" s="1"/>
      <c r="E1991" s="30"/>
      <c r="F1991" s="30"/>
      <c r="G1991" s="30"/>
      <c r="H1991" s="30"/>
      <c r="I1991" s="30"/>
      <c r="J1991" s="30"/>
      <c r="K1991" s="30"/>
      <c r="L1991" s="30"/>
      <c r="M1991" s="30"/>
      <c r="N1991" s="30"/>
      <c r="O1991" s="30"/>
    </row>
    <row r="1992" ht="14.25" customHeight="1">
      <c r="A1992" s="30"/>
      <c r="B1992" s="1"/>
      <c r="C1992" s="30"/>
      <c r="D1992" s="1"/>
      <c r="E1992" s="30"/>
      <c r="F1992" s="30"/>
      <c r="G1992" s="30"/>
      <c r="H1992" s="30"/>
      <c r="I1992" s="30"/>
      <c r="J1992" s="30"/>
      <c r="K1992" s="30"/>
      <c r="L1992" s="30"/>
      <c r="M1992" s="30"/>
      <c r="N1992" s="30"/>
      <c r="O1992" s="30"/>
    </row>
    <row r="1993" ht="14.25" customHeight="1">
      <c r="A1993" s="30"/>
      <c r="B1993" s="1"/>
      <c r="C1993" s="30"/>
      <c r="D1993" s="1"/>
      <c r="E1993" s="30"/>
      <c r="F1993" s="30"/>
      <c r="G1993" s="30"/>
      <c r="H1993" s="30"/>
      <c r="I1993" s="30"/>
      <c r="J1993" s="30"/>
      <c r="K1993" s="30"/>
      <c r="L1993" s="30"/>
      <c r="M1993" s="30"/>
      <c r="N1993" s="30"/>
      <c r="O1993" s="30"/>
    </row>
    <row r="1994" ht="14.25" customHeight="1">
      <c r="A1994" s="30"/>
      <c r="B1994" s="1"/>
      <c r="C1994" s="30"/>
      <c r="D1994" s="1"/>
      <c r="E1994" s="30"/>
      <c r="F1994" s="30"/>
      <c r="G1994" s="30"/>
      <c r="H1994" s="30"/>
      <c r="I1994" s="30"/>
      <c r="J1994" s="30"/>
      <c r="K1994" s="30"/>
      <c r="L1994" s="30"/>
      <c r="M1994" s="30"/>
      <c r="N1994" s="30"/>
      <c r="O1994" s="30"/>
    </row>
    <row r="1995" ht="14.25" customHeight="1">
      <c r="A1995" s="30"/>
      <c r="B1995" s="1"/>
      <c r="C1995" s="30"/>
      <c r="D1995" s="1"/>
      <c r="E1995" s="30"/>
      <c r="F1995" s="30"/>
      <c r="G1995" s="30"/>
      <c r="H1995" s="30"/>
      <c r="I1995" s="30"/>
      <c r="J1995" s="30"/>
      <c r="K1995" s="30"/>
      <c r="L1995" s="30"/>
      <c r="M1995" s="30"/>
      <c r="N1995" s="30"/>
      <c r="O1995" s="30"/>
    </row>
    <row r="1996" ht="14.25" customHeight="1">
      <c r="A1996" s="30"/>
      <c r="B1996" s="1"/>
      <c r="C1996" s="30"/>
      <c r="D1996" s="1"/>
      <c r="E1996" s="30"/>
      <c r="F1996" s="30"/>
      <c r="G1996" s="30"/>
      <c r="H1996" s="30"/>
      <c r="I1996" s="30"/>
      <c r="J1996" s="30"/>
      <c r="K1996" s="30"/>
      <c r="L1996" s="30"/>
      <c r="M1996" s="30"/>
      <c r="N1996" s="30"/>
      <c r="O1996" s="30"/>
    </row>
    <row r="1997" ht="14.25" customHeight="1">
      <c r="A1997" s="30"/>
      <c r="B1997" s="1"/>
      <c r="C1997" s="30"/>
      <c r="D1997" s="1"/>
      <c r="E1997" s="30"/>
      <c r="F1997" s="30"/>
      <c r="G1997" s="30"/>
      <c r="H1997" s="30"/>
      <c r="I1997" s="30"/>
      <c r="J1997" s="30"/>
      <c r="K1997" s="30"/>
      <c r="L1997" s="30"/>
      <c r="M1997" s="30"/>
      <c r="N1997" s="30"/>
      <c r="O1997" s="30"/>
    </row>
    <row r="1998" ht="14.25" customHeight="1">
      <c r="A1998" s="30"/>
      <c r="B1998" s="1"/>
      <c r="C1998" s="30"/>
      <c r="D1998" s="1"/>
      <c r="E1998" s="30"/>
      <c r="F1998" s="30"/>
      <c r="G1998" s="30"/>
      <c r="H1998" s="30"/>
      <c r="I1998" s="30"/>
      <c r="J1998" s="30"/>
      <c r="K1998" s="30"/>
      <c r="L1998" s="30"/>
      <c r="M1998" s="30"/>
      <c r="N1998" s="30"/>
      <c r="O1998" s="30"/>
    </row>
    <row r="1999" ht="14.25" customHeight="1">
      <c r="A1999" s="30"/>
      <c r="B1999" s="1"/>
      <c r="C1999" s="30"/>
      <c r="D1999" s="1"/>
      <c r="E1999" s="30"/>
      <c r="F1999" s="30"/>
      <c r="G1999" s="30"/>
      <c r="H1999" s="30"/>
      <c r="I1999" s="30"/>
      <c r="J1999" s="30"/>
      <c r="K1999" s="30"/>
      <c r="L1999" s="30"/>
      <c r="M1999" s="30"/>
      <c r="N1999" s="30"/>
      <c r="O1999" s="30"/>
    </row>
    <row r="2000" ht="14.25" customHeight="1">
      <c r="A2000" s="30"/>
      <c r="B2000" s="1"/>
      <c r="C2000" s="30"/>
      <c r="D2000" s="1"/>
      <c r="E2000" s="30"/>
      <c r="F2000" s="30"/>
      <c r="G2000" s="30"/>
      <c r="H2000" s="30"/>
      <c r="I2000" s="30"/>
      <c r="J2000" s="30"/>
      <c r="K2000" s="30"/>
      <c r="L2000" s="30"/>
      <c r="M2000" s="30"/>
      <c r="N2000" s="30"/>
      <c r="O2000" s="30"/>
    </row>
    <row r="2001" ht="14.25" customHeight="1">
      <c r="A2001" s="30"/>
      <c r="B2001" s="1"/>
      <c r="C2001" s="30"/>
      <c r="D2001" s="1"/>
      <c r="E2001" s="30"/>
      <c r="F2001" s="30"/>
      <c r="G2001" s="30"/>
      <c r="H2001" s="30"/>
      <c r="I2001" s="30"/>
      <c r="J2001" s="30"/>
      <c r="K2001" s="30"/>
      <c r="L2001" s="30"/>
      <c r="M2001" s="30"/>
      <c r="N2001" s="30"/>
      <c r="O2001" s="30"/>
    </row>
    <row r="2002" ht="14.25" customHeight="1">
      <c r="A2002" s="30"/>
      <c r="B2002" s="1"/>
      <c r="C2002" s="30"/>
      <c r="D2002" s="1"/>
      <c r="E2002" s="30"/>
      <c r="F2002" s="30"/>
      <c r="G2002" s="30"/>
      <c r="H2002" s="30"/>
      <c r="I2002" s="30"/>
      <c r="J2002" s="30"/>
      <c r="K2002" s="30"/>
      <c r="L2002" s="30"/>
      <c r="M2002" s="30"/>
      <c r="N2002" s="30"/>
      <c r="O2002" s="30"/>
    </row>
    <row r="2003" ht="14.25" customHeight="1">
      <c r="A2003" s="30"/>
      <c r="B2003" s="1"/>
      <c r="C2003" s="30"/>
      <c r="D2003" s="1"/>
      <c r="E2003" s="30"/>
      <c r="F2003" s="30"/>
      <c r="G2003" s="30"/>
      <c r="H2003" s="30"/>
      <c r="I2003" s="30"/>
      <c r="J2003" s="30"/>
      <c r="K2003" s="30"/>
      <c r="L2003" s="30"/>
      <c r="M2003" s="30"/>
      <c r="N2003" s="30"/>
      <c r="O2003" s="30"/>
    </row>
    <row r="2004" ht="14.25" customHeight="1">
      <c r="A2004" s="30"/>
      <c r="B2004" s="1"/>
      <c r="C2004" s="30"/>
      <c r="D2004" s="1"/>
      <c r="E2004" s="30"/>
      <c r="F2004" s="30"/>
      <c r="G2004" s="30"/>
      <c r="H2004" s="30"/>
      <c r="I2004" s="30"/>
      <c r="J2004" s="30"/>
      <c r="K2004" s="30"/>
      <c r="L2004" s="30"/>
      <c r="M2004" s="30"/>
      <c r="N2004" s="30"/>
      <c r="O2004" s="30"/>
    </row>
    <row r="2005" ht="14.25" customHeight="1">
      <c r="A2005" s="30"/>
      <c r="B2005" s="1"/>
      <c r="C2005" s="30"/>
      <c r="D2005" s="1"/>
      <c r="E2005" s="30"/>
      <c r="F2005" s="30"/>
      <c r="G2005" s="30"/>
      <c r="H2005" s="30"/>
      <c r="I2005" s="30"/>
      <c r="J2005" s="30"/>
      <c r="K2005" s="30"/>
      <c r="L2005" s="30"/>
      <c r="M2005" s="30"/>
      <c r="N2005" s="30"/>
      <c r="O2005" s="30"/>
    </row>
    <row r="2006" ht="14.25" customHeight="1">
      <c r="A2006" s="30"/>
      <c r="B2006" s="1"/>
      <c r="C2006" s="30"/>
      <c r="D2006" s="1"/>
      <c r="E2006" s="30"/>
      <c r="F2006" s="30"/>
      <c r="G2006" s="30"/>
      <c r="H2006" s="30"/>
      <c r="I2006" s="30"/>
      <c r="J2006" s="30"/>
      <c r="K2006" s="30"/>
      <c r="L2006" s="30"/>
      <c r="M2006" s="30"/>
      <c r="N2006" s="30"/>
      <c r="O2006" s="30"/>
    </row>
    <row r="2007" ht="14.25" customHeight="1">
      <c r="A2007" s="30"/>
      <c r="B2007" s="1"/>
      <c r="C2007" s="30"/>
      <c r="D2007" s="1"/>
      <c r="E2007" s="30"/>
      <c r="F2007" s="30"/>
      <c r="G2007" s="30"/>
      <c r="H2007" s="30"/>
      <c r="I2007" s="30"/>
      <c r="J2007" s="30"/>
      <c r="K2007" s="30"/>
      <c r="L2007" s="30"/>
      <c r="M2007" s="30"/>
      <c r="N2007" s="30"/>
      <c r="O2007" s="30"/>
    </row>
    <row r="2008" ht="14.25" customHeight="1">
      <c r="A2008" s="30"/>
      <c r="B2008" s="1"/>
      <c r="C2008" s="30"/>
      <c r="D2008" s="1"/>
      <c r="E2008" s="30"/>
      <c r="F2008" s="30"/>
      <c r="G2008" s="30"/>
      <c r="H2008" s="30"/>
      <c r="I2008" s="30"/>
      <c r="J2008" s="30"/>
      <c r="K2008" s="30"/>
      <c r="L2008" s="30"/>
      <c r="M2008" s="30"/>
      <c r="N2008" s="30"/>
      <c r="O2008" s="30"/>
    </row>
    <row r="2009" ht="14.25" customHeight="1">
      <c r="A2009" s="30"/>
      <c r="B2009" s="1"/>
      <c r="C2009" s="30"/>
      <c r="D2009" s="1"/>
      <c r="E2009" s="30"/>
      <c r="F2009" s="30"/>
      <c r="G2009" s="30"/>
      <c r="H2009" s="30"/>
      <c r="I2009" s="30"/>
      <c r="J2009" s="30"/>
      <c r="K2009" s="30"/>
      <c r="L2009" s="30"/>
      <c r="M2009" s="30"/>
      <c r="N2009" s="30"/>
      <c r="O2009" s="30"/>
    </row>
    <row r="2010" ht="14.25" customHeight="1">
      <c r="A2010" s="30"/>
      <c r="B2010" s="1"/>
      <c r="C2010" s="30"/>
      <c r="D2010" s="1"/>
      <c r="E2010" s="30"/>
      <c r="F2010" s="30"/>
      <c r="G2010" s="30"/>
      <c r="H2010" s="30"/>
      <c r="I2010" s="30"/>
      <c r="J2010" s="30"/>
      <c r="K2010" s="30"/>
      <c r="L2010" s="30"/>
      <c r="M2010" s="30"/>
      <c r="N2010" s="30"/>
      <c r="O2010" s="30"/>
    </row>
    <row r="2011" ht="14.25" customHeight="1">
      <c r="A2011" s="30"/>
      <c r="B2011" s="1"/>
      <c r="C2011" s="30"/>
      <c r="D2011" s="1"/>
      <c r="E2011" s="30"/>
      <c r="F2011" s="30"/>
      <c r="G2011" s="30"/>
      <c r="H2011" s="30"/>
      <c r="I2011" s="30"/>
      <c r="J2011" s="30"/>
      <c r="K2011" s="30"/>
      <c r="L2011" s="30"/>
      <c r="M2011" s="30"/>
      <c r="N2011" s="30"/>
      <c r="O2011" s="30"/>
    </row>
    <row r="2012" ht="14.25" customHeight="1">
      <c r="A2012" s="30"/>
      <c r="B2012" s="1"/>
      <c r="C2012" s="30"/>
      <c r="D2012" s="1"/>
      <c r="E2012" s="30"/>
      <c r="F2012" s="30"/>
      <c r="G2012" s="30"/>
      <c r="H2012" s="30"/>
      <c r="I2012" s="30"/>
      <c r="J2012" s="30"/>
      <c r="K2012" s="30"/>
      <c r="L2012" s="30"/>
      <c r="M2012" s="30"/>
      <c r="N2012" s="30"/>
      <c r="O2012" s="30"/>
    </row>
    <row r="2013" ht="14.25" customHeight="1">
      <c r="A2013" s="30"/>
      <c r="B2013" s="1"/>
      <c r="C2013" s="30"/>
      <c r="D2013" s="1"/>
      <c r="E2013" s="30"/>
      <c r="F2013" s="30"/>
      <c r="G2013" s="30"/>
      <c r="H2013" s="30"/>
      <c r="I2013" s="30"/>
      <c r="J2013" s="30"/>
      <c r="K2013" s="30"/>
      <c r="L2013" s="30"/>
      <c r="M2013" s="30"/>
      <c r="N2013" s="30"/>
      <c r="O2013" s="30"/>
    </row>
    <row r="2014" ht="14.25" customHeight="1">
      <c r="A2014" s="30"/>
      <c r="B2014" s="1"/>
      <c r="C2014" s="30"/>
      <c r="D2014" s="1"/>
      <c r="E2014" s="30"/>
      <c r="F2014" s="30"/>
      <c r="G2014" s="30"/>
      <c r="H2014" s="30"/>
      <c r="I2014" s="30"/>
      <c r="J2014" s="30"/>
      <c r="K2014" s="30"/>
      <c r="L2014" s="30"/>
      <c r="M2014" s="30"/>
      <c r="N2014" s="30"/>
      <c r="O2014" s="30"/>
    </row>
    <row r="2015" ht="14.25" customHeight="1">
      <c r="A2015" s="30"/>
      <c r="B2015" s="1"/>
      <c r="C2015" s="30"/>
      <c r="D2015" s="1"/>
      <c r="E2015" s="30"/>
      <c r="F2015" s="30"/>
      <c r="G2015" s="30"/>
      <c r="H2015" s="30"/>
      <c r="I2015" s="30"/>
      <c r="J2015" s="30"/>
      <c r="K2015" s="30"/>
      <c r="L2015" s="30"/>
      <c r="M2015" s="30"/>
      <c r="N2015" s="30"/>
      <c r="O2015" s="30"/>
    </row>
    <row r="2016" ht="14.25" customHeight="1">
      <c r="A2016" s="30"/>
      <c r="B2016" s="1"/>
      <c r="C2016" s="30"/>
      <c r="D2016" s="1"/>
      <c r="E2016" s="30"/>
      <c r="F2016" s="30"/>
      <c r="G2016" s="30"/>
      <c r="H2016" s="30"/>
      <c r="I2016" s="30"/>
      <c r="J2016" s="30"/>
      <c r="K2016" s="30"/>
      <c r="L2016" s="30"/>
      <c r="M2016" s="30"/>
      <c r="N2016" s="30"/>
      <c r="O2016" s="30"/>
    </row>
    <row r="2017" ht="14.25" customHeight="1">
      <c r="A2017" s="30"/>
      <c r="B2017" s="1"/>
      <c r="C2017" s="30"/>
      <c r="D2017" s="1"/>
      <c r="E2017" s="30"/>
      <c r="F2017" s="30"/>
      <c r="G2017" s="30"/>
      <c r="H2017" s="30"/>
      <c r="I2017" s="30"/>
      <c r="J2017" s="30"/>
      <c r="K2017" s="30"/>
      <c r="L2017" s="30"/>
      <c r="M2017" s="30"/>
      <c r="N2017" s="30"/>
      <c r="O2017" s="30"/>
    </row>
    <row r="2018" ht="14.25" customHeight="1">
      <c r="A2018" s="30"/>
      <c r="B2018" s="1"/>
      <c r="C2018" s="30"/>
      <c r="D2018" s="1"/>
      <c r="E2018" s="30"/>
      <c r="F2018" s="30"/>
      <c r="G2018" s="30"/>
      <c r="H2018" s="30"/>
      <c r="I2018" s="30"/>
      <c r="J2018" s="30"/>
      <c r="K2018" s="30"/>
      <c r="L2018" s="30"/>
      <c r="M2018" s="30"/>
      <c r="N2018" s="30"/>
      <c r="O2018" s="30"/>
    </row>
    <row r="2019" ht="14.25" customHeight="1">
      <c r="A2019" s="30"/>
      <c r="B2019" s="1"/>
      <c r="C2019" s="30"/>
      <c r="D2019" s="1"/>
      <c r="E2019" s="30"/>
      <c r="F2019" s="30"/>
      <c r="G2019" s="30"/>
      <c r="H2019" s="30"/>
      <c r="I2019" s="30"/>
      <c r="J2019" s="30"/>
      <c r="K2019" s="30"/>
      <c r="L2019" s="30"/>
      <c r="M2019" s="30"/>
      <c r="N2019" s="30"/>
      <c r="O2019" s="30"/>
    </row>
    <row r="2020" ht="14.25" customHeight="1">
      <c r="A2020" s="30"/>
      <c r="B2020" s="1"/>
      <c r="C2020" s="30"/>
      <c r="D2020" s="1"/>
      <c r="E2020" s="30"/>
      <c r="F2020" s="30"/>
      <c r="G2020" s="30"/>
      <c r="H2020" s="30"/>
      <c r="I2020" s="30"/>
      <c r="J2020" s="30"/>
      <c r="K2020" s="30"/>
      <c r="L2020" s="30"/>
      <c r="M2020" s="30"/>
      <c r="N2020" s="30"/>
      <c r="O2020" s="30"/>
    </row>
    <row r="2021" ht="14.25" customHeight="1">
      <c r="A2021" s="30"/>
      <c r="B2021" s="1"/>
      <c r="C2021" s="30"/>
      <c r="D2021" s="1"/>
      <c r="E2021" s="30"/>
      <c r="F2021" s="30"/>
      <c r="G2021" s="30"/>
      <c r="H2021" s="30"/>
      <c r="I2021" s="30"/>
      <c r="J2021" s="30"/>
      <c r="K2021" s="30"/>
      <c r="L2021" s="30"/>
      <c r="M2021" s="30"/>
      <c r="N2021" s="30"/>
      <c r="O2021" s="30"/>
    </row>
    <row r="2022" ht="14.25" customHeight="1">
      <c r="A2022" s="30"/>
      <c r="B2022" s="1"/>
      <c r="C2022" s="30"/>
      <c r="D2022" s="1"/>
      <c r="E2022" s="30"/>
      <c r="F2022" s="30"/>
      <c r="G2022" s="30"/>
      <c r="H2022" s="30"/>
      <c r="I2022" s="30"/>
      <c r="J2022" s="30"/>
      <c r="K2022" s="30"/>
      <c r="L2022" s="30"/>
      <c r="M2022" s="30"/>
      <c r="N2022" s="30"/>
      <c r="O2022" s="30"/>
    </row>
    <row r="2023" ht="14.25" customHeight="1">
      <c r="A2023" s="30"/>
      <c r="B2023" s="1"/>
      <c r="C2023" s="30"/>
      <c r="D2023" s="1"/>
      <c r="E2023" s="30"/>
      <c r="F2023" s="30"/>
      <c r="G2023" s="30"/>
      <c r="H2023" s="30"/>
      <c r="I2023" s="30"/>
      <c r="J2023" s="30"/>
      <c r="K2023" s="30"/>
      <c r="L2023" s="30"/>
      <c r="M2023" s="30"/>
      <c r="N2023" s="30"/>
      <c r="O2023" s="30"/>
    </row>
    <row r="2024" ht="14.25" customHeight="1">
      <c r="A2024" s="30"/>
      <c r="B2024" s="1"/>
      <c r="C2024" s="30"/>
      <c r="D2024" s="1"/>
      <c r="E2024" s="30"/>
      <c r="F2024" s="30"/>
      <c r="G2024" s="30"/>
      <c r="H2024" s="30"/>
      <c r="I2024" s="30"/>
      <c r="J2024" s="30"/>
      <c r="K2024" s="30"/>
      <c r="L2024" s="30"/>
      <c r="M2024" s="30"/>
      <c r="N2024" s="30"/>
      <c r="O2024" s="30"/>
    </row>
    <row r="2025" ht="14.25" customHeight="1">
      <c r="A2025" s="30"/>
      <c r="B2025" s="1"/>
      <c r="C2025" s="30"/>
      <c r="D2025" s="1"/>
      <c r="E2025" s="30"/>
      <c r="F2025" s="30"/>
      <c r="G2025" s="30"/>
      <c r="H2025" s="30"/>
      <c r="I2025" s="30"/>
      <c r="J2025" s="30"/>
      <c r="K2025" s="30"/>
      <c r="L2025" s="30"/>
      <c r="M2025" s="30"/>
      <c r="N2025" s="30"/>
      <c r="O2025" s="30"/>
    </row>
    <row r="2026" ht="14.25" customHeight="1">
      <c r="A2026" s="30"/>
      <c r="B2026" s="1"/>
      <c r="C2026" s="30"/>
      <c r="D2026" s="1"/>
      <c r="E2026" s="30"/>
      <c r="F2026" s="30"/>
      <c r="G2026" s="30"/>
      <c r="H2026" s="30"/>
      <c r="I2026" s="30"/>
      <c r="J2026" s="30"/>
      <c r="K2026" s="30"/>
      <c r="L2026" s="30"/>
      <c r="M2026" s="30"/>
      <c r="N2026" s="30"/>
      <c r="O2026" s="30"/>
    </row>
    <row r="2027" ht="14.25" customHeight="1">
      <c r="A2027" s="30"/>
      <c r="B2027" s="1"/>
      <c r="C2027" s="30"/>
      <c r="D2027" s="1"/>
      <c r="E2027" s="30"/>
      <c r="F2027" s="30"/>
      <c r="G2027" s="30"/>
      <c r="H2027" s="30"/>
      <c r="I2027" s="30"/>
      <c r="J2027" s="30"/>
      <c r="K2027" s="30"/>
      <c r="L2027" s="30"/>
      <c r="M2027" s="30"/>
      <c r="N2027" s="30"/>
      <c r="O2027" s="30"/>
    </row>
    <row r="2028" ht="14.25" customHeight="1">
      <c r="A2028" s="30"/>
      <c r="B2028" s="1"/>
      <c r="C2028" s="30"/>
      <c r="D2028" s="1"/>
      <c r="E2028" s="30"/>
      <c r="F2028" s="30"/>
      <c r="G2028" s="30"/>
      <c r="H2028" s="30"/>
      <c r="I2028" s="30"/>
      <c r="J2028" s="30"/>
      <c r="K2028" s="30"/>
      <c r="L2028" s="30"/>
      <c r="M2028" s="30"/>
      <c r="N2028" s="30"/>
      <c r="O2028" s="30"/>
    </row>
    <row r="2029" ht="14.25" customHeight="1">
      <c r="A2029" s="30"/>
      <c r="B2029" s="1"/>
      <c r="C2029" s="30"/>
      <c r="D2029" s="1"/>
      <c r="E2029" s="30"/>
      <c r="F2029" s="30"/>
      <c r="G2029" s="30"/>
      <c r="H2029" s="30"/>
      <c r="I2029" s="30"/>
      <c r="J2029" s="30"/>
      <c r="K2029" s="30"/>
      <c r="L2029" s="30"/>
      <c r="M2029" s="30"/>
      <c r="N2029" s="30"/>
      <c r="O2029" s="30"/>
    </row>
    <row r="2030" ht="14.25" customHeight="1">
      <c r="A2030" s="30"/>
      <c r="B2030" s="1"/>
      <c r="C2030" s="30"/>
      <c r="D2030" s="1"/>
      <c r="E2030" s="30"/>
      <c r="F2030" s="30"/>
      <c r="G2030" s="30"/>
      <c r="H2030" s="30"/>
      <c r="I2030" s="30"/>
      <c r="J2030" s="30"/>
      <c r="K2030" s="30"/>
      <c r="L2030" s="30"/>
      <c r="M2030" s="30"/>
      <c r="N2030" s="30"/>
      <c r="O2030" s="30"/>
    </row>
    <row r="2031" ht="14.25" customHeight="1">
      <c r="A2031" s="30"/>
      <c r="B2031" s="1"/>
      <c r="C2031" s="30"/>
      <c r="D2031" s="1"/>
      <c r="E2031" s="30"/>
      <c r="F2031" s="30"/>
      <c r="G2031" s="30"/>
      <c r="H2031" s="30"/>
      <c r="I2031" s="30"/>
      <c r="J2031" s="30"/>
      <c r="K2031" s="30"/>
      <c r="L2031" s="30"/>
      <c r="M2031" s="30"/>
      <c r="N2031" s="30"/>
      <c r="O2031" s="30"/>
    </row>
    <row r="2032" ht="14.25" customHeight="1">
      <c r="A2032" s="30"/>
      <c r="B2032" s="1"/>
      <c r="C2032" s="30"/>
      <c r="D2032" s="1"/>
      <c r="E2032" s="30"/>
      <c r="F2032" s="30"/>
      <c r="G2032" s="30"/>
      <c r="H2032" s="30"/>
      <c r="I2032" s="30"/>
      <c r="J2032" s="30"/>
      <c r="K2032" s="30"/>
      <c r="L2032" s="30"/>
      <c r="M2032" s="30"/>
      <c r="N2032" s="30"/>
      <c r="O2032" s="30"/>
    </row>
    <row r="2033" ht="14.25" customHeight="1">
      <c r="A2033" s="30"/>
      <c r="B2033" s="1"/>
      <c r="C2033" s="30"/>
      <c r="D2033" s="1"/>
      <c r="E2033" s="30"/>
      <c r="F2033" s="30"/>
      <c r="G2033" s="30"/>
      <c r="H2033" s="30"/>
      <c r="I2033" s="30"/>
      <c r="J2033" s="30"/>
      <c r="K2033" s="30"/>
      <c r="L2033" s="30"/>
      <c r="M2033" s="30"/>
      <c r="N2033" s="30"/>
      <c r="O2033" s="30"/>
    </row>
    <row r="2034" ht="14.25" customHeight="1">
      <c r="A2034" s="30"/>
      <c r="B2034" s="1"/>
      <c r="C2034" s="30"/>
      <c r="D2034" s="1"/>
      <c r="E2034" s="30"/>
      <c r="F2034" s="30"/>
      <c r="G2034" s="30"/>
      <c r="H2034" s="30"/>
      <c r="I2034" s="30"/>
      <c r="J2034" s="30"/>
      <c r="K2034" s="30"/>
      <c r="L2034" s="30"/>
      <c r="M2034" s="30"/>
      <c r="N2034" s="30"/>
      <c r="O2034" s="30"/>
    </row>
    <row r="2035" ht="14.25" customHeight="1">
      <c r="A2035" s="30"/>
      <c r="B2035" s="1"/>
      <c r="C2035" s="30"/>
      <c r="D2035" s="1"/>
      <c r="E2035" s="30"/>
      <c r="F2035" s="30"/>
      <c r="G2035" s="30"/>
      <c r="H2035" s="30"/>
      <c r="I2035" s="30"/>
      <c r="J2035" s="30"/>
      <c r="K2035" s="30"/>
      <c r="L2035" s="30"/>
      <c r="M2035" s="30"/>
      <c r="N2035" s="30"/>
      <c r="O2035" s="30"/>
    </row>
    <row r="2036" ht="14.25" customHeight="1">
      <c r="A2036" s="30"/>
      <c r="B2036" s="1"/>
      <c r="C2036" s="30"/>
      <c r="D2036" s="1"/>
      <c r="E2036" s="30"/>
      <c r="F2036" s="30"/>
      <c r="G2036" s="30"/>
      <c r="H2036" s="30"/>
      <c r="I2036" s="30"/>
      <c r="J2036" s="30"/>
      <c r="K2036" s="30"/>
      <c r="L2036" s="30"/>
      <c r="M2036" s="30"/>
      <c r="N2036" s="30"/>
      <c r="O2036" s="30"/>
    </row>
    <row r="2037" ht="14.25" customHeight="1">
      <c r="A2037" s="30"/>
      <c r="B2037" s="1"/>
      <c r="C2037" s="30"/>
      <c r="D2037" s="1"/>
      <c r="E2037" s="30"/>
      <c r="F2037" s="30"/>
      <c r="G2037" s="30"/>
      <c r="H2037" s="30"/>
      <c r="I2037" s="30"/>
      <c r="J2037" s="30"/>
      <c r="K2037" s="30"/>
      <c r="L2037" s="30"/>
      <c r="M2037" s="30"/>
      <c r="N2037" s="30"/>
      <c r="O2037" s="30"/>
    </row>
    <row r="2038" ht="14.25" customHeight="1">
      <c r="A2038" s="30"/>
      <c r="B2038" s="1"/>
      <c r="C2038" s="30"/>
      <c r="D2038" s="1"/>
      <c r="E2038" s="30"/>
      <c r="F2038" s="30"/>
      <c r="G2038" s="30"/>
      <c r="H2038" s="30"/>
      <c r="I2038" s="30"/>
      <c r="J2038" s="30"/>
      <c r="K2038" s="30"/>
      <c r="L2038" s="30"/>
      <c r="M2038" s="30"/>
      <c r="N2038" s="30"/>
      <c r="O2038" s="30"/>
    </row>
    <row r="2039" ht="14.25" customHeight="1">
      <c r="A2039" s="30"/>
      <c r="B2039" s="1"/>
      <c r="C2039" s="30"/>
      <c r="D2039" s="1"/>
      <c r="E2039" s="30"/>
      <c r="F2039" s="30"/>
      <c r="G2039" s="30"/>
      <c r="H2039" s="30"/>
      <c r="I2039" s="30"/>
      <c r="J2039" s="30"/>
      <c r="K2039" s="30"/>
      <c r="L2039" s="30"/>
      <c r="M2039" s="30"/>
      <c r="N2039" s="30"/>
      <c r="O2039" s="30"/>
    </row>
    <row r="2040" ht="14.25" customHeight="1">
      <c r="A2040" s="30"/>
      <c r="B2040" s="1"/>
      <c r="C2040" s="30"/>
      <c r="D2040" s="1"/>
      <c r="E2040" s="30"/>
      <c r="F2040" s="30"/>
      <c r="G2040" s="30"/>
      <c r="H2040" s="30"/>
      <c r="I2040" s="30"/>
      <c r="J2040" s="30"/>
      <c r="K2040" s="30"/>
      <c r="L2040" s="30"/>
      <c r="M2040" s="30"/>
      <c r="N2040" s="30"/>
      <c r="O2040" s="30"/>
    </row>
    <row r="2041" ht="14.25" customHeight="1">
      <c r="A2041" s="30"/>
      <c r="B2041" s="1"/>
      <c r="C2041" s="30"/>
      <c r="D2041" s="1"/>
      <c r="E2041" s="30"/>
      <c r="F2041" s="30"/>
      <c r="G2041" s="30"/>
      <c r="H2041" s="30"/>
      <c r="I2041" s="30"/>
      <c r="J2041" s="30"/>
      <c r="K2041" s="30"/>
      <c r="L2041" s="30"/>
      <c r="M2041" s="30"/>
      <c r="N2041" s="30"/>
      <c r="O2041" s="30"/>
    </row>
    <row r="2042" ht="14.25" customHeight="1">
      <c r="A2042" s="30"/>
      <c r="B2042" s="1"/>
      <c r="C2042" s="30"/>
      <c r="D2042" s="1"/>
      <c r="E2042" s="30"/>
      <c r="F2042" s="30"/>
      <c r="G2042" s="30"/>
      <c r="H2042" s="30"/>
      <c r="I2042" s="30"/>
      <c r="J2042" s="30"/>
      <c r="K2042" s="30"/>
      <c r="L2042" s="30"/>
      <c r="M2042" s="30"/>
      <c r="N2042" s="30"/>
      <c r="O2042" s="30"/>
    </row>
    <row r="2043" ht="14.25" customHeight="1">
      <c r="A2043" s="30"/>
      <c r="B2043" s="1"/>
      <c r="C2043" s="30"/>
      <c r="D2043" s="1"/>
      <c r="E2043" s="30"/>
      <c r="F2043" s="30"/>
      <c r="G2043" s="30"/>
      <c r="H2043" s="30"/>
      <c r="I2043" s="30"/>
      <c r="J2043" s="30"/>
      <c r="K2043" s="30"/>
      <c r="L2043" s="30"/>
      <c r="M2043" s="30"/>
      <c r="N2043" s="30"/>
      <c r="O2043" s="30"/>
    </row>
    <row r="2044" ht="14.25" customHeight="1">
      <c r="A2044" s="30"/>
      <c r="B2044" s="1"/>
      <c r="C2044" s="30"/>
      <c r="D2044" s="1"/>
      <c r="E2044" s="30"/>
      <c r="F2044" s="30"/>
      <c r="G2044" s="30"/>
      <c r="H2044" s="30"/>
      <c r="I2044" s="30"/>
      <c r="J2044" s="30"/>
      <c r="K2044" s="30"/>
      <c r="L2044" s="30"/>
      <c r="M2044" s="30"/>
      <c r="N2044" s="30"/>
      <c r="O2044" s="30"/>
    </row>
    <row r="2045" ht="14.25" customHeight="1">
      <c r="A2045" s="30"/>
      <c r="B2045" s="1"/>
      <c r="C2045" s="30"/>
      <c r="D2045" s="1"/>
      <c r="E2045" s="30"/>
      <c r="F2045" s="30"/>
      <c r="G2045" s="30"/>
      <c r="H2045" s="30"/>
      <c r="I2045" s="30"/>
      <c r="J2045" s="30"/>
      <c r="K2045" s="30"/>
      <c r="L2045" s="30"/>
      <c r="M2045" s="30"/>
      <c r="N2045" s="30"/>
      <c r="O2045" s="30"/>
    </row>
    <row r="2046" ht="14.25" customHeight="1">
      <c r="A2046" s="30"/>
      <c r="B2046" s="1"/>
      <c r="C2046" s="30"/>
      <c r="D2046" s="1"/>
      <c r="E2046" s="30"/>
      <c r="F2046" s="30"/>
      <c r="G2046" s="30"/>
      <c r="H2046" s="30"/>
      <c r="I2046" s="30"/>
      <c r="J2046" s="30"/>
      <c r="K2046" s="30"/>
      <c r="L2046" s="30"/>
      <c r="M2046" s="30"/>
      <c r="N2046" s="30"/>
      <c r="O2046" s="30"/>
    </row>
    <row r="2047" ht="14.25" customHeight="1">
      <c r="A2047" s="30"/>
      <c r="B2047" s="1"/>
      <c r="C2047" s="30"/>
      <c r="D2047" s="1"/>
      <c r="E2047" s="30"/>
      <c r="F2047" s="30"/>
      <c r="G2047" s="30"/>
      <c r="H2047" s="30"/>
      <c r="I2047" s="30"/>
      <c r="J2047" s="30"/>
      <c r="K2047" s="30"/>
      <c r="L2047" s="30"/>
      <c r="M2047" s="30"/>
      <c r="N2047" s="30"/>
      <c r="O2047" s="30"/>
    </row>
    <row r="2048" ht="14.25" customHeight="1">
      <c r="A2048" s="30"/>
      <c r="B2048" s="1"/>
      <c r="C2048" s="30"/>
      <c r="D2048" s="1"/>
      <c r="E2048" s="30"/>
      <c r="F2048" s="30"/>
      <c r="G2048" s="30"/>
      <c r="H2048" s="30"/>
      <c r="I2048" s="30"/>
      <c r="J2048" s="30"/>
      <c r="K2048" s="30"/>
      <c r="L2048" s="30"/>
      <c r="M2048" s="30"/>
      <c r="N2048" s="30"/>
      <c r="O2048" s="30"/>
    </row>
    <row r="2049" ht="14.25" customHeight="1">
      <c r="A2049" s="30"/>
      <c r="B2049" s="1"/>
      <c r="C2049" s="30"/>
      <c r="D2049" s="1"/>
      <c r="E2049" s="30"/>
      <c r="F2049" s="30"/>
      <c r="G2049" s="30"/>
      <c r="H2049" s="30"/>
      <c r="I2049" s="30"/>
      <c r="J2049" s="30"/>
      <c r="K2049" s="30"/>
      <c r="L2049" s="30"/>
      <c r="M2049" s="30"/>
      <c r="N2049" s="30"/>
      <c r="O2049" s="30"/>
    </row>
    <row r="2050" ht="14.25" customHeight="1">
      <c r="A2050" s="30"/>
      <c r="B2050" s="1"/>
      <c r="C2050" s="30"/>
      <c r="D2050" s="1"/>
      <c r="E2050" s="30"/>
      <c r="F2050" s="30"/>
      <c r="G2050" s="30"/>
      <c r="H2050" s="30"/>
      <c r="I2050" s="30"/>
      <c r="J2050" s="30"/>
      <c r="K2050" s="30"/>
      <c r="L2050" s="30"/>
      <c r="M2050" s="30"/>
      <c r="N2050" s="30"/>
      <c r="O2050" s="30"/>
    </row>
    <row r="2051" ht="14.25" customHeight="1">
      <c r="A2051" s="30"/>
      <c r="B2051" s="1"/>
      <c r="C2051" s="30"/>
      <c r="D2051" s="1"/>
      <c r="E2051" s="30"/>
      <c r="F2051" s="30"/>
      <c r="G2051" s="30"/>
      <c r="H2051" s="30"/>
      <c r="I2051" s="30"/>
      <c r="J2051" s="30"/>
      <c r="K2051" s="30"/>
      <c r="L2051" s="30"/>
      <c r="M2051" s="30"/>
      <c r="N2051" s="30"/>
      <c r="O2051" s="30"/>
    </row>
    <row r="2052" ht="14.25" customHeight="1">
      <c r="A2052" s="30"/>
      <c r="B2052" s="1"/>
      <c r="C2052" s="30"/>
      <c r="D2052" s="1"/>
      <c r="E2052" s="30"/>
      <c r="F2052" s="30"/>
      <c r="G2052" s="30"/>
      <c r="H2052" s="30"/>
      <c r="I2052" s="30"/>
      <c r="J2052" s="30"/>
      <c r="K2052" s="30"/>
      <c r="L2052" s="30"/>
      <c r="M2052" s="30"/>
      <c r="N2052" s="30"/>
      <c r="O2052" s="30"/>
    </row>
    <row r="2053" ht="14.25" customHeight="1">
      <c r="A2053" s="30"/>
      <c r="B2053" s="1"/>
      <c r="C2053" s="30"/>
      <c r="D2053" s="1"/>
      <c r="E2053" s="30"/>
      <c r="F2053" s="30"/>
      <c r="G2053" s="30"/>
      <c r="H2053" s="30"/>
      <c r="I2053" s="30"/>
      <c r="J2053" s="30"/>
      <c r="K2053" s="30"/>
      <c r="L2053" s="30"/>
      <c r="M2053" s="30"/>
      <c r="N2053" s="30"/>
      <c r="O2053" s="30"/>
    </row>
    <row r="2054" ht="14.25" customHeight="1">
      <c r="A2054" s="30"/>
      <c r="B2054" s="1"/>
      <c r="C2054" s="30"/>
      <c r="D2054" s="1"/>
      <c r="E2054" s="30"/>
      <c r="F2054" s="30"/>
      <c r="G2054" s="30"/>
      <c r="H2054" s="30"/>
      <c r="I2054" s="30"/>
      <c r="J2054" s="30"/>
      <c r="K2054" s="30"/>
      <c r="L2054" s="30"/>
      <c r="M2054" s="30"/>
      <c r="N2054" s="30"/>
      <c r="O2054" s="30"/>
    </row>
    <row r="2055" ht="14.25" customHeight="1">
      <c r="A2055" s="30"/>
      <c r="B2055" s="1"/>
      <c r="C2055" s="30"/>
      <c r="D2055" s="1"/>
      <c r="E2055" s="30"/>
      <c r="F2055" s="30"/>
      <c r="G2055" s="30"/>
      <c r="H2055" s="30"/>
      <c r="I2055" s="30"/>
      <c r="J2055" s="30"/>
      <c r="K2055" s="30"/>
      <c r="L2055" s="30"/>
      <c r="M2055" s="30"/>
      <c r="N2055" s="30"/>
      <c r="O2055" s="30"/>
    </row>
    <row r="2056" ht="14.25" customHeight="1">
      <c r="A2056" s="30"/>
      <c r="B2056" s="1"/>
      <c r="C2056" s="30"/>
      <c r="D2056" s="1"/>
      <c r="E2056" s="30"/>
      <c r="F2056" s="30"/>
      <c r="G2056" s="30"/>
      <c r="H2056" s="30"/>
      <c r="I2056" s="30"/>
      <c r="J2056" s="30"/>
      <c r="K2056" s="30"/>
      <c r="L2056" s="30"/>
      <c r="M2056" s="30"/>
      <c r="N2056" s="30"/>
      <c r="O2056" s="30"/>
    </row>
    <row r="2057" ht="14.25" customHeight="1">
      <c r="A2057" s="30"/>
      <c r="B2057" s="1"/>
      <c r="C2057" s="30"/>
      <c r="D2057" s="1"/>
      <c r="E2057" s="30"/>
      <c r="F2057" s="30"/>
      <c r="G2057" s="30"/>
      <c r="H2057" s="30"/>
      <c r="I2057" s="30"/>
      <c r="J2057" s="30"/>
      <c r="K2057" s="30"/>
      <c r="L2057" s="30"/>
      <c r="M2057" s="30"/>
      <c r="N2057" s="30"/>
      <c r="O2057" s="30"/>
    </row>
    <row r="2058" ht="14.25" customHeight="1">
      <c r="A2058" s="30"/>
      <c r="B2058" s="1"/>
      <c r="C2058" s="30"/>
      <c r="D2058" s="1"/>
      <c r="E2058" s="30"/>
      <c r="F2058" s="30"/>
      <c r="G2058" s="30"/>
      <c r="H2058" s="30"/>
      <c r="I2058" s="30"/>
      <c r="J2058" s="30"/>
      <c r="K2058" s="30"/>
      <c r="L2058" s="30"/>
      <c r="M2058" s="30"/>
      <c r="N2058" s="30"/>
      <c r="O2058" s="30"/>
    </row>
    <row r="2059" ht="14.25" customHeight="1">
      <c r="A2059" s="30"/>
      <c r="B2059" s="1"/>
      <c r="C2059" s="30"/>
      <c r="D2059" s="1"/>
      <c r="E2059" s="30"/>
      <c r="F2059" s="30"/>
      <c r="G2059" s="30"/>
      <c r="H2059" s="30"/>
      <c r="I2059" s="30"/>
      <c r="J2059" s="30"/>
      <c r="K2059" s="30"/>
      <c r="L2059" s="30"/>
      <c r="M2059" s="30"/>
      <c r="N2059" s="30"/>
      <c r="O2059" s="30"/>
    </row>
    <row r="2060" ht="14.25" customHeight="1">
      <c r="A2060" s="30"/>
      <c r="B2060" s="1"/>
      <c r="C2060" s="30"/>
      <c r="D2060" s="1"/>
      <c r="E2060" s="30"/>
      <c r="F2060" s="30"/>
      <c r="G2060" s="30"/>
      <c r="H2060" s="30"/>
      <c r="I2060" s="30"/>
      <c r="J2060" s="30"/>
      <c r="K2060" s="30"/>
      <c r="L2060" s="30"/>
      <c r="M2060" s="30"/>
      <c r="N2060" s="30"/>
      <c r="O2060" s="30"/>
    </row>
    <row r="2061" ht="14.25" customHeight="1">
      <c r="A2061" s="30"/>
      <c r="B2061" s="1"/>
      <c r="C2061" s="30"/>
      <c r="D2061" s="1"/>
      <c r="E2061" s="30"/>
      <c r="F2061" s="30"/>
      <c r="G2061" s="30"/>
      <c r="H2061" s="30"/>
      <c r="I2061" s="30"/>
      <c r="J2061" s="30"/>
      <c r="K2061" s="30"/>
      <c r="L2061" s="30"/>
      <c r="M2061" s="30"/>
      <c r="N2061" s="30"/>
      <c r="O2061" s="30"/>
    </row>
    <row r="2062" ht="14.25" customHeight="1">
      <c r="A2062" s="30"/>
      <c r="B2062" s="1"/>
      <c r="C2062" s="30"/>
      <c r="D2062" s="1"/>
      <c r="E2062" s="30"/>
      <c r="F2062" s="30"/>
      <c r="G2062" s="30"/>
      <c r="H2062" s="30"/>
      <c r="I2062" s="30"/>
      <c r="J2062" s="30"/>
      <c r="K2062" s="30"/>
      <c r="L2062" s="30"/>
      <c r="M2062" s="30"/>
      <c r="N2062" s="30"/>
      <c r="O2062" s="30"/>
    </row>
    <row r="2063" ht="14.25" customHeight="1">
      <c r="A2063" s="30"/>
      <c r="B2063" s="1"/>
      <c r="C2063" s="30"/>
      <c r="D2063" s="1"/>
      <c r="E2063" s="30"/>
      <c r="F2063" s="30"/>
      <c r="G2063" s="30"/>
      <c r="H2063" s="30"/>
      <c r="I2063" s="30"/>
      <c r="J2063" s="30"/>
      <c r="K2063" s="30"/>
      <c r="L2063" s="30"/>
      <c r="M2063" s="30"/>
      <c r="N2063" s="30"/>
      <c r="O2063" s="30"/>
    </row>
    <row r="2064" ht="14.25" customHeight="1">
      <c r="A2064" s="30"/>
      <c r="B2064" s="1"/>
      <c r="C2064" s="30"/>
      <c r="D2064" s="1"/>
      <c r="E2064" s="30"/>
      <c r="F2064" s="30"/>
      <c r="G2064" s="30"/>
      <c r="H2064" s="30"/>
      <c r="I2064" s="30"/>
      <c r="J2064" s="30"/>
      <c r="K2064" s="30"/>
      <c r="L2064" s="30"/>
      <c r="M2064" s="30"/>
      <c r="N2064" s="30"/>
      <c r="O2064" s="30"/>
    </row>
    <row r="2065" ht="14.25" customHeight="1">
      <c r="A2065" s="30"/>
      <c r="B2065" s="1"/>
      <c r="C2065" s="30"/>
      <c r="D2065" s="1"/>
      <c r="E2065" s="30"/>
      <c r="F2065" s="30"/>
      <c r="G2065" s="30"/>
      <c r="H2065" s="30"/>
      <c r="I2065" s="30"/>
      <c r="J2065" s="30"/>
      <c r="K2065" s="30"/>
      <c r="L2065" s="30"/>
      <c r="M2065" s="30"/>
      <c r="N2065" s="30"/>
      <c r="O2065" s="30"/>
    </row>
    <row r="2066" ht="14.25" customHeight="1">
      <c r="A2066" s="30"/>
      <c r="B2066" s="1"/>
      <c r="C2066" s="30"/>
      <c r="D2066" s="1"/>
      <c r="E2066" s="30"/>
      <c r="F2066" s="30"/>
      <c r="G2066" s="30"/>
      <c r="H2066" s="30"/>
      <c r="I2066" s="30"/>
      <c r="J2066" s="30"/>
      <c r="K2066" s="30"/>
      <c r="L2066" s="30"/>
      <c r="M2066" s="30"/>
      <c r="N2066" s="30"/>
      <c r="O2066" s="30"/>
    </row>
    <row r="2067" ht="14.25" customHeight="1">
      <c r="A2067" s="30"/>
      <c r="B2067" s="1"/>
      <c r="C2067" s="30"/>
      <c r="D2067" s="1"/>
      <c r="E2067" s="30"/>
      <c r="F2067" s="30"/>
      <c r="G2067" s="30"/>
      <c r="H2067" s="30"/>
      <c r="I2067" s="30"/>
      <c r="J2067" s="30"/>
      <c r="K2067" s="30"/>
      <c r="L2067" s="30"/>
      <c r="M2067" s="30"/>
      <c r="N2067" s="30"/>
      <c r="O2067" s="30"/>
    </row>
    <row r="2068" ht="14.25" customHeight="1">
      <c r="A2068" s="30"/>
      <c r="B2068" s="1"/>
      <c r="C2068" s="30"/>
      <c r="D2068" s="1"/>
      <c r="E2068" s="30"/>
      <c r="F2068" s="30"/>
      <c r="G2068" s="30"/>
      <c r="H2068" s="30"/>
      <c r="I2068" s="30"/>
      <c r="J2068" s="30"/>
      <c r="K2068" s="30"/>
      <c r="L2068" s="30"/>
      <c r="M2068" s="30"/>
      <c r="N2068" s="30"/>
      <c r="O2068" s="30"/>
    </row>
    <row r="2069" ht="14.25" customHeight="1">
      <c r="A2069" s="30"/>
      <c r="B2069" s="1"/>
      <c r="C2069" s="30"/>
      <c r="D2069" s="1"/>
      <c r="E2069" s="30"/>
      <c r="F2069" s="30"/>
      <c r="G2069" s="30"/>
      <c r="H2069" s="30"/>
      <c r="I2069" s="30"/>
      <c r="J2069" s="30"/>
      <c r="K2069" s="30"/>
      <c r="L2069" s="30"/>
      <c r="M2069" s="30"/>
      <c r="N2069" s="30"/>
      <c r="O2069" s="30"/>
    </row>
    <row r="2070" ht="14.25" customHeight="1">
      <c r="A2070" s="30"/>
      <c r="B2070" s="1"/>
      <c r="C2070" s="30"/>
      <c r="D2070" s="1"/>
      <c r="E2070" s="30"/>
      <c r="F2070" s="30"/>
      <c r="G2070" s="30"/>
      <c r="H2070" s="30"/>
      <c r="I2070" s="30"/>
      <c r="J2070" s="30"/>
      <c r="K2070" s="30"/>
      <c r="L2070" s="30"/>
      <c r="M2070" s="30"/>
      <c r="N2070" s="30"/>
      <c r="O2070" s="30"/>
    </row>
    <row r="2071" ht="14.25" customHeight="1">
      <c r="A2071" s="30"/>
      <c r="B2071" s="1"/>
      <c r="C2071" s="30"/>
      <c r="D2071" s="1"/>
      <c r="E2071" s="30"/>
      <c r="F2071" s="30"/>
      <c r="G2071" s="30"/>
      <c r="H2071" s="30"/>
      <c r="I2071" s="30"/>
      <c r="J2071" s="30"/>
      <c r="K2071" s="30"/>
      <c r="L2071" s="30"/>
      <c r="M2071" s="30"/>
      <c r="N2071" s="30"/>
      <c r="O2071" s="30"/>
    </row>
    <row r="2072" ht="14.25" customHeight="1">
      <c r="A2072" s="30"/>
      <c r="B2072" s="1"/>
      <c r="C2072" s="30"/>
      <c r="D2072" s="1"/>
      <c r="E2072" s="30"/>
      <c r="F2072" s="30"/>
      <c r="G2072" s="30"/>
      <c r="H2072" s="30"/>
      <c r="I2072" s="30"/>
      <c r="J2072" s="30"/>
      <c r="K2072" s="30"/>
      <c r="L2072" s="30"/>
      <c r="M2072" s="30"/>
      <c r="N2072" s="30"/>
      <c r="O2072" s="30"/>
    </row>
    <row r="2073" ht="14.25" customHeight="1">
      <c r="A2073" s="30"/>
      <c r="B2073" s="1"/>
      <c r="C2073" s="30"/>
      <c r="D2073" s="1"/>
      <c r="E2073" s="30"/>
      <c r="F2073" s="30"/>
      <c r="G2073" s="30"/>
      <c r="H2073" s="30"/>
      <c r="I2073" s="30"/>
      <c r="J2073" s="30"/>
      <c r="K2073" s="30"/>
      <c r="L2073" s="30"/>
      <c r="M2073" s="30"/>
      <c r="N2073" s="30"/>
      <c r="O2073" s="30"/>
    </row>
    <row r="2074" ht="14.25" customHeight="1">
      <c r="A2074" s="30"/>
      <c r="B2074" s="1"/>
      <c r="C2074" s="30"/>
      <c r="D2074" s="1"/>
      <c r="E2074" s="30"/>
      <c r="F2074" s="30"/>
      <c r="G2074" s="30"/>
      <c r="H2074" s="30"/>
      <c r="I2074" s="30"/>
      <c r="J2074" s="30"/>
      <c r="K2074" s="30"/>
      <c r="L2074" s="30"/>
      <c r="M2074" s="30"/>
      <c r="N2074" s="30"/>
      <c r="O2074" s="30"/>
    </row>
    <row r="2075" ht="14.25" customHeight="1">
      <c r="A2075" s="30"/>
      <c r="B2075" s="1"/>
      <c r="C2075" s="30"/>
      <c r="D2075" s="1"/>
      <c r="E2075" s="30"/>
      <c r="F2075" s="30"/>
      <c r="G2075" s="30"/>
      <c r="H2075" s="30"/>
      <c r="I2075" s="30"/>
      <c r="J2075" s="30"/>
      <c r="K2075" s="30"/>
      <c r="L2075" s="30"/>
      <c r="M2075" s="30"/>
      <c r="N2075" s="30"/>
      <c r="O2075" s="30"/>
    </row>
    <row r="2076" ht="14.25" customHeight="1">
      <c r="A2076" s="30"/>
      <c r="B2076" s="1"/>
      <c r="C2076" s="30"/>
      <c r="D2076" s="1"/>
      <c r="E2076" s="30"/>
      <c r="F2076" s="30"/>
      <c r="G2076" s="30"/>
      <c r="H2076" s="30"/>
      <c r="I2076" s="30"/>
      <c r="J2076" s="30"/>
      <c r="K2076" s="30"/>
      <c r="L2076" s="30"/>
      <c r="M2076" s="30"/>
      <c r="N2076" s="30"/>
      <c r="O2076" s="30"/>
    </row>
    <row r="2077" ht="14.25" customHeight="1">
      <c r="A2077" s="30"/>
      <c r="B2077" s="1"/>
      <c r="C2077" s="30"/>
      <c r="D2077" s="1"/>
      <c r="E2077" s="30"/>
      <c r="F2077" s="30"/>
      <c r="G2077" s="30"/>
      <c r="H2077" s="30"/>
      <c r="I2077" s="30"/>
      <c r="J2077" s="30"/>
      <c r="K2077" s="30"/>
      <c r="L2077" s="30"/>
      <c r="M2077" s="30"/>
      <c r="N2077" s="30"/>
      <c r="O2077" s="30"/>
    </row>
    <row r="2078" ht="14.25" customHeight="1">
      <c r="A2078" s="30"/>
      <c r="B2078" s="1"/>
      <c r="C2078" s="30"/>
      <c r="D2078" s="1"/>
      <c r="E2078" s="30"/>
      <c r="F2078" s="30"/>
      <c r="G2078" s="30"/>
      <c r="H2078" s="30"/>
      <c r="I2078" s="30"/>
      <c r="J2078" s="30"/>
      <c r="K2078" s="30"/>
      <c r="L2078" s="30"/>
      <c r="M2078" s="30"/>
      <c r="N2078" s="30"/>
      <c r="O2078" s="30"/>
    </row>
    <row r="2079" ht="14.25" customHeight="1">
      <c r="A2079" s="30"/>
      <c r="B2079" s="1"/>
      <c r="C2079" s="30"/>
      <c r="D2079" s="1"/>
      <c r="E2079" s="30"/>
      <c r="F2079" s="30"/>
      <c r="G2079" s="30"/>
      <c r="H2079" s="30"/>
      <c r="I2079" s="30"/>
      <c r="J2079" s="30"/>
      <c r="K2079" s="30"/>
      <c r="L2079" s="30"/>
      <c r="M2079" s="30"/>
      <c r="N2079" s="30"/>
      <c r="O2079" s="30"/>
    </row>
    <row r="2080" ht="14.25" customHeight="1">
      <c r="A2080" s="30"/>
      <c r="B2080" s="1"/>
      <c r="C2080" s="30"/>
      <c r="D2080" s="1"/>
      <c r="E2080" s="30"/>
      <c r="F2080" s="30"/>
      <c r="G2080" s="30"/>
      <c r="H2080" s="30"/>
      <c r="I2080" s="30"/>
      <c r="J2080" s="30"/>
      <c r="K2080" s="30"/>
      <c r="L2080" s="30"/>
      <c r="M2080" s="30"/>
      <c r="N2080" s="30"/>
      <c r="O2080" s="30"/>
    </row>
    <row r="2081" ht="14.25" customHeight="1">
      <c r="A2081" s="30"/>
      <c r="B2081" s="1"/>
      <c r="C2081" s="30"/>
      <c r="D2081" s="1"/>
      <c r="E2081" s="30"/>
      <c r="F2081" s="30"/>
      <c r="G2081" s="30"/>
      <c r="H2081" s="30"/>
      <c r="I2081" s="30"/>
      <c r="J2081" s="30"/>
      <c r="K2081" s="30"/>
      <c r="L2081" s="30"/>
      <c r="M2081" s="30"/>
      <c r="N2081" s="30"/>
      <c r="O2081" s="30"/>
    </row>
    <row r="2082" ht="14.25" customHeight="1">
      <c r="A2082" s="30"/>
      <c r="B2082" s="1"/>
      <c r="C2082" s="30"/>
      <c r="D2082" s="1"/>
      <c r="E2082" s="30"/>
      <c r="F2082" s="30"/>
      <c r="G2082" s="30"/>
      <c r="H2082" s="30"/>
      <c r="I2082" s="30"/>
      <c r="J2082" s="30"/>
      <c r="K2082" s="30"/>
      <c r="L2082" s="30"/>
      <c r="M2082" s="30"/>
      <c r="N2082" s="30"/>
      <c r="O2082" s="30"/>
    </row>
    <row r="2083" ht="14.25" customHeight="1">
      <c r="A2083" s="30"/>
      <c r="B2083" s="1"/>
      <c r="C2083" s="30"/>
      <c r="D2083" s="1"/>
      <c r="E2083" s="30"/>
      <c r="F2083" s="30"/>
      <c r="G2083" s="30"/>
      <c r="H2083" s="30"/>
      <c r="I2083" s="30"/>
      <c r="J2083" s="30"/>
      <c r="K2083" s="30"/>
      <c r="L2083" s="30"/>
      <c r="M2083" s="30"/>
      <c r="N2083" s="30"/>
      <c r="O2083" s="30"/>
    </row>
    <row r="2084" ht="14.25" customHeight="1">
      <c r="A2084" s="30"/>
      <c r="B2084" s="1"/>
      <c r="C2084" s="30"/>
      <c r="D2084" s="1"/>
      <c r="E2084" s="30"/>
      <c r="F2084" s="30"/>
      <c r="G2084" s="30"/>
      <c r="H2084" s="30"/>
      <c r="I2084" s="30"/>
      <c r="J2084" s="30"/>
      <c r="K2084" s="30"/>
      <c r="L2084" s="30"/>
      <c r="M2084" s="30"/>
      <c r="N2084" s="30"/>
      <c r="O2084" s="30"/>
    </row>
    <row r="2085" ht="14.25" customHeight="1">
      <c r="A2085" s="30"/>
      <c r="B2085" s="1"/>
      <c r="C2085" s="30"/>
      <c r="D2085" s="1"/>
      <c r="E2085" s="30"/>
      <c r="F2085" s="30"/>
      <c r="G2085" s="30"/>
      <c r="H2085" s="30"/>
      <c r="I2085" s="30"/>
      <c r="J2085" s="30"/>
      <c r="K2085" s="30"/>
      <c r="L2085" s="30"/>
      <c r="M2085" s="30"/>
      <c r="N2085" s="30"/>
      <c r="O2085" s="30"/>
    </row>
    <row r="2086" ht="14.25" customHeight="1">
      <c r="A2086" s="30"/>
      <c r="B2086" s="1"/>
      <c r="C2086" s="30"/>
      <c r="D2086" s="1"/>
      <c r="E2086" s="30"/>
      <c r="F2086" s="30"/>
      <c r="G2086" s="30"/>
      <c r="H2086" s="30"/>
      <c r="I2086" s="30"/>
      <c r="J2086" s="30"/>
      <c r="K2086" s="30"/>
      <c r="L2086" s="30"/>
      <c r="M2086" s="30"/>
      <c r="N2086" s="30"/>
      <c r="O2086" s="30"/>
    </row>
    <row r="2087" ht="14.25" customHeight="1">
      <c r="A2087" s="30"/>
      <c r="B2087" s="1"/>
      <c r="C2087" s="30"/>
      <c r="D2087" s="1"/>
      <c r="E2087" s="30"/>
      <c r="F2087" s="30"/>
      <c r="G2087" s="30"/>
      <c r="H2087" s="30"/>
      <c r="I2087" s="30"/>
      <c r="J2087" s="30"/>
      <c r="K2087" s="30"/>
      <c r="L2087" s="30"/>
      <c r="M2087" s="30"/>
      <c r="N2087" s="30"/>
      <c r="O2087" s="30"/>
    </row>
    <row r="2088" ht="14.25" customHeight="1">
      <c r="A2088" s="30"/>
      <c r="B2088" s="1"/>
      <c r="C2088" s="30"/>
      <c r="D2088" s="1"/>
      <c r="E2088" s="30"/>
      <c r="F2088" s="30"/>
      <c r="G2088" s="30"/>
      <c r="H2088" s="30"/>
      <c r="I2088" s="30"/>
      <c r="J2088" s="30"/>
      <c r="K2088" s="30"/>
      <c r="L2088" s="30"/>
      <c r="M2088" s="30"/>
      <c r="N2088" s="30"/>
      <c r="O2088" s="30"/>
    </row>
    <row r="2089" ht="14.25" customHeight="1">
      <c r="A2089" s="30"/>
      <c r="B2089" s="1"/>
      <c r="C2089" s="30"/>
      <c r="D2089" s="1"/>
      <c r="E2089" s="30"/>
      <c r="F2089" s="30"/>
      <c r="G2089" s="30"/>
      <c r="H2089" s="30"/>
      <c r="I2089" s="30"/>
      <c r="J2089" s="30"/>
      <c r="K2089" s="30"/>
      <c r="L2089" s="30"/>
      <c r="M2089" s="30"/>
      <c r="N2089" s="30"/>
      <c r="O2089" s="30"/>
    </row>
    <row r="2090" ht="14.25" customHeight="1">
      <c r="A2090" s="30"/>
      <c r="B2090" s="1"/>
      <c r="C2090" s="30"/>
      <c r="D2090" s="1"/>
      <c r="E2090" s="30"/>
      <c r="F2090" s="30"/>
      <c r="G2090" s="30"/>
      <c r="H2090" s="30"/>
      <c r="I2090" s="30"/>
      <c r="J2090" s="30"/>
      <c r="K2090" s="30"/>
      <c r="L2090" s="30"/>
      <c r="M2090" s="30"/>
      <c r="N2090" s="30"/>
      <c r="O2090" s="30"/>
    </row>
    <row r="2091" ht="14.25" customHeight="1">
      <c r="A2091" s="30"/>
      <c r="B2091" s="1"/>
      <c r="C2091" s="30"/>
      <c r="D2091" s="1"/>
      <c r="E2091" s="30"/>
      <c r="F2091" s="30"/>
      <c r="G2091" s="30"/>
      <c r="H2091" s="30"/>
      <c r="I2091" s="30"/>
      <c r="J2091" s="30"/>
      <c r="K2091" s="30"/>
      <c r="L2091" s="30"/>
      <c r="M2091" s="30"/>
      <c r="N2091" s="30"/>
      <c r="O2091" s="30"/>
    </row>
    <row r="2092" ht="14.25" customHeight="1">
      <c r="A2092" s="30"/>
      <c r="B2092" s="1"/>
      <c r="C2092" s="30"/>
      <c r="D2092" s="1"/>
      <c r="E2092" s="30"/>
      <c r="F2092" s="30"/>
      <c r="G2092" s="30"/>
      <c r="H2092" s="30"/>
      <c r="I2092" s="30"/>
      <c r="J2092" s="30"/>
      <c r="K2092" s="30"/>
      <c r="L2092" s="30"/>
      <c r="M2092" s="30"/>
      <c r="N2092" s="30"/>
      <c r="O2092" s="30"/>
    </row>
    <row r="2093" ht="14.25" customHeight="1">
      <c r="A2093" s="30"/>
      <c r="B2093" s="1"/>
      <c r="C2093" s="30"/>
      <c r="D2093" s="1"/>
      <c r="E2093" s="30"/>
      <c r="F2093" s="30"/>
      <c r="G2093" s="30"/>
      <c r="H2093" s="30"/>
      <c r="I2093" s="30"/>
      <c r="J2093" s="30"/>
      <c r="K2093" s="30"/>
      <c r="L2093" s="30"/>
      <c r="M2093" s="30"/>
      <c r="N2093" s="30"/>
      <c r="O2093" s="30"/>
    </row>
    <row r="2094" ht="14.25" customHeight="1">
      <c r="A2094" s="30"/>
      <c r="B2094" s="1"/>
      <c r="C2094" s="30"/>
      <c r="D2094" s="1"/>
      <c r="E2094" s="30"/>
      <c r="F2094" s="30"/>
      <c r="G2094" s="30"/>
      <c r="H2094" s="30"/>
      <c r="I2094" s="30"/>
      <c r="J2094" s="30"/>
      <c r="K2094" s="30"/>
      <c r="L2094" s="30"/>
      <c r="M2094" s="30"/>
      <c r="N2094" s="30"/>
      <c r="O2094" s="30"/>
    </row>
    <row r="2095" ht="14.25" customHeight="1">
      <c r="A2095" s="30"/>
      <c r="B2095" s="1"/>
      <c r="C2095" s="30"/>
      <c r="D2095" s="1"/>
      <c r="E2095" s="30"/>
      <c r="F2095" s="30"/>
      <c r="G2095" s="30"/>
      <c r="H2095" s="30"/>
      <c r="I2095" s="30"/>
      <c r="J2095" s="30"/>
      <c r="K2095" s="30"/>
      <c r="L2095" s="30"/>
      <c r="M2095" s="30"/>
      <c r="N2095" s="30"/>
      <c r="O2095" s="30"/>
    </row>
    <row r="2096" ht="14.25" customHeight="1">
      <c r="A2096" s="30"/>
      <c r="B2096" s="1"/>
      <c r="C2096" s="30"/>
      <c r="D2096" s="1"/>
      <c r="E2096" s="30"/>
      <c r="F2096" s="30"/>
      <c r="G2096" s="30"/>
      <c r="H2096" s="30"/>
      <c r="I2096" s="30"/>
      <c r="J2096" s="30"/>
      <c r="K2096" s="30"/>
      <c r="L2096" s="30"/>
      <c r="M2096" s="30"/>
      <c r="N2096" s="30"/>
      <c r="O2096" s="30"/>
    </row>
    <row r="2097" ht="14.25" customHeight="1">
      <c r="A2097" s="30"/>
      <c r="B2097" s="1"/>
      <c r="C2097" s="30"/>
      <c r="D2097" s="1"/>
      <c r="E2097" s="30"/>
      <c r="F2097" s="30"/>
      <c r="G2097" s="30"/>
      <c r="H2097" s="30"/>
      <c r="I2097" s="30"/>
      <c r="J2097" s="30"/>
      <c r="K2097" s="30"/>
      <c r="L2097" s="30"/>
      <c r="M2097" s="30"/>
      <c r="N2097" s="30"/>
      <c r="O2097" s="30"/>
    </row>
    <row r="2098" ht="14.25" customHeight="1">
      <c r="A2098" s="30"/>
      <c r="B2098" s="1"/>
      <c r="C2098" s="30"/>
      <c r="D2098" s="1"/>
      <c r="E2098" s="30"/>
      <c r="F2098" s="30"/>
      <c r="G2098" s="30"/>
      <c r="H2098" s="30"/>
      <c r="I2098" s="30"/>
      <c r="J2098" s="30"/>
      <c r="K2098" s="30"/>
      <c r="L2098" s="30"/>
      <c r="M2098" s="30"/>
      <c r="N2098" s="30"/>
      <c r="O2098" s="30"/>
    </row>
    <row r="2099" ht="14.25" customHeight="1">
      <c r="A2099" s="30"/>
      <c r="B2099" s="1"/>
      <c r="C2099" s="30"/>
      <c r="D2099" s="1"/>
      <c r="E2099" s="30"/>
      <c r="F2099" s="30"/>
      <c r="G2099" s="30"/>
      <c r="H2099" s="30"/>
      <c r="I2099" s="30"/>
      <c r="J2099" s="30"/>
      <c r="K2099" s="30"/>
      <c r="L2099" s="30"/>
      <c r="M2099" s="30"/>
      <c r="N2099" s="30"/>
      <c r="O2099" s="30"/>
    </row>
    <row r="2100" ht="14.25" customHeight="1">
      <c r="A2100" s="30"/>
      <c r="B2100" s="1"/>
      <c r="C2100" s="30"/>
      <c r="D2100" s="1"/>
      <c r="E2100" s="30"/>
      <c r="F2100" s="30"/>
      <c r="G2100" s="30"/>
      <c r="H2100" s="30"/>
      <c r="I2100" s="30"/>
      <c r="J2100" s="30"/>
      <c r="K2100" s="30"/>
      <c r="L2100" s="30"/>
      <c r="M2100" s="30"/>
      <c r="N2100" s="30"/>
      <c r="O2100" s="30"/>
    </row>
    <row r="2101" ht="14.25" customHeight="1">
      <c r="A2101" s="30"/>
      <c r="B2101" s="1"/>
      <c r="C2101" s="30"/>
      <c r="D2101" s="1"/>
      <c r="E2101" s="30"/>
      <c r="F2101" s="30"/>
      <c r="G2101" s="30"/>
      <c r="H2101" s="30"/>
      <c r="I2101" s="30"/>
      <c r="J2101" s="30"/>
      <c r="K2101" s="30"/>
      <c r="L2101" s="30"/>
      <c r="M2101" s="30"/>
      <c r="N2101" s="30"/>
      <c r="O2101" s="30"/>
    </row>
    <row r="2102" ht="14.25" customHeight="1">
      <c r="A2102" s="30"/>
      <c r="B2102" s="1"/>
      <c r="C2102" s="30"/>
      <c r="D2102" s="1"/>
      <c r="E2102" s="30"/>
      <c r="F2102" s="30"/>
      <c r="G2102" s="30"/>
      <c r="H2102" s="30"/>
      <c r="I2102" s="30"/>
      <c r="J2102" s="30"/>
      <c r="K2102" s="30"/>
      <c r="L2102" s="30"/>
      <c r="M2102" s="30"/>
      <c r="N2102" s="30"/>
      <c r="O2102" s="30"/>
    </row>
    <row r="2103" ht="14.25" customHeight="1">
      <c r="A2103" s="30"/>
      <c r="B2103" s="1"/>
      <c r="C2103" s="30"/>
      <c r="D2103" s="1"/>
      <c r="E2103" s="30"/>
      <c r="F2103" s="30"/>
      <c r="G2103" s="30"/>
      <c r="H2103" s="30"/>
      <c r="I2103" s="30"/>
      <c r="J2103" s="30"/>
      <c r="K2103" s="30"/>
      <c r="L2103" s="30"/>
      <c r="M2103" s="30"/>
      <c r="N2103" s="30"/>
      <c r="O2103" s="30"/>
    </row>
    <row r="2104" ht="14.25" customHeight="1">
      <c r="A2104" s="30"/>
      <c r="B2104" s="1"/>
      <c r="C2104" s="30"/>
      <c r="D2104" s="1"/>
      <c r="E2104" s="30"/>
      <c r="F2104" s="30"/>
      <c r="G2104" s="30"/>
      <c r="H2104" s="30"/>
      <c r="I2104" s="30"/>
      <c r="J2104" s="30"/>
      <c r="K2104" s="30"/>
      <c r="L2104" s="30"/>
      <c r="M2104" s="30"/>
      <c r="N2104" s="30"/>
      <c r="O2104" s="30"/>
    </row>
    <row r="2105" ht="14.25" customHeight="1">
      <c r="A2105" s="30"/>
      <c r="B2105" s="1"/>
      <c r="C2105" s="30"/>
      <c r="D2105" s="1"/>
      <c r="E2105" s="30"/>
      <c r="F2105" s="30"/>
      <c r="G2105" s="30"/>
      <c r="H2105" s="30"/>
      <c r="I2105" s="30"/>
      <c r="J2105" s="30"/>
      <c r="K2105" s="30"/>
      <c r="L2105" s="30"/>
      <c r="M2105" s="30"/>
      <c r="N2105" s="30"/>
      <c r="O2105" s="30"/>
    </row>
  </sheetData>
  <mergeCells count="84">
    <mergeCell ref="B1565:C1565"/>
    <mergeCell ref="D1565:E1565"/>
    <mergeCell ref="F1565:G1565"/>
    <mergeCell ref="H1565:I1565"/>
    <mergeCell ref="J1565:K1565"/>
    <mergeCell ref="L1565:M1565"/>
    <mergeCell ref="N1565:O1565"/>
    <mergeCell ref="B1603:C1603"/>
    <mergeCell ref="D1603:E1603"/>
    <mergeCell ref="F1603:G1603"/>
    <mergeCell ref="H1603:I1603"/>
    <mergeCell ref="J1603:K1603"/>
    <mergeCell ref="L1603:M1603"/>
    <mergeCell ref="N1603:O1603"/>
    <mergeCell ref="B1641:C1641"/>
    <mergeCell ref="D1641:E1641"/>
    <mergeCell ref="F1641:G1641"/>
    <mergeCell ref="H1641:I1641"/>
    <mergeCell ref="J1641:K1641"/>
    <mergeCell ref="L1641:M1641"/>
    <mergeCell ref="N1641:O1641"/>
    <mergeCell ref="B1679:C1679"/>
    <mergeCell ref="D1679:E1679"/>
    <mergeCell ref="F1679:G1679"/>
    <mergeCell ref="H1679:I1679"/>
    <mergeCell ref="J1679:K1679"/>
    <mergeCell ref="L1679:M1679"/>
    <mergeCell ref="N1679:O1679"/>
    <mergeCell ref="B1337:C1337"/>
    <mergeCell ref="D1337:E1337"/>
    <mergeCell ref="F1337:G1337"/>
    <mergeCell ref="H1337:I1337"/>
    <mergeCell ref="J1337:K1337"/>
    <mergeCell ref="L1337:M1337"/>
    <mergeCell ref="N1337:O1337"/>
    <mergeCell ref="B1375:C1375"/>
    <mergeCell ref="D1375:E1375"/>
    <mergeCell ref="F1375:G1375"/>
    <mergeCell ref="H1375:I1375"/>
    <mergeCell ref="J1375:K1375"/>
    <mergeCell ref="L1375:M1375"/>
    <mergeCell ref="N1375:O1375"/>
    <mergeCell ref="B1413:C1413"/>
    <mergeCell ref="D1413:E1413"/>
    <mergeCell ref="F1413:G1413"/>
    <mergeCell ref="H1413:I1413"/>
    <mergeCell ref="J1413:K1413"/>
    <mergeCell ref="L1413:M1413"/>
    <mergeCell ref="N1413:O1413"/>
    <mergeCell ref="B1451:C1451"/>
    <mergeCell ref="D1451:E1451"/>
    <mergeCell ref="F1451:G1451"/>
    <mergeCell ref="H1451:I1451"/>
    <mergeCell ref="J1451:K1451"/>
    <mergeCell ref="L1451:M1451"/>
    <mergeCell ref="N1451:O1451"/>
    <mergeCell ref="B1489:C1489"/>
    <mergeCell ref="D1489:E1489"/>
    <mergeCell ref="F1489:G1489"/>
    <mergeCell ref="H1489:I1489"/>
    <mergeCell ref="J1489:K1489"/>
    <mergeCell ref="L1489:M1489"/>
    <mergeCell ref="N1489:O1489"/>
    <mergeCell ref="B1527:C1527"/>
    <mergeCell ref="D1527:E1527"/>
    <mergeCell ref="F1527:G1527"/>
    <mergeCell ref="H1527:I1527"/>
    <mergeCell ref="J1527:K1527"/>
    <mergeCell ref="L1527:M1527"/>
    <mergeCell ref="N1527:O1527"/>
    <mergeCell ref="B1755:C1755"/>
    <mergeCell ref="D1755:E1755"/>
    <mergeCell ref="F1755:G1755"/>
    <mergeCell ref="H1755:I1755"/>
    <mergeCell ref="J1755:K1755"/>
    <mergeCell ref="L1755:M1755"/>
    <mergeCell ref="N1755:O1755"/>
    <mergeCell ref="B1717:C1717"/>
    <mergeCell ref="D1717:E1717"/>
    <mergeCell ref="F1717:G1717"/>
    <mergeCell ref="H1717:I1717"/>
    <mergeCell ref="J1717:K1717"/>
    <mergeCell ref="L1717:M1717"/>
    <mergeCell ref="N1717:O1717"/>
  </mergeCells>
  <printOptions/>
  <pageMargins bottom="0.75" footer="0.0" header="0.0" left="0.25" right="0.25" top="0.75"/>
  <pageSetup fitToHeight="0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4.43"/>
    <col customWidth="1" min="3" max="3" width="12.86"/>
    <col customWidth="1" min="4" max="4" width="13.0"/>
    <col customWidth="1" min="5" max="5" width="12.0"/>
    <col customWidth="1" min="6" max="6" width="12.71"/>
    <col customWidth="1" min="7" max="7" width="12.29"/>
    <col customWidth="1" min="8" max="8" width="13.57"/>
    <col customWidth="1" min="9" max="9" width="14.14"/>
    <col customWidth="1" min="10" max="10" width="15.43"/>
    <col customWidth="1" min="11" max="11" width="12.43"/>
    <col customWidth="1" min="12" max="12" width="13.29"/>
    <col customWidth="1" min="13" max="13" width="15.29"/>
    <col customWidth="1" min="14" max="15" width="15.71"/>
    <col customWidth="1" min="16" max="18" width="8.71"/>
    <col customWidth="1" min="19" max="19" width="10.0"/>
    <col customWidth="1" min="20" max="20" width="8.71"/>
  </cols>
  <sheetData>
    <row r="1" ht="14.25" customHeight="1">
      <c r="A1" s="1" t="s">
        <v>420</v>
      </c>
      <c r="B1" s="31"/>
      <c r="C1" s="115"/>
      <c r="D1" s="31"/>
      <c r="E1" s="115"/>
      <c r="F1" s="31"/>
      <c r="G1" s="115"/>
      <c r="H1" s="31"/>
      <c r="I1" s="115"/>
      <c r="J1" s="31"/>
      <c r="K1" s="115"/>
      <c r="L1" s="31"/>
      <c r="M1" s="115"/>
    </row>
    <row r="2" ht="14.25" customHeight="1">
      <c r="A2" s="1"/>
      <c r="B2" s="31"/>
      <c r="C2" s="115"/>
      <c r="D2" s="31"/>
      <c r="E2" s="115"/>
      <c r="F2" s="31"/>
      <c r="G2" s="115"/>
      <c r="H2" s="31"/>
      <c r="I2" s="115"/>
      <c r="J2" s="31"/>
      <c r="K2" s="115"/>
      <c r="L2" s="31"/>
      <c r="M2" s="115"/>
    </row>
    <row r="3" ht="14.25" customHeight="1">
      <c r="A3" s="2" t="s">
        <v>2</v>
      </c>
      <c r="B3" s="3" t="s">
        <v>3</v>
      </c>
      <c r="C3" s="4">
        <v>45152.0</v>
      </c>
      <c r="D3" s="5" t="s">
        <v>4</v>
      </c>
      <c r="E3" s="6">
        <f>C3+1</f>
        <v>45153</v>
      </c>
      <c r="F3" s="3" t="s">
        <v>5</v>
      </c>
      <c r="G3" s="6">
        <f>E3+1</f>
        <v>45154</v>
      </c>
      <c r="H3" s="3" t="s">
        <v>6</v>
      </c>
      <c r="I3" s="6">
        <f>G3+1</f>
        <v>45155</v>
      </c>
      <c r="J3" s="3" t="s">
        <v>7</v>
      </c>
      <c r="K3" s="6">
        <f>I3+1</f>
        <v>45156</v>
      </c>
      <c r="L3" s="7" t="s">
        <v>8</v>
      </c>
      <c r="M3" s="8">
        <f>K3+1</f>
        <v>45157</v>
      </c>
    </row>
    <row r="4" ht="14.25" customHeight="1">
      <c r="A4" s="10">
        <v>1.0</v>
      </c>
      <c r="B4" s="129" t="s">
        <v>421</v>
      </c>
      <c r="C4" s="130" t="s">
        <v>422</v>
      </c>
      <c r="D4" s="131" t="s">
        <v>421</v>
      </c>
      <c r="E4" s="131" t="s">
        <v>422</v>
      </c>
      <c r="F4" s="129" t="s">
        <v>421</v>
      </c>
      <c r="G4" s="131" t="s">
        <v>422</v>
      </c>
      <c r="H4" s="129" t="s">
        <v>421</v>
      </c>
      <c r="I4" s="131" t="s">
        <v>422</v>
      </c>
      <c r="J4" s="129" t="s">
        <v>421</v>
      </c>
      <c r="K4" s="130" t="s">
        <v>422</v>
      </c>
      <c r="L4" s="131" t="s">
        <v>421</v>
      </c>
      <c r="M4" s="130" t="s">
        <v>422</v>
      </c>
    </row>
    <row r="5" ht="14.25" customHeight="1">
      <c r="A5" s="13" t="s">
        <v>12</v>
      </c>
      <c r="B5" s="20" t="s">
        <v>423</v>
      </c>
      <c r="C5" s="17"/>
      <c r="D5" s="18" t="s">
        <v>14</v>
      </c>
      <c r="E5" s="18"/>
      <c r="F5" s="20" t="s">
        <v>424</v>
      </c>
      <c r="G5" s="18"/>
      <c r="H5" s="132" t="s">
        <v>15</v>
      </c>
      <c r="I5" s="18"/>
      <c r="J5" s="20" t="s">
        <v>425</v>
      </c>
      <c r="K5" s="17"/>
      <c r="L5" s="132" t="s">
        <v>14</v>
      </c>
      <c r="M5" s="17"/>
    </row>
    <row r="6" ht="14.25" customHeight="1">
      <c r="A6" s="13"/>
      <c r="B6" s="46">
        <v>80.0</v>
      </c>
      <c r="C6" s="133">
        <v>3.0</v>
      </c>
      <c r="D6" s="134" t="s">
        <v>426</v>
      </c>
      <c r="E6" s="135"/>
      <c r="F6" s="46">
        <v>60.0</v>
      </c>
      <c r="G6" s="136">
        <v>3.0</v>
      </c>
      <c r="H6" s="120"/>
      <c r="I6" s="137"/>
      <c r="J6" s="46">
        <v>110.0</v>
      </c>
      <c r="K6" s="133">
        <v>3.0</v>
      </c>
      <c r="L6" s="120" t="s">
        <v>290</v>
      </c>
      <c r="M6" s="138"/>
    </row>
    <row r="7" ht="14.25" customHeight="1">
      <c r="A7" s="13"/>
      <c r="B7" s="46">
        <v>90.0</v>
      </c>
      <c r="C7" s="48">
        <v>3.0</v>
      </c>
      <c r="D7" s="134" t="s">
        <v>427</v>
      </c>
      <c r="E7" s="134" t="s">
        <v>428</v>
      </c>
      <c r="F7" s="46">
        <v>65.0</v>
      </c>
      <c r="G7" s="139">
        <v>3.0</v>
      </c>
      <c r="H7" s="28"/>
      <c r="I7" s="79"/>
      <c r="J7" s="46">
        <v>120.0</v>
      </c>
      <c r="K7" s="48">
        <v>3.0</v>
      </c>
      <c r="L7" s="28"/>
      <c r="M7" s="24"/>
    </row>
    <row r="8" ht="14.25" customHeight="1">
      <c r="A8" s="29" t="s">
        <v>22</v>
      </c>
      <c r="B8" s="46">
        <v>100.0</v>
      </c>
      <c r="C8" s="48">
        <v>3.0</v>
      </c>
      <c r="E8" s="134"/>
      <c r="F8" s="46">
        <v>70.0</v>
      </c>
      <c r="G8" s="139">
        <v>3.0</v>
      </c>
      <c r="H8" s="28" t="s">
        <v>429</v>
      </c>
      <c r="I8" s="79" t="s">
        <v>430</v>
      </c>
      <c r="J8" s="46">
        <v>130.0</v>
      </c>
      <c r="K8" s="48">
        <v>3.0</v>
      </c>
      <c r="L8" s="28"/>
      <c r="M8" s="24"/>
    </row>
    <row r="9" ht="14.25" customHeight="1">
      <c r="A9" s="28" t="s">
        <v>23</v>
      </c>
      <c r="B9" s="46"/>
      <c r="C9" s="48"/>
      <c r="D9" s="33"/>
      <c r="E9" s="134"/>
      <c r="F9" s="46"/>
      <c r="G9" s="139"/>
      <c r="H9" s="13"/>
      <c r="I9" s="34"/>
      <c r="J9" s="46"/>
      <c r="K9" s="48"/>
      <c r="L9" s="28" t="s">
        <v>431</v>
      </c>
      <c r="M9" s="54" t="s">
        <v>432</v>
      </c>
    </row>
    <row r="10" ht="14.25" customHeight="1">
      <c r="A10" s="13"/>
      <c r="B10" s="13"/>
      <c r="C10" s="24"/>
      <c r="D10" s="73"/>
      <c r="E10" s="135"/>
      <c r="F10" s="13"/>
      <c r="G10" s="34"/>
      <c r="H10" s="13"/>
      <c r="I10" s="34"/>
      <c r="J10" s="13"/>
      <c r="K10" s="24"/>
      <c r="L10" s="13"/>
      <c r="M10" s="24"/>
    </row>
    <row r="11" ht="14.25" customHeight="1">
      <c r="A11" s="28" t="s">
        <v>433</v>
      </c>
      <c r="B11" s="35" t="s">
        <v>25</v>
      </c>
      <c r="C11" s="58">
        <f>C6*B6 + B7*C7 + B8*C8 + B9*C9 + B10*C10</f>
        <v>810</v>
      </c>
      <c r="D11" s="57" t="s">
        <v>25</v>
      </c>
      <c r="E11" s="55" t="str">
        <f>E6*D6 + D7*#REF! + E7*E8 + D9*E9 + D10*E10</f>
        <v>#VALUE!</v>
      </c>
      <c r="F11" s="35" t="s">
        <v>25</v>
      </c>
      <c r="G11" s="56">
        <f>G6*F6 + F7*G7 + F8*G8 + F9*G9 + F10*G10</f>
        <v>585</v>
      </c>
      <c r="H11" s="35" t="s">
        <v>25</v>
      </c>
      <c r="I11" s="56" t="str">
        <f>I6*H6 + H7*I7 + H8*I8 + H9*I9 + H10*I10</f>
        <v>#VALUE!</v>
      </c>
      <c r="J11" s="35" t="s">
        <v>25</v>
      </c>
      <c r="K11" s="58">
        <f>K6*J6 + J7*K7 + J8*K8 + J9*K9 + J10*K10</f>
        <v>1080</v>
      </c>
      <c r="L11" s="35" t="s">
        <v>25</v>
      </c>
      <c r="M11" s="36" t="str">
        <f>M6*L6 + L7*M7 + L8*M8 + L9*M9 + L10*M10</f>
        <v>#VALUE!</v>
      </c>
    </row>
    <row r="12" ht="14.25" customHeight="1">
      <c r="A12" s="37"/>
      <c r="B12" s="39" t="s">
        <v>26</v>
      </c>
      <c r="C12" s="116">
        <f>(B6*C6 + B7*C7 + B8*C8 + B9*C9 + B10*C10)/SUM(C6:C10)</f>
        <v>90</v>
      </c>
      <c r="D12" s="31" t="s">
        <v>26</v>
      </c>
      <c r="E12" s="74" t="str">
        <f>(D6*E6 + D7*#REF! + E7*E8 + D9*E9 + D10*E10)/SUM(E6:E10)</f>
        <v>#VALUE!</v>
      </c>
      <c r="F12" s="13" t="s">
        <v>26</v>
      </c>
      <c r="G12" s="117">
        <f>(F6*G6 + F7*G7 + F8*G8 + F9*G9 + F10*G10)/SUM(G6:G10)</f>
        <v>65</v>
      </c>
      <c r="H12" s="13" t="s">
        <v>26</v>
      </c>
      <c r="I12" s="74" t="str">
        <f>(H6*I6 + H7*I7 + H8*I8 + H9*I9 + H10*I10)/SUM(I6:I10)</f>
        <v>#VALUE!</v>
      </c>
      <c r="J12" s="39" t="s">
        <v>26</v>
      </c>
      <c r="K12" s="116">
        <f>(J6*K6 + J7*K7 + J8*K8 + J9*K9 + J10*K10)/SUM(K6:K10)</f>
        <v>120</v>
      </c>
      <c r="L12" s="13" t="s">
        <v>26</v>
      </c>
      <c r="M12" s="75" t="str">
        <f>(L6*M6 + L7*M7 + L8*M8 + L9*M9 + L10*M10)/SUM(M6:M10)</f>
        <v>#VALUE!</v>
      </c>
    </row>
    <row r="13" ht="14.25" customHeight="1">
      <c r="A13" s="28" t="s">
        <v>434</v>
      </c>
      <c r="B13" s="140" t="s">
        <v>421</v>
      </c>
      <c r="C13" s="141" t="s">
        <v>422</v>
      </c>
      <c r="D13" s="142" t="s">
        <v>421</v>
      </c>
      <c r="E13" s="143" t="s">
        <v>422</v>
      </c>
      <c r="F13" s="142" t="s">
        <v>421</v>
      </c>
      <c r="G13" s="143" t="s">
        <v>422</v>
      </c>
      <c r="H13" s="142" t="s">
        <v>421</v>
      </c>
      <c r="I13" s="143" t="s">
        <v>422</v>
      </c>
      <c r="J13" s="140" t="s">
        <v>421</v>
      </c>
      <c r="K13" s="144" t="s">
        <v>422</v>
      </c>
      <c r="L13" s="142" t="s">
        <v>421</v>
      </c>
      <c r="M13" s="145" t="s">
        <v>422</v>
      </c>
    </row>
    <row r="14" ht="14.25" customHeight="1">
      <c r="A14" s="41" t="s">
        <v>435</v>
      </c>
      <c r="B14" s="49" t="s">
        <v>304</v>
      </c>
      <c r="C14" s="146"/>
      <c r="D14" s="49" t="s">
        <v>91</v>
      </c>
      <c r="E14" s="147" t="s">
        <v>49</v>
      </c>
      <c r="F14" s="49" t="s">
        <v>304</v>
      </c>
      <c r="G14" s="146"/>
      <c r="H14" s="148" t="s">
        <v>91</v>
      </c>
      <c r="I14" s="147" t="s">
        <v>90</v>
      </c>
      <c r="J14" s="49" t="s">
        <v>304</v>
      </c>
      <c r="K14" s="125"/>
      <c r="L14" s="49" t="s">
        <v>91</v>
      </c>
      <c r="M14" s="118" t="s">
        <v>90</v>
      </c>
    </row>
    <row r="15" ht="14.25" customHeight="1">
      <c r="A15" s="41"/>
      <c r="B15" s="27">
        <v>150.0</v>
      </c>
      <c r="C15" s="79">
        <v>5.0</v>
      </c>
      <c r="D15" s="46">
        <v>20.0</v>
      </c>
      <c r="E15" s="34"/>
      <c r="F15" s="27">
        <v>155.0</v>
      </c>
      <c r="G15" s="79">
        <v>5.0</v>
      </c>
      <c r="H15" s="28"/>
      <c r="I15" s="34"/>
      <c r="J15" s="27">
        <v>155.0</v>
      </c>
      <c r="K15" s="54">
        <v>5.0</v>
      </c>
      <c r="L15" s="46">
        <v>20.0</v>
      </c>
      <c r="M15" s="54"/>
    </row>
    <row r="16" ht="14.25" customHeight="1">
      <c r="A16" s="28" t="s">
        <v>27</v>
      </c>
      <c r="B16" s="28">
        <v>155.0</v>
      </c>
      <c r="C16" s="79">
        <v>5.0</v>
      </c>
      <c r="D16" s="46">
        <v>60.0</v>
      </c>
      <c r="E16" s="79"/>
      <c r="F16" s="28">
        <v>155.0</v>
      </c>
      <c r="G16" s="79">
        <v>5.0</v>
      </c>
      <c r="H16" s="28"/>
      <c r="I16" s="34"/>
      <c r="J16" s="28">
        <v>160.0</v>
      </c>
      <c r="K16" s="54">
        <v>5.0</v>
      </c>
      <c r="L16" s="46">
        <v>30.0</v>
      </c>
      <c r="M16" s="24"/>
    </row>
    <row r="17" ht="14.25" customHeight="1">
      <c r="A17" s="41" t="s">
        <v>28</v>
      </c>
      <c r="B17" s="27">
        <v>160.0</v>
      </c>
      <c r="C17" s="79">
        <v>5.0</v>
      </c>
      <c r="D17" s="46">
        <v>30.0</v>
      </c>
      <c r="E17" s="34"/>
      <c r="F17" s="27">
        <v>160.0</v>
      </c>
      <c r="G17" s="79">
        <v>5.0</v>
      </c>
      <c r="H17" s="28"/>
      <c r="I17" s="34"/>
      <c r="J17" s="27">
        <v>160.0</v>
      </c>
      <c r="K17" s="54">
        <v>5.0</v>
      </c>
      <c r="L17" s="46">
        <v>40.0</v>
      </c>
      <c r="M17" s="24"/>
    </row>
    <row r="18" ht="14.25" customHeight="1">
      <c r="A18" s="28"/>
      <c r="B18" s="28">
        <v>165.0</v>
      </c>
      <c r="C18" s="79">
        <v>5.0</v>
      </c>
      <c r="D18" s="46">
        <v>40.0</v>
      </c>
      <c r="E18" s="79"/>
      <c r="F18" s="28">
        <v>165.0</v>
      </c>
      <c r="G18" s="79">
        <v>5.0</v>
      </c>
      <c r="H18" s="28"/>
      <c r="I18" s="34"/>
      <c r="J18" s="28">
        <v>165.0</v>
      </c>
      <c r="K18" s="54">
        <v>5.0</v>
      </c>
      <c r="L18" s="21">
        <v>20.0</v>
      </c>
      <c r="M18" s="54"/>
    </row>
    <row r="19" ht="14.25" customHeight="1">
      <c r="A19" s="28"/>
      <c r="B19" s="13"/>
      <c r="C19" s="34"/>
      <c r="D19" s="21">
        <v>20.0</v>
      </c>
      <c r="E19" s="34"/>
      <c r="F19" s="13"/>
      <c r="G19" s="34"/>
      <c r="H19" s="28"/>
      <c r="I19" s="34"/>
      <c r="J19" s="13"/>
      <c r="K19" s="24"/>
      <c r="L19" s="21"/>
      <c r="M19" s="24"/>
    </row>
    <row r="20" ht="14.25" customHeight="1">
      <c r="A20" s="28"/>
      <c r="B20" s="13"/>
      <c r="C20" s="34"/>
      <c r="D20" s="28"/>
      <c r="E20" s="34"/>
      <c r="F20" s="13"/>
      <c r="G20" s="34"/>
      <c r="H20" s="28"/>
      <c r="I20" s="34"/>
      <c r="J20" s="13"/>
      <c r="K20" s="24"/>
      <c r="L20" s="28"/>
      <c r="M20" s="24"/>
    </row>
    <row r="21" ht="14.25" customHeight="1">
      <c r="A21" s="28"/>
      <c r="B21" s="35" t="s">
        <v>25</v>
      </c>
      <c r="C21" s="55">
        <f>C15*B15 + B16*C16 + B17*C17 + B18*C18 + B20*C20</f>
        <v>3150</v>
      </c>
      <c r="D21" s="35" t="s">
        <v>25</v>
      </c>
      <c r="E21" s="55">
        <f>E15*D15 + D16*E16 + D17*E17 + D18*E18 + D20*E20</f>
        <v>0</v>
      </c>
      <c r="F21" s="35" t="s">
        <v>25</v>
      </c>
      <c r="G21" s="55">
        <f>G15*F15 + F16*G16 + F17*G17 + F18*G18 + F20*G20</f>
        <v>3175</v>
      </c>
      <c r="H21" s="35" t="s">
        <v>25</v>
      </c>
      <c r="I21" s="56">
        <f>I15*H15 + H16*I16 + H17*I17 + H18*I18 + H20*I20</f>
        <v>0</v>
      </c>
      <c r="J21" s="35" t="s">
        <v>25</v>
      </c>
      <c r="K21" s="36">
        <f>K15*J15 + J16*K16 + J17*K17 + J18*K18 + J20*K20</f>
        <v>3200</v>
      </c>
      <c r="L21" s="35" t="s">
        <v>25</v>
      </c>
      <c r="M21" s="36">
        <f>M15*L15 + L16*M16 + L17*M17 + L18*M18 + L20*M20</f>
        <v>0</v>
      </c>
    </row>
    <row r="22" ht="14.25" customHeight="1">
      <c r="A22" s="28"/>
      <c r="B22" s="39" t="s">
        <v>26</v>
      </c>
      <c r="C22" s="77">
        <f>(B15*C15 + B16*C16 + B17*C17 + B18*C18 + B20*C20)/SUM(C15:C20)</f>
        <v>157.5</v>
      </c>
      <c r="D22" s="39" t="s">
        <v>26</v>
      </c>
      <c r="E22" s="77" t="str">
        <f>(D15*E15 + D16*E16 + D17*E17 + D18*E18 + D20*E20)/SUM(E15:E20)</f>
        <v>#DIV/0!</v>
      </c>
      <c r="F22" s="39" t="s">
        <v>26</v>
      </c>
      <c r="G22" s="77">
        <f>(F15*G15 + F16*G16 + F17*G17 + F18*G18 + F20*G20)/SUM(G15:G20)</f>
        <v>158.75</v>
      </c>
      <c r="H22" s="39" t="s">
        <v>26</v>
      </c>
      <c r="I22" s="77" t="str">
        <f>(H15*I15 + H16*I16 + H17*I17 + H18*I18 + H20*I20)/SUM(I15:I20)</f>
        <v>#DIV/0!</v>
      </c>
      <c r="J22" s="39" t="s">
        <v>26</v>
      </c>
      <c r="K22" s="40">
        <f>(J15*K15 + J16*K16 + J17*K17 + J18*K18 + J20*K20)/SUM(K15:K20)</f>
        <v>160</v>
      </c>
      <c r="L22" s="39" t="s">
        <v>26</v>
      </c>
      <c r="M22" s="40" t="str">
        <f>(L15*M15 + L16*M16 + L17*M17 + L18*M18 + L20*M20)/SUM(M15:M20)</f>
        <v>#DIV/0!</v>
      </c>
    </row>
    <row r="23" ht="14.25" customHeight="1">
      <c r="A23" s="13"/>
      <c r="B23" s="49" t="s">
        <v>29</v>
      </c>
      <c r="C23" s="146"/>
      <c r="D23" s="149"/>
      <c r="E23" s="146"/>
      <c r="F23" s="49" t="s">
        <v>436</v>
      </c>
      <c r="G23" s="146"/>
      <c r="H23" s="49"/>
      <c r="I23" s="146"/>
      <c r="J23" s="70" t="s">
        <v>29</v>
      </c>
      <c r="K23" s="17"/>
      <c r="L23" s="49" t="s">
        <v>105</v>
      </c>
      <c r="M23" s="118" t="s">
        <v>49</v>
      </c>
    </row>
    <row r="24" ht="14.25" customHeight="1">
      <c r="A24" s="13"/>
      <c r="B24" s="27">
        <v>150.0</v>
      </c>
      <c r="C24" s="79">
        <v>3.0</v>
      </c>
      <c r="D24" s="27"/>
      <c r="E24" s="34"/>
      <c r="F24" s="27" t="s">
        <v>437</v>
      </c>
      <c r="G24" s="34"/>
      <c r="H24" s="28"/>
      <c r="I24" s="34"/>
      <c r="J24" s="27">
        <v>140.0</v>
      </c>
      <c r="K24" s="54">
        <v>3.0</v>
      </c>
      <c r="L24" s="119"/>
      <c r="M24" s="24"/>
    </row>
    <row r="25" ht="14.25" customHeight="1">
      <c r="A25" s="28"/>
      <c r="B25" s="28">
        <v>150.0</v>
      </c>
      <c r="C25" s="79">
        <v>3.0</v>
      </c>
      <c r="D25" s="28"/>
      <c r="E25" s="79"/>
      <c r="F25" s="28" t="s">
        <v>438</v>
      </c>
      <c r="G25" s="79" t="s">
        <v>439</v>
      </c>
      <c r="H25" s="28"/>
      <c r="I25" s="34"/>
      <c r="J25" s="28">
        <v>145.0</v>
      </c>
      <c r="K25" s="54">
        <v>3.0</v>
      </c>
      <c r="L25" s="1"/>
      <c r="M25" s="54"/>
    </row>
    <row r="26" ht="14.25" customHeight="1">
      <c r="A26" s="28"/>
      <c r="B26" s="27">
        <v>150.0</v>
      </c>
      <c r="C26" s="79">
        <v>3.0</v>
      </c>
      <c r="D26" s="28"/>
      <c r="E26" s="34"/>
      <c r="F26" s="27"/>
      <c r="G26" s="34"/>
      <c r="H26" s="28"/>
      <c r="I26" s="34"/>
      <c r="J26" s="27">
        <v>150.0</v>
      </c>
      <c r="K26" s="54">
        <v>3.0</v>
      </c>
      <c r="L26" s="1"/>
      <c r="M26" s="24"/>
    </row>
    <row r="27" ht="14.25" customHeight="1">
      <c r="A27" s="37"/>
      <c r="B27" s="28"/>
      <c r="C27" s="79"/>
      <c r="D27" s="28"/>
      <c r="E27" s="79"/>
      <c r="F27" s="28"/>
      <c r="G27" s="34"/>
      <c r="H27" s="28"/>
      <c r="I27" s="34"/>
      <c r="J27" s="28"/>
      <c r="K27" s="54"/>
      <c r="L27" s="1"/>
      <c r="M27" s="24"/>
    </row>
    <row r="28" ht="14.25" customHeight="1">
      <c r="A28" s="13"/>
      <c r="B28" s="13"/>
      <c r="C28" s="34"/>
      <c r="D28" s="28"/>
      <c r="E28" s="34"/>
      <c r="F28" s="13"/>
      <c r="G28" s="34"/>
      <c r="H28" s="28"/>
      <c r="I28" s="34"/>
      <c r="J28" s="13"/>
      <c r="K28" s="24"/>
      <c r="L28" s="31"/>
      <c r="M28" s="24"/>
    </row>
    <row r="29" ht="14.25" customHeight="1">
      <c r="A29" s="13"/>
      <c r="B29" s="35" t="s">
        <v>25</v>
      </c>
      <c r="C29" s="55">
        <f>C24*B24 + B25*C25 + B26*C26 + B27*C27 + B28*C28</f>
        <v>1350</v>
      </c>
      <c r="D29" s="35" t="s">
        <v>25</v>
      </c>
      <c r="E29" s="55">
        <f>E24*D24 + D25*E25 + D26*E26 + D27*E27 + D28*E28</f>
        <v>0</v>
      </c>
      <c r="F29" s="35" t="s">
        <v>25</v>
      </c>
      <c r="G29" s="55" t="str">
        <f>G24*F24 + F25*G25 + F26*G26 + F27*G27 + F28*G28</f>
        <v>#VALUE!</v>
      </c>
      <c r="H29" s="35" t="s">
        <v>25</v>
      </c>
      <c r="I29" s="56">
        <f>I24*H24 + H25*I25 + H26*I26 + H27*I27 + H28*I28</f>
        <v>0</v>
      </c>
      <c r="J29" s="35" t="s">
        <v>25</v>
      </c>
      <c r="K29" s="36">
        <f>K24*J24 + J25*K25 + J26*K26 + J27*K27 + J28*K28</f>
        <v>1305</v>
      </c>
      <c r="L29" s="57" t="s">
        <v>25</v>
      </c>
      <c r="M29" s="58">
        <f>M24*L24 + L25*M25 + L26*M26 + L27*M27 + L28*M28</f>
        <v>0</v>
      </c>
    </row>
    <row r="30" ht="14.25" customHeight="1">
      <c r="A30" s="13"/>
      <c r="B30" s="39" t="s">
        <v>26</v>
      </c>
      <c r="C30" s="40">
        <f>(B24*C24 + B25*C25 + B26*C26 + B27*C27 + B28*C28)/SUM(C24:C28)</f>
        <v>150</v>
      </c>
      <c r="D30" s="59" t="s">
        <v>26</v>
      </c>
      <c r="E30" s="40" t="str">
        <f>(D24*E24 + D25*E25 + D26*E26 + D27*E27 + D28*E28)/SUM(E24:E28)</f>
        <v>#DIV/0!</v>
      </c>
      <c r="F30" s="31" t="s">
        <v>26</v>
      </c>
      <c r="G30" s="75" t="str">
        <f>(F24*G24 + F25*G25 + F26*G26 + F27*G27 + F28*G28)/SUM(G24:G28)</f>
        <v>#VALUE!</v>
      </c>
      <c r="H30" s="59" t="s">
        <v>26</v>
      </c>
      <c r="I30" s="40" t="str">
        <f>(H24*I24 + H25*I25 + H26*I26 + H27*I27 + H28*I28)/SUM(I24:I28)</f>
        <v>#DIV/0!</v>
      </c>
      <c r="J30" s="39" t="s">
        <v>26</v>
      </c>
      <c r="K30" s="40">
        <f>(J24*K24 + J25*K25 + J26*K26 + J27*K27 + J28*K28)/SUM(K24:K28)</f>
        <v>145</v>
      </c>
      <c r="L30" s="59" t="s">
        <v>26</v>
      </c>
      <c r="M30" s="40" t="str">
        <f>(L24*M24 + L25*M25 + L26*M26 + L27*M27 + L28*M28)/SUM(M24:M28)</f>
        <v>#DIV/0!</v>
      </c>
    </row>
    <row r="31" ht="14.25" customHeight="1">
      <c r="A31" s="28"/>
      <c r="B31" s="28"/>
      <c r="C31" s="30" t="s">
        <v>49</v>
      </c>
      <c r="D31" s="37"/>
      <c r="E31" s="30" t="s">
        <v>49</v>
      </c>
      <c r="F31" s="120"/>
      <c r="G31" s="121" t="s">
        <v>49</v>
      </c>
      <c r="H31" s="122" t="s">
        <v>33</v>
      </c>
      <c r="I31" s="30"/>
      <c r="J31" s="28"/>
      <c r="K31" s="60" t="s">
        <v>49</v>
      </c>
      <c r="L31" s="30"/>
      <c r="M31" s="60" t="s">
        <v>49</v>
      </c>
    </row>
    <row r="32" ht="14.25" customHeight="1">
      <c r="A32" s="37"/>
      <c r="B32" s="41" t="s">
        <v>440</v>
      </c>
      <c r="C32" s="30"/>
      <c r="D32" s="41" t="s">
        <v>440</v>
      </c>
      <c r="E32" s="63"/>
      <c r="F32" s="104"/>
      <c r="G32" s="63"/>
      <c r="H32" s="30"/>
      <c r="I32" s="30"/>
      <c r="J32" s="104"/>
      <c r="K32" s="60"/>
      <c r="L32" s="62"/>
      <c r="M32" s="60"/>
    </row>
    <row r="33" ht="14.25" customHeight="1">
      <c r="A33" s="37"/>
      <c r="B33" s="28" t="s">
        <v>441</v>
      </c>
      <c r="C33" s="30"/>
      <c r="D33" s="28" t="s">
        <v>441</v>
      </c>
      <c r="E33" s="30"/>
      <c r="F33" s="28"/>
      <c r="G33" s="60"/>
      <c r="H33" s="30"/>
      <c r="I33" s="30"/>
      <c r="J33" s="28"/>
      <c r="K33" s="60"/>
      <c r="L33" s="30"/>
      <c r="M33" s="60"/>
    </row>
    <row r="34" ht="14.25" customHeight="1">
      <c r="A34" s="37"/>
      <c r="B34" s="28" t="s">
        <v>442</v>
      </c>
      <c r="C34" s="30"/>
      <c r="D34" s="28" t="s">
        <v>442</v>
      </c>
      <c r="E34" s="30"/>
      <c r="F34" s="28"/>
      <c r="G34" s="60"/>
      <c r="H34" s="30"/>
      <c r="I34" s="30"/>
      <c r="J34" s="37"/>
      <c r="K34" s="60"/>
      <c r="L34" s="30"/>
      <c r="M34" s="60"/>
    </row>
    <row r="35" ht="14.25" customHeight="1">
      <c r="A35" s="37"/>
      <c r="B35" s="28" t="s">
        <v>443</v>
      </c>
      <c r="C35" s="1" t="s">
        <v>444</v>
      </c>
      <c r="D35" s="28" t="s">
        <v>443</v>
      </c>
      <c r="E35" s="1" t="s">
        <v>444</v>
      </c>
      <c r="F35" s="28"/>
      <c r="G35" s="60"/>
      <c r="H35" s="30"/>
      <c r="I35" s="30"/>
      <c r="J35" s="37"/>
      <c r="K35" s="60"/>
      <c r="L35" s="30"/>
      <c r="M35" s="60"/>
    </row>
    <row r="36" ht="14.25" customHeight="1">
      <c r="A36" s="37"/>
      <c r="B36" s="28" t="s">
        <v>445</v>
      </c>
      <c r="C36" s="1"/>
      <c r="D36" s="28" t="s">
        <v>445</v>
      </c>
      <c r="E36" s="1"/>
      <c r="F36" s="28"/>
      <c r="G36" s="60"/>
      <c r="H36" s="30"/>
      <c r="I36" s="30"/>
      <c r="J36" s="37"/>
      <c r="K36" s="60"/>
      <c r="L36" s="30"/>
      <c r="M36" s="60"/>
    </row>
    <row r="37" ht="14.25" customHeight="1">
      <c r="A37" s="64"/>
      <c r="B37" s="65"/>
      <c r="C37" s="66"/>
      <c r="D37" s="65"/>
      <c r="E37" s="66"/>
      <c r="F37" s="64"/>
      <c r="G37" s="67"/>
      <c r="H37" s="66"/>
      <c r="I37" s="66"/>
      <c r="J37" s="64"/>
      <c r="K37" s="67"/>
      <c r="L37" s="66"/>
      <c r="M37" s="67"/>
    </row>
    <row r="38" ht="14.25" customHeight="1">
      <c r="A38" s="1"/>
      <c r="B38" s="31"/>
      <c r="C38" s="115"/>
      <c r="D38" s="31"/>
      <c r="E38" s="115"/>
      <c r="F38" s="31"/>
      <c r="G38" s="115"/>
      <c r="H38" s="31"/>
      <c r="I38" s="115"/>
      <c r="J38" s="31"/>
      <c r="K38" s="115"/>
      <c r="L38" s="31"/>
      <c r="M38" s="115"/>
    </row>
    <row r="39" ht="14.25" customHeight="1">
      <c r="A39" s="2" t="s">
        <v>2</v>
      </c>
      <c r="B39" s="3" t="s">
        <v>3</v>
      </c>
      <c r="C39" s="4">
        <f>M3+2</f>
        <v>45159</v>
      </c>
      <c r="D39" s="5" t="s">
        <v>4</v>
      </c>
      <c r="E39" s="6">
        <f>C39+1</f>
        <v>45160</v>
      </c>
      <c r="F39" s="3" t="s">
        <v>5</v>
      </c>
      <c r="G39" s="6">
        <f>E39+1</f>
        <v>45161</v>
      </c>
      <c r="H39" s="3" t="s">
        <v>6</v>
      </c>
      <c r="I39" s="6">
        <f>G39+1</f>
        <v>45162</v>
      </c>
      <c r="J39" s="3" t="s">
        <v>7</v>
      </c>
      <c r="K39" s="6">
        <f>I39+1</f>
        <v>45163</v>
      </c>
      <c r="L39" s="7" t="s">
        <v>8</v>
      </c>
      <c r="M39" s="8">
        <f>K39+1</f>
        <v>45164</v>
      </c>
    </row>
    <row r="40" ht="14.25" customHeight="1">
      <c r="A40" s="10">
        <f>A4+1</f>
        <v>2</v>
      </c>
      <c r="B40" s="129" t="s">
        <v>421</v>
      </c>
      <c r="C40" s="130" t="s">
        <v>422</v>
      </c>
      <c r="D40" s="131" t="s">
        <v>421</v>
      </c>
      <c r="E40" s="131" t="s">
        <v>422</v>
      </c>
      <c r="F40" s="129" t="s">
        <v>421</v>
      </c>
      <c r="G40" s="131" t="s">
        <v>422</v>
      </c>
      <c r="H40" s="129" t="s">
        <v>421</v>
      </c>
      <c r="I40" s="131" t="s">
        <v>422</v>
      </c>
      <c r="J40" s="129" t="s">
        <v>421</v>
      </c>
      <c r="K40" s="130" t="s">
        <v>422</v>
      </c>
      <c r="L40" s="131" t="s">
        <v>421</v>
      </c>
      <c r="M40" s="130" t="s">
        <v>422</v>
      </c>
    </row>
    <row r="41" ht="14.25" customHeight="1">
      <c r="A41" s="13" t="s">
        <v>12</v>
      </c>
      <c r="B41" s="20" t="s">
        <v>423</v>
      </c>
      <c r="C41" s="17"/>
      <c r="D41" s="18" t="s">
        <v>14</v>
      </c>
      <c r="E41" s="18"/>
      <c r="F41" s="20" t="s">
        <v>424</v>
      </c>
      <c r="G41" s="18"/>
      <c r="H41" s="70" t="s">
        <v>446</v>
      </c>
      <c r="I41" s="18"/>
      <c r="J41" s="20" t="s">
        <v>447</v>
      </c>
      <c r="K41" s="17"/>
      <c r="L41" s="70" t="s">
        <v>255</v>
      </c>
      <c r="M41" s="17"/>
    </row>
    <row r="42" ht="14.25" customHeight="1">
      <c r="A42" s="13"/>
      <c r="B42" s="46">
        <v>120.0</v>
      </c>
      <c r="C42" s="133">
        <v>3.0</v>
      </c>
      <c r="D42" s="134" t="s">
        <v>426</v>
      </c>
      <c r="E42" s="135"/>
      <c r="F42" s="46">
        <v>80.0</v>
      </c>
      <c r="G42" s="136">
        <v>3.0</v>
      </c>
      <c r="H42" s="120" t="s">
        <v>448</v>
      </c>
      <c r="I42" s="150"/>
      <c r="J42" s="151" t="s">
        <v>449</v>
      </c>
      <c r="K42" s="133"/>
      <c r="L42" s="120"/>
      <c r="M42" s="138"/>
    </row>
    <row r="43" ht="14.25" customHeight="1">
      <c r="A43" s="13"/>
      <c r="B43" s="46">
        <v>125.0</v>
      </c>
      <c r="C43" s="48">
        <v>3.0</v>
      </c>
      <c r="D43" s="134" t="s">
        <v>427</v>
      </c>
      <c r="E43" s="134" t="s">
        <v>428</v>
      </c>
      <c r="F43" s="46">
        <v>85.0</v>
      </c>
      <c r="G43" s="139">
        <v>3.0</v>
      </c>
      <c r="H43" s="28"/>
      <c r="I43" s="79"/>
      <c r="J43" s="46">
        <v>50.0</v>
      </c>
      <c r="K43" s="48">
        <v>6.0</v>
      </c>
      <c r="L43" s="28"/>
      <c r="M43" s="24"/>
    </row>
    <row r="44" ht="14.25" customHeight="1">
      <c r="A44" s="29" t="s">
        <v>22</v>
      </c>
      <c r="B44" s="46">
        <v>130.0</v>
      </c>
      <c r="C44" s="48">
        <v>3.0</v>
      </c>
      <c r="E44" s="134"/>
      <c r="F44" s="46">
        <v>92.5</v>
      </c>
      <c r="G44" s="139">
        <v>3.0</v>
      </c>
      <c r="H44" s="28"/>
      <c r="I44" s="79"/>
      <c r="J44" s="46">
        <v>50.0</v>
      </c>
      <c r="K44" s="48">
        <v>6.0</v>
      </c>
      <c r="L44" s="28"/>
      <c r="M44" s="24"/>
    </row>
    <row r="45" ht="14.25" customHeight="1">
      <c r="A45" s="28" t="s">
        <v>23</v>
      </c>
      <c r="B45" s="46"/>
      <c r="C45" s="48"/>
      <c r="D45" s="33"/>
      <c r="E45" s="134"/>
      <c r="F45" s="46"/>
      <c r="G45" s="139"/>
      <c r="H45" s="13"/>
      <c r="I45" s="34"/>
      <c r="J45" s="46">
        <v>50.0</v>
      </c>
      <c r="K45" s="48">
        <v>6.0</v>
      </c>
      <c r="L45" s="28"/>
      <c r="M45" s="54"/>
    </row>
    <row r="46" ht="14.25" customHeight="1">
      <c r="A46" s="13"/>
      <c r="B46" s="13"/>
      <c r="C46" s="24"/>
      <c r="D46" s="73"/>
      <c r="E46" s="135"/>
      <c r="F46" s="13"/>
      <c r="G46" s="34"/>
      <c r="H46" s="13"/>
      <c r="I46" s="34"/>
      <c r="J46" s="13"/>
      <c r="K46" s="24"/>
      <c r="L46" s="13"/>
      <c r="M46" s="24"/>
    </row>
    <row r="47" ht="14.25" customHeight="1">
      <c r="A47" s="28" t="s">
        <v>433</v>
      </c>
      <c r="B47" s="35" t="s">
        <v>25</v>
      </c>
      <c r="C47" s="58">
        <f>C42*B42 + B43*C43 + B44*C44 + B45*C45 + B46*C46</f>
        <v>1125</v>
      </c>
      <c r="D47" s="57" t="s">
        <v>25</v>
      </c>
      <c r="E47" s="55" t="str">
        <f>E42*D42 + D43*#REF! + E43*E44 + D45*E45 + D46*E46</f>
        <v>#VALUE!</v>
      </c>
      <c r="F47" s="35" t="s">
        <v>25</v>
      </c>
      <c r="G47" s="56">
        <f>G42*F42 + F43*G43 + F44*G44 + F45*G45 + F46*G46</f>
        <v>772.5</v>
      </c>
      <c r="H47" s="35" t="s">
        <v>25</v>
      </c>
      <c r="I47" s="56" t="str">
        <f>I42*H42 + H43*I43 + H44*I44 + H45*I45 + H46*I46</f>
        <v>#VALUE!</v>
      </c>
      <c r="J47" s="35" t="s">
        <v>25</v>
      </c>
      <c r="K47" s="58" t="str">
        <f>K42*J42 + J43*K43 + J44*K44 + J45*K45 + J46*K46</f>
        <v>#VALUE!</v>
      </c>
      <c r="L47" s="35" t="s">
        <v>25</v>
      </c>
      <c r="M47" s="36">
        <f>M42*L42 + L43*M43 + L44*M44 + L45*M45 + L46*M46</f>
        <v>0</v>
      </c>
    </row>
    <row r="48" ht="14.25" customHeight="1">
      <c r="A48" s="37"/>
      <c r="B48" s="39" t="s">
        <v>26</v>
      </c>
      <c r="C48" s="116">
        <f>(B42*C42 + B43*C43 + B44*C44 + B45*C45 + B46*C46)/SUM(C42:C46)</f>
        <v>125</v>
      </c>
      <c r="D48" s="31" t="s">
        <v>26</v>
      </c>
      <c r="E48" s="74" t="str">
        <f>(D42*E42 + D43*#REF! + E43*E44 + D45*E45 + D46*E46)/SUM(E42:E46)</f>
        <v>#VALUE!</v>
      </c>
      <c r="F48" s="13" t="s">
        <v>26</v>
      </c>
      <c r="G48" s="117">
        <f>(F42*G42 + F43*G43 + F44*G44 + F45*G45 + F46*G46)/SUM(G42:G46)</f>
        <v>85.83333333</v>
      </c>
      <c r="H48" s="13" t="s">
        <v>26</v>
      </c>
      <c r="I48" s="74" t="str">
        <f>(H42*I42 + H43*I43 + H44*I44 + H45*I45 + H46*I46)/SUM(I42:I46)</f>
        <v>#VALUE!</v>
      </c>
      <c r="J48" s="39" t="s">
        <v>26</v>
      </c>
      <c r="K48" s="116" t="str">
        <f>(J42*K42 + J43*K43 + J44*K44 + J45*K45 + J46*K46)/SUM(K42:K46)</f>
        <v>#VALUE!</v>
      </c>
      <c r="L48" s="13" t="s">
        <v>26</v>
      </c>
      <c r="M48" s="75" t="str">
        <f>(L42*M42 + L43*M43 + L44*M44 + L45*M45 + L46*M46)/SUM(M42:M46)</f>
        <v>#DIV/0!</v>
      </c>
    </row>
    <row r="49" ht="14.25" customHeight="1">
      <c r="A49" s="28" t="s">
        <v>450</v>
      </c>
      <c r="B49" s="140" t="s">
        <v>421</v>
      </c>
      <c r="C49" s="141" t="s">
        <v>422</v>
      </c>
      <c r="D49" s="142" t="s">
        <v>421</v>
      </c>
      <c r="E49" s="143" t="s">
        <v>422</v>
      </c>
      <c r="F49" s="142" t="s">
        <v>421</v>
      </c>
      <c r="G49" s="143" t="s">
        <v>422</v>
      </c>
      <c r="H49" s="142" t="s">
        <v>421</v>
      </c>
      <c r="I49" s="143" t="s">
        <v>422</v>
      </c>
      <c r="J49" s="140" t="s">
        <v>421</v>
      </c>
      <c r="K49" s="144" t="s">
        <v>422</v>
      </c>
      <c r="L49" s="142" t="s">
        <v>421</v>
      </c>
      <c r="M49" s="145" t="s">
        <v>422</v>
      </c>
    </row>
    <row r="50" ht="14.25" customHeight="1">
      <c r="A50" s="41" t="s">
        <v>451</v>
      </c>
      <c r="B50" s="49" t="s">
        <v>304</v>
      </c>
      <c r="C50" s="146"/>
      <c r="D50" s="49" t="s">
        <v>91</v>
      </c>
      <c r="E50" s="147" t="s">
        <v>49</v>
      </c>
      <c r="F50" s="49" t="s">
        <v>304</v>
      </c>
      <c r="G50" s="146"/>
      <c r="H50" s="148" t="s">
        <v>91</v>
      </c>
      <c r="I50" s="147" t="s">
        <v>90</v>
      </c>
      <c r="J50" s="49" t="s">
        <v>304</v>
      </c>
      <c r="K50" s="125"/>
      <c r="L50" s="49" t="s">
        <v>91</v>
      </c>
      <c r="M50" s="118" t="s">
        <v>90</v>
      </c>
    </row>
    <row r="51" ht="14.25" customHeight="1">
      <c r="A51" s="41"/>
      <c r="B51" s="27">
        <v>160.0</v>
      </c>
      <c r="C51" s="79">
        <v>5.0</v>
      </c>
      <c r="D51" s="46">
        <v>20.0</v>
      </c>
      <c r="E51" s="34"/>
      <c r="F51" s="27">
        <v>170.0</v>
      </c>
      <c r="G51" s="79">
        <v>5.0</v>
      </c>
      <c r="H51" s="28"/>
      <c r="I51" s="34"/>
      <c r="J51" s="27"/>
      <c r="K51" s="54"/>
      <c r="L51" s="46"/>
      <c r="M51" s="54"/>
    </row>
    <row r="52" ht="14.25" customHeight="1">
      <c r="A52" s="28" t="s">
        <v>452</v>
      </c>
      <c r="B52" s="28">
        <v>165.0</v>
      </c>
      <c r="C52" s="79">
        <v>5.0</v>
      </c>
      <c r="D52" s="46">
        <v>60.0</v>
      </c>
      <c r="E52" s="79"/>
      <c r="F52" s="28">
        <v>175.0</v>
      </c>
      <c r="G52" s="79">
        <v>5.0</v>
      </c>
      <c r="H52" s="28"/>
      <c r="I52" s="34"/>
      <c r="J52" s="28"/>
      <c r="K52" s="54"/>
      <c r="L52" s="46"/>
      <c r="M52" s="24"/>
    </row>
    <row r="53" ht="14.25" customHeight="1">
      <c r="A53" s="28" t="s">
        <v>453</v>
      </c>
      <c r="B53" s="27">
        <v>167.5</v>
      </c>
      <c r="C53" s="79">
        <v>5.0</v>
      </c>
      <c r="D53" s="46">
        <v>30.0</v>
      </c>
      <c r="E53" s="34"/>
      <c r="F53" s="27">
        <v>180.0</v>
      </c>
      <c r="G53" s="79">
        <v>5.0</v>
      </c>
      <c r="H53" s="28"/>
      <c r="I53" s="34"/>
      <c r="J53" s="27"/>
      <c r="K53" s="54"/>
      <c r="L53" s="46"/>
      <c r="M53" s="24"/>
    </row>
    <row r="54" ht="14.25" customHeight="1">
      <c r="A54" s="28" t="s">
        <v>454</v>
      </c>
      <c r="B54" s="28"/>
      <c r="C54" s="79"/>
      <c r="D54" s="46">
        <v>40.0</v>
      </c>
      <c r="E54" s="79"/>
      <c r="F54" s="28"/>
      <c r="G54" s="79"/>
      <c r="H54" s="28"/>
      <c r="I54" s="34"/>
      <c r="J54" s="28"/>
      <c r="K54" s="54"/>
      <c r="L54" s="21"/>
      <c r="M54" s="54"/>
    </row>
    <row r="55" ht="14.25" customHeight="1">
      <c r="A55" s="28"/>
      <c r="B55" s="13"/>
      <c r="C55" s="34"/>
      <c r="D55" s="21">
        <v>20.0</v>
      </c>
      <c r="E55" s="34"/>
      <c r="F55" s="13"/>
      <c r="G55" s="34"/>
      <c r="H55" s="28"/>
      <c r="I55" s="34"/>
      <c r="J55" s="13"/>
      <c r="K55" s="24"/>
      <c r="L55" s="21"/>
      <c r="M55" s="24"/>
    </row>
    <row r="56" ht="14.25" customHeight="1">
      <c r="A56" s="28"/>
      <c r="B56" s="13"/>
      <c r="C56" s="34"/>
      <c r="D56" s="28"/>
      <c r="E56" s="34"/>
      <c r="F56" s="13"/>
      <c r="G56" s="34"/>
      <c r="H56" s="28"/>
      <c r="I56" s="34"/>
      <c r="J56" s="13"/>
      <c r="K56" s="24"/>
      <c r="L56" s="28"/>
      <c r="M56" s="24"/>
    </row>
    <row r="57" ht="14.25" customHeight="1">
      <c r="A57" s="28"/>
      <c r="B57" s="35" t="s">
        <v>25</v>
      </c>
      <c r="C57" s="55">
        <f>C51*B51 + B52*C52 + B53*C53 + B54*C54 + B56*C56</f>
        <v>2462.5</v>
      </c>
      <c r="D57" s="35" t="s">
        <v>25</v>
      </c>
      <c r="E57" s="55">
        <f>E51*D51 + D52*E52 + D53*E53 + D54*E54 + D56*E56</f>
        <v>0</v>
      </c>
      <c r="F57" s="35" t="s">
        <v>25</v>
      </c>
      <c r="G57" s="55">
        <f>G51*F51 + F52*G52 + F53*G53 + F54*G54 + F56*G56</f>
        <v>2625</v>
      </c>
      <c r="H57" s="35" t="s">
        <v>25</v>
      </c>
      <c r="I57" s="56">
        <f>I51*H51 + H52*I52 + H53*I53 + H54*I54 + H56*I56</f>
        <v>0</v>
      </c>
      <c r="J57" s="35" t="s">
        <v>25</v>
      </c>
      <c r="K57" s="36">
        <f>K51*J51 + J52*K52 + J53*K53 + J54*K54 + J56*K56</f>
        <v>0</v>
      </c>
      <c r="L57" s="35" t="s">
        <v>25</v>
      </c>
      <c r="M57" s="36">
        <f>M51*L51 + L52*M52 + L53*M53 + L54*M54 + L56*M56</f>
        <v>0</v>
      </c>
    </row>
    <row r="58" ht="14.25" customHeight="1">
      <c r="A58" s="28"/>
      <c r="B58" s="39" t="s">
        <v>26</v>
      </c>
      <c r="C58" s="77">
        <f>(B51*C51 + B52*C52 + B53*C53 + B54*C54 + B56*C56)/SUM(C51:C56)</f>
        <v>164.1666667</v>
      </c>
      <c r="D58" s="39" t="s">
        <v>26</v>
      </c>
      <c r="E58" s="77" t="str">
        <f>(D51*E51 + D52*E52 + D53*E53 + D54*E54 + D56*E56)/SUM(E51:E56)</f>
        <v>#DIV/0!</v>
      </c>
      <c r="F58" s="39" t="s">
        <v>26</v>
      </c>
      <c r="G58" s="77">
        <f>(F51*G51 + F52*G52 + F53*G53 + F54*G54 + F56*G56)/SUM(G51:G56)</f>
        <v>175</v>
      </c>
      <c r="H58" s="39" t="s">
        <v>26</v>
      </c>
      <c r="I58" s="77" t="str">
        <f>(H51*I51 + H52*I52 + H53*I53 + H54*I54 + H56*I56)/SUM(I51:I56)</f>
        <v>#DIV/0!</v>
      </c>
      <c r="J58" s="39" t="s">
        <v>26</v>
      </c>
      <c r="K58" s="40" t="str">
        <f>(J51*K51 + J52*K52 + J53*K53 + J54*K54 + J56*K56)/SUM(K51:K56)</f>
        <v>#DIV/0!</v>
      </c>
      <c r="L58" s="39" t="s">
        <v>26</v>
      </c>
      <c r="M58" s="40" t="str">
        <f>(L51*M51 + L52*M52 + L53*M53 + L54*M54 + L56*M56)/SUM(M51:M56)</f>
        <v>#DIV/0!</v>
      </c>
    </row>
    <row r="59" ht="14.25" customHeight="1">
      <c r="A59" s="13"/>
      <c r="B59" s="49" t="s">
        <v>29</v>
      </c>
      <c r="C59" s="146"/>
      <c r="D59" s="49" t="s">
        <v>249</v>
      </c>
      <c r="E59" s="146"/>
      <c r="F59" s="49" t="s">
        <v>245</v>
      </c>
      <c r="G59" s="146"/>
      <c r="H59" s="49"/>
      <c r="I59" s="146"/>
      <c r="J59" s="70" t="s">
        <v>29</v>
      </c>
      <c r="K59" s="17"/>
      <c r="L59" s="49" t="s">
        <v>105</v>
      </c>
      <c r="M59" s="118" t="s">
        <v>49</v>
      </c>
    </row>
    <row r="60" ht="14.25" customHeight="1">
      <c r="A60" s="13"/>
      <c r="B60" s="27">
        <v>147.5</v>
      </c>
      <c r="C60" s="79">
        <v>3.0</v>
      </c>
      <c r="D60" s="27"/>
      <c r="E60" s="34"/>
      <c r="F60" s="27">
        <v>40.0</v>
      </c>
      <c r="G60" s="79">
        <v>6.0</v>
      </c>
      <c r="H60" s="28"/>
      <c r="I60" s="34"/>
      <c r="J60" s="27"/>
      <c r="K60" s="54"/>
      <c r="L60" s="119"/>
      <c r="M60" s="24"/>
    </row>
    <row r="61" ht="14.25" customHeight="1">
      <c r="A61" s="28"/>
      <c r="B61" s="28">
        <v>150.0</v>
      </c>
      <c r="C61" s="79">
        <v>3.0</v>
      </c>
      <c r="D61" s="28"/>
      <c r="E61" s="79"/>
      <c r="F61" s="28">
        <v>50.0</v>
      </c>
      <c r="G61" s="79">
        <v>6.0</v>
      </c>
      <c r="H61" s="28"/>
      <c r="I61" s="34"/>
      <c r="J61" s="28"/>
      <c r="K61" s="54"/>
      <c r="L61" s="1"/>
      <c r="M61" s="54"/>
    </row>
    <row r="62" ht="14.25" customHeight="1">
      <c r="A62" s="28"/>
      <c r="B62" s="27">
        <v>152.5</v>
      </c>
      <c r="C62" s="79">
        <v>3.0</v>
      </c>
      <c r="D62" s="28"/>
      <c r="E62" s="34"/>
      <c r="F62" s="27">
        <v>60.0</v>
      </c>
      <c r="G62" s="79">
        <v>6.0</v>
      </c>
      <c r="H62" s="28"/>
      <c r="I62" s="34"/>
      <c r="J62" s="27"/>
      <c r="K62" s="54"/>
      <c r="L62" s="1"/>
      <c r="M62" s="24"/>
    </row>
    <row r="63" ht="14.25" customHeight="1">
      <c r="A63" s="37"/>
      <c r="B63" s="28"/>
      <c r="C63" s="79"/>
      <c r="D63" s="28"/>
      <c r="E63" s="79"/>
      <c r="F63" s="28"/>
      <c r="G63" s="34"/>
      <c r="H63" s="28"/>
      <c r="I63" s="34"/>
      <c r="J63" s="28"/>
      <c r="K63" s="54"/>
      <c r="L63" s="1"/>
      <c r="M63" s="24"/>
    </row>
    <row r="64" ht="14.25" customHeight="1">
      <c r="A64" s="13"/>
      <c r="B64" s="13"/>
      <c r="C64" s="34"/>
      <c r="D64" s="28"/>
      <c r="E64" s="34"/>
      <c r="F64" s="13"/>
      <c r="G64" s="34"/>
      <c r="H64" s="28"/>
      <c r="I64" s="34"/>
      <c r="J64" s="13"/>
      <c r="K64" s="24"/>
      <c r="L64" s="31"/>
      <c r="M64" s="24"/>
    </row>
    <row r="65" ht="14.25" customHeight="1">
      <c r="A65" s="13"/>
      <c r="B65" s="35" t="s">
        <v>25</v>
      </c>
      <c r="C65" s="55">
        <f>C60*B60 + B61*C61 + B62*C62 + B63*C63 + B64*C64</f>
        <v>1350</v>
      </c>
      <c r="D65" s="35" t="s">
        <v>25</v>
      </c>
      <c r="E65" s="55">
        <f>E60*D60 + D61*E61 + D62*E62 + D63*E63 + D64*E64</f>
        <v>0</v>
      </c>
      <c r="F65" s="35" t="s">
        <v>25</v>
      </c>
      <c r="G65" s="55">
        <f>G60*F60 + F61*G61 + F62*G62 + F63*G63 + F64*G64</f>
        <v>900</v>
      </c>
      <c r="H65" s="35" t="s">
        <v>25</v>
      </c>
      <c r="I65" s="56">
        <f>I60*H60 + H61*I61 + H62*I62 + H63*I63 + H64*I64</f>
        <v>0</v>
      </c>
      <c r="J65" s="35" t="s">
        <v>25</v>
      </c>
      <c r="K65" s="36">
        <f>K60*J60 + J61*K61 + J62*K62 + J63*K63 + J64*K64</f>
        <v>0</v>
      </c>
      <c r="L65" s="57" t="s">
        <v>25</v>
      </c>
      <c r="M65" s="58">
        <f>M60*L60 + L61*M61 + L62*M62 + L63*M63 + L64*M64</f>
        <v>0</v>
      </c>
    </row>
    <row r="66" ht="14.25" customHeight="1">
      <c r="A66" s="13"/>
      <c r="B66" s="39" t="s">
        <v>26</v>
      </c>
      <c r="C66" s="40">
        <f>(B60*C60 + B61*C61 + B62*C62 + B63*C63 + B64*C64)/SUM(C60:C64)</f>
        <v>150</v>
      </c>
      <c r="D66" s="59" t="s">
        <v>26</v>
      </c>
      <c r="E66" s="40" t="str">
        <f>(D60*E60 + D61*E61 + D62*E62 + D63*E63 + D64*E64)/SUM(E60:E64)</f>
        <v>#DIV/0!</v>
      </c>
      <c r="F66" s="31" t="s">
        <v>26</v>
      </c>
      <c r="G66" s="75">
        <f>(F60*G60 + F61*G61 + F62*G62 + F63*G63 + F64*G64)/SUM(G60:G64)</f>
        <v>50</v>
      </c>
      <c r="H66" s="59" t="s">
        <v>26</v>
      </c>
      <c r="I66" s="40" t="str">
        <f>(H60*I60 + H61*I61 + H62*I62 + H63*I63 + H64*I64)/SUM(I60:I64)</f>
        <v>#DIV/0!</v>
      </c>
      <c r="J66" s="39" t="s">
        <v>26</v>
      </c>
      <c r="K66" s="40" t="str">
        <f>(J60*K60 + J61*K61 + J62*K62 + J63*K63 + J64*K64)/SUM(K60:K64)</f>
        <v>#DIV/0!</v>
      </c>
      <c r="L66" s="59" t="s">
        <v>26</v>
      </c>
      <c r="M66" s="40" t="str">
        <f>(L60*M60 + L61*M61 + L62*M62 + L63*M63 + L64*M64)/SUM(M60:M64)</f>
        <v>#DIV/0!</v>
      </c>
    </row>
    <row r="67" ht="14.25" customHeight="1">
      <c r="A67" s="28"/>
      <c r="B67" s="28" t="s">
        <v>88</v>
      </c>
      <c r="C67" s="30" t="s">
        <v>49</v>
      </c>
      <c r="D67" s="37"/>
      <c r="E67" s="30" t="s">
        <v>49</v>
      </c>
      <c r="F67" s="120" t="s">
        <v>88</v>
      </c>
      <c r="G67" s="121" t="s">
        <v>49</v>
      </c>
      <c r="H67" s="1"/>
      <c r="I67" s="30"/>
      <c r="J67" s="28" t="s">
        <v>88</v>
      </c>
      <c r="K67" s="60" t="s">
        <v>49</v>
      </c>
      <c r="L67" s="30"/>
      <c r="M67" s="60" t="s">
        <v>49</v>
      </c>
    </row>
    <row r="68" ht="14.25" customHeight="1">
      <c r="A68" s="37"/>
      <c r="B68" s="41" t="s">
        <v>440</v>
      </c>
      <c r="C68" s="30"/>
      <c r="D68" s="41" t="s">
        <v>440</v>
      </c>
      <c r="E68" s="63"/>
      <c r="F68" s="104"/>
      <c r="G68" s="63"/>
      <c r="H68" s="30"/>
      <c r="I68" s="30"/>
      <c r="J68" s="104"/>
      <c r="K68" s="60"/>
      <c r="L68" s="62"/>
      <c r="M68" s="60"/>
    </row>
    <row r="69" ht="14.25" customHeight="1">
      <c r="A69" s="37"/>
      <c r="B69" s="28" t="s">
        <v>441</v>
      </c>
      <c r="C69" s="30"/>
      <c r="D69" s="28" t="s">
        <v>455</v>
      </c>
      <c r="E69" s="30"/>
      <c r="F69" s="28"/>
      <c r="G69" s="60"/>
      <c r="H69" s="30"/>
      <c r="I69" s="30"/>
      <c r="J69" s="28"/>
      <c r="K69" s="60"/>
      <c r="L69" s="30"/>
      <c r="M69" s="60"/>
    </row>
    <row r="70" ht="14.25" customHeight="1">
      <c r="A70" s="37"/>
      <c r="B70" s="28" t="s">
        <v>442</v>
      </c>
      <c r="C70" s="30"/>
      <c r="D70" s="28" t="s">
        <v>456</v>
      </c>
      <c r="E70" s="1" t="s">
        <v>457</v>
      </c>
      <c r="F70" s="28"/>
      <c r="G70" s="60"/>
      <c r="H70" s="30"/>
      <c r="I70" s="30"/>
      <c r="J70" s="37"/>
      <c r="K70" s="60"/>
      <c r="L70" s="30"/>
      <c r="M70" s="60"/>
    </row>
    <row r="71" ht="14.25" customHeight="1">
      <c r="A71" s="37"/>
      <c r="B71" s="28" t="s">
        <v>443</v>
      </c>
      <c r="C71" s="1" t="s">
        <v>444</v>
      </c>
      <c r="D71" s="28" t="s">
        <v>443</v>
      </c>
      <c r="E71" s="1" t="s">
        <v>444</v>
      </c>
      <c r="F71" s="28"/>
      <c r="G71" s="60"/>
      <c r="H71" s="30"/>
      <c r="I71" s="30"/>
      <c r="J71" s="37"/>
      <c r="K71" s="60"/>
      <c r="L71" s="30"/>
      <c r="M71" s="60"/>
    </row>
    <row r="72" ht="14.25" customHeight="1">
      <c r="A72" s="37"/>
      <c r="B72" s="28" t="s">
        <v>445</v>
      </c>
      <c r="C72" s="1"/>
      <c r="D72" s="28" t="s">
        <v>258</v>
      </c>
      <c r="E72" s="1"/>
      <c r="F72" s="28"/>
      <c r="G72" s="60"/>
      <c r="H72" s="30"/>
      <c r="I72" s="30"/>
      <c r="J72" s="37"/>
      <c r="K72" s="60"/>
      <c r="L72" s="30"/>
      <c r="M72" s="60"/>
    </row>
    <row r="73" ht="14.25" customHeight="1">
      <c r="A73" s="64"/>
      <c r="B73" s="65"/>
      <c r="C73" s="66"/>
      <c r="D73" s="64"/>
      <c r="E73" s="66"/>
      <c r="F73" s="64"/>
      <c r="G73" s="67"/>
      <c r="H73" s="66"/>
      <c r="I73" s="66"/>
      <c r="J73" s="64"/>
      <c r="K73" s="67"/>
      <c r="L73" s="66"/>
      <c r="M73" s="67"/>
    </row>
    <row r="74" ht="14.25" customHeight="1">
      <c r="A74" s="30"/>
      <c r="B74" s="1"/>
      <c r="C74" s="1"/>
      <c r="D74" s="30"/>
      <c r="E74" s="30"/>
      <c r="F74" s="1"/>
      <c r="G74" s="30"/>
      <c r="H74" s="30"/>
      <c r="I74" s="30"/>
      <c r="J74" s="1"/>
      <c r="K74" s="30"/>
      <c r="L74" s="30"/>
      <c r="M74" s="30"/>
    </row>
    <row r="75" ht="14.25" customHeight="1">
      <c r="A75" s="2" t="s">
        <v>2</v>
      </c>
      <c r="B75" s="3" t="s">
        <v>3</v>
      </c>
      <c r="C75" s="4">
        <f>M39+2</f>
        <v>45166</v>
      </c>
      <c r="D75" s="5" t="s">
        <v>4</v>
      </c>
      <c r="E75" s="6">
        <f>C75+1</f>
        <v>45167</v>
      </c>
      <c r="F75" s="3" t="s">
        <v>5</v>
      </c>
      <c r="G75" s="6">
        <f>E75+1</f>
        <v>45168</v>
      </c>
      <c r="H75" s="3" t="s">
        <v>6</v>
      </c>
      <c r="I75" s="6">
        <f>G75+1</f>
        <v>45169</v>
      </c>
      <c r="J75" s="3" t="s">
        <v>7</v>
      </c>
      <c r="K75" s="6">
        <f>I75+1</f>
        <v>45170</v>
      </c>
      <c r="L75" s="7" t="s">
        <v>8</v>
      </c>
      <c r="M75" s="8">
        <f>K75+1</f>
        <v>45171</v>
      </c>
    </row>
    <row r="76" ht="14.25" customHeight="1">
      <c r="A76" s="10">
        <f>A40+1</f>
        <v>3</v>
      </c>
      <c r="B76" s="129" t="s">
        <v>421</v>
      </c>
      <c r="C76" s="130" t="s">
        <v>422</v>
      </c>
      <c r="D76" s="131" t="s">
        <v>421</v>
      </c>
      <c r="E76" s="131" t="s">
        <v>422</v>
      </c>
      <c r="F76" s="129" t="s">
        <v>421</v>
      </c>
      <c r="G76" s="131" t="s">
        <v>422</v>
      </c>
      <c r="H76" s="129" t="s">
        <v>421</v>
      </c>
      <c r="I76" s="131" t="s">
        <v>422</v>
      </c>
      <c r="J76" s="129" t="s">
        <v>421</v>
      </c>
      <c r="K76" s="130" t="s">
        <v>422</v>
      </c>
      <c r="L76" s="131" t="s">
        <v>421</v>
      </c>
      <c r="M76" s="130" t="s">
        <v>422</v>
      </c>
    </row>
    <row r="77" ht="14.25" customHeight="1">
      <c r="A77" s="13" t="s">
        <v>12</v>
      </c>
      <c r="B77" s="20" t="s">
        <v>423</v>
      </c>
      <c r="C77" s="17"/>
      <c r="D77" s="18" t="s">
        <v>14</v>
      </c>
      <c r="E77" s="18"/>
      <c r="F77" s="20" t="s">
        <v>424</v>
      </c>
      <c r="G77" s="18"/>
      <c r="H77" s="70" t="s">
        <v>446</v>
      </c>
      <c r="I77" s="18"/>
      <c r="J77" s="20" t="s">
        <v>229</v>
      </c>
      <c r="K77" s="17"/>
      <c r="L77" s="132" t="s">
        <v>14</v>
      </c>
      <c r="M77" s="17"/>
    </row>
    <row r="78" ht="14.25" customHeight="1">
      <c r="A78" s="13"/>
      <c r="B78" s="46">
        <v>120.0</v>
      </c>
      <c r="C78" s="133">
        <v>5.0</v>
      </c>
      <c r="D78" s="134" t="s">
        <v>426</v>
      </c>
      <c r="E78" s="135"/>
      <c r="F78" s="46">
        <v>80.0</v>
      </c>
      <c r="G78" s="136">
        <v>5.0</v>
      </c>
      <c r="H78" s="120" t="s">
        <v>15</v>
      </c>
      <c r="I78" s="137"/>
      <c r="J78" s="46">
        <v>50.0</v>
      </c>
      <c r="K78" s="133">
        <v>5.0</v>
      </c>
      <c r="L78" s="120" t="s">
        <v>290</v>
      </c>
      <c r="M78" s="138"/>
    </row>
    <row r="79" ht="14.25" customHeight="1">
      <c r="A79" s="13"/>
      <c r="B79" s="46">
        <v>125.0</v>
      </c>
      <c r="C79" s="48">
        <v>5.0</v>
      </c>
      <c r="D79" s="134" t="s">
        <v>427</v>
      </c>
      <c r="E79" s="134" t="s">
        <v>428</v>
      </c>
      <c r="F79" s="46">
        <v>85.0</v>
      </c>
      <c r="G79" s="139">
        <v>5.0</v>
      </c>
      <c r="H79" s="28"/>
      <c r="I79" s="79"/>
      <c r="J79" s="46">
        <v>55.0</v>
      </c>
      <c r="K79" s="48">
        <v>5.0</v>
      </c>
      <c r="L79" s="28"/>
      <c r="M79" s="24"/>
    </row>
    <row r="80" ht="14.25" customHeight="1">
      <c r="A80" s="29" t="s">
        <v>22</v>
      </c>
      <c r="B80" s="46">
        <v>130.0</v>
      </c>
      <c r="C80" s="48">
        <v>3.0</v>
      </c>
      <c r="E80" s="134"/>
      <c r="F80" s="46">
        <v>90.0</v>
      </c>
      <c r="G80" s="139">
        <v>3.0</v>
      </c>
      <c r="H80" s="28" t="s">
        <v>250</v>
      </c>
      <c r="I80" s="79"/>
      <c r="J80" s="46">
        <v>60.0</v>
      </c>
      <c r="K80" s="48">
        <v>3.0</v>
      </c>
      <c r="L80" s="28"/>
      <c r="M80" s="24"/>
    </row>
    <row r="81" ht="14.25" customHeight="1">
      <c r="A81" s="28" t="s">
        <v>23</v>
      </c>
      <c r="B81" s="46">
        <v>135.0</v>
      </c>
      <c r="C81" s="48">
        <v>3.0</v>
      </c>
      <c r="D81" s="33"/>
      <c r="E81" s="134"/>
      <c r="F81" s="46">
        <v>85.0</v>
      </c>
      <c r="G81" s="139">
        <v>3.0</v>
      </c>
      <c r="H81" s="13"/>
      <c r="I81" s="34"/>
      <c r="J81" s="46">
        <v>62.5</v>
      </c>
      <c r="K81" s="48">
        <v>3.0</v>
      </c>
      <c r="L81" s="28" t="s">
        <v>431</v>
      </c>
      <c r="M81" s="54" t="s">
        <v>458</v>
      </c>
    </row>
    <row r="82" ht="14.25" customHeight="1">
      <c r="A82" s="13"/>
      <c r="B82" s="13"/>
      <c r="C82" s="24"/>
      <c r="D82" s="73"/>
      <c r="E82" s="135"/>
      <c r="F82" s="13"/>
      <c r="G82" s="34"/>
      <c r="H82" s="13"/>
      <c r="I82" s="34"/>
      <c r="J82" s="13"/>
      <c r="K82" s="24"/>
      <c r="L82" s="28" t="s">
        <v>98</v>
      </c>
      <c r="M82" s="24"/>
    </row>
    <row r="83" ht="14.25" customHeight="1">
      <c r="A83" s="28" t="s">
        <v>433</v>
      </c>
      <c r="B83" s="35" t="s">
        <v>25</v>
      </c>
      <c r="C83" s="58">
        <f>C78*B78 + B79*C79 + B80*C80 + B81*C81 + B82*C82</f>
        <v>2020</v>
      </c>
      <c r="D83" s="57" t="s">
        <v>25</v>
      </c>
      <c r="E83" s="55" t="str">
        <f>E78*D78 + D79*#REF! + E79*E80 + D81*E81 + D82*E82</f>
        <v>#VALUE!</v>
      </c>
      <c r="F83" s="35" t="s">
        <v>25</v>
      </c>
      <c r="G83" s="56">
        <f>G78*F78 + F79*G79 + F80*G80 + F81*G81 + F82*G82</f>
        <v>1350</v>
      </c>
      <c r="H83" s="35" t="s">
        <v>25</v>
      </c>
      <c r="I83" s="56" t="str">
        <f>I78*H78 + H79*I79 + H80*I80 + H81*I81 + H82*I82</f>
        <v>#VALUE!</v>
      </c>
      <c r="J83" s="35" t="s">
        <v>25</v>
      </c>
      <c r="K83" s="58">
        <f>K78*J78 + J79*K79 + J80*K80 + J81*K81 + J82*K82</f>
        <v>892.5</v>
      </c>
      <c r="L83" s="35" t="s">
        <v>25</v>
      </c>
      <c r="M83" s="36" t="str">
        <f>M78*L78 + L79*M79 + L80*M80 + L81*M81 + L82*M82</f>
        <v>#VALUE!</v>
      </c>
    </row>
    <row r="84" ht="14.25" customHeight="1">
      <c r="A84" s="37"/>
      <c r="B84" s="39" t="s">
        <v>26</v>
      </c>
      <c r="C84" s="116">
        <f>(B78*C78 + B79*C79 + B80*C80 + B81*C81 + B82*C82)/SUM(C78:C82)</f>
        <v>126.25</v>
      </c>
      <c r="D84" s="31" t="s">
        <v>26</v>
      </c>
      <c r="E84" s="74" t="str">
        <f>(D78*E78 + D79*#REF! + E79*E80 + D81*E81 + D82*E82)/SUM(E78:E82)</f>
        <v>#VALUE!</v>
      </c>
      <c r="F84" s="13" t="s">
        <v>26</v>
      </c>
      <c r="G84" s="117">
        <f>(F78*G78 + F79*G79 + F80*G80 + F81*G81 + F82*G82)/SUM(G78:G82)</f>
        <v>84.375</v>
      </c>
      <c r="H84" s="13" t="s">
        <v>26</v>
      </c>
      <c r="I84" s="74" t="str">
        <f>(H78*I78 + H79*I79 + H80*I80 + H81*I81 + H82*I82)/SUM(I78:I82)</f>
        <v>#VALUE!</v>
      </c>
      <c r="J84" s="39" t="s">
        <v>26</v>
      </c>
      <c r="K84" s="116">
        <f>(J78*K78 + J79*K79 + J80*K80 + J81*K81 + J82*K82)/SUM(K78:K82)</f>
        <v>55.78125</v>
      </c>
      <c r="L84" s="13" t="s">
        <v>26</v>
      </c>
      <c r="M84" s="75" t="str">
        <f>(L78*M78 + L79*M79 + L80*M80 + L81*M81 + L82*M82)/SUM(M78:M82)</f>
        <v>#VALUE!</v>
      </c>
    </row>
    <row r="85" ht="14.25" customHeight="1">
      <c r="A85" s="28" t="s">
        <v>450</v>
      </c>
      <c r="B85" s="140" t="s">
        <v>421</v>
      </c>
      <c r="C85" s="141" t="s">
        <v>422</v>
      </c>
      <c r="D85" s="142" t="s">
        <v>421</v>
      </c>
      <c r="E85" s="143" t="s">
        <v>422</v>
      </c>
      <c r="F85" s="142" t="s">
        <v>421</v>
      </c>
      <c r="G85" s="143" t="s">
        <v>422</v>
      </c>
      <c r="H85" s="142" t="s">
        <v>421</v>
      </c>
      <c r="I85" s="143" t="s">
        <v>422</v>
      </c>
      <c r="J85" s="140" t="s">
        <v>421</v>
      </c>
      <c r="K85" s="144" t="s">
        <v>422</v>
      </c>
      <c r="L85" s="142" t="s">
        <v>421</v>
      </c>
      <c r="M85" s="145" t="s">
        <v>422</v>
      </c>
    </row>
    <row r="86" ht="14.25" customHeight="1">
      <c r="A86" s="41" t="s">
        <v>451</v>
      </c>
      <c r="B86" s="49" t="s">
        <v>304</v>
      </c>
      <c r="C86" s="146"/>
      <c r="D86" s="49" t="s">
        <v>91</v>
      </c>
      <c r="E86" s="147" t="s">
        <v>49</v>
      </c>
      <c r="F86" s="49" t="s">
        <v>304</v>
      </c>
      <c r="G86" s="146"/>
      <c r="H86" s="148" t="s">
        <v>91</v>
      </c>
      <c r="I86" s="147" t="s">
        <v>90</v>
      </c>
      <c r="J86" s="49" t="s">
        <v>304</v>
      </c>
      <c r="K86" s="125"/>
      <c r="L86" s="49" t="s">
        <v>91</v>
      </c>
      <c r="M86" s="118" t="s">
        <v>90</v>
      </c>
    </row>
    <row r="87" ht="14.25" customHeight="1">
      <c r="A87" s="41"/>
      <c r="B87" s="27">
        <v>160.0</v>
      </c>
      <c r="C87" s="79">
        <v>5.0</v>
      </c>
      <c r="D87" s="46">
        <v>20.0</v>
      </c>
      <c r="E87" s="34"/>
      <c r="F87" s="27">
        <v>165.0</v>
      </c>
      <c r="G87" s="79">
        <v>5.0</v>
      </c>
      <c r="H87" s="28"/>
      <c r="I87" s="34"/>
      <c r="J87" s="27">
        <v>170.0</v>
      </c>
      <c r="K87" s="54">
        <v>5.0</v>
      </c>
      <c r="L87" s="46">
        <v>20.0</v>
      </c>
      <c r="M87" s="54"/>
    </row>
    <row r="88" ht="14.25" customHeight="1">
      <c r="A88" s="28" t="s">
        <v>452</v>
      </c>
      <c r="B88" s="28">
        <v>165.0</v>
      </c>
      <c r="C88" s="79">
        <v>5.0</v>
      </c>
      <c r="D88" s="46">
        <v>60.0</v>
      </c>
      <c r="E88" s="79"/>
      <c r="F88" s="28">
        <v>170.0</v>
      </c>
      <c r="G88" s="79">
        <v>5.0</v>
      </c>
      <c r="H88" s="28"/>
      <c r="I88" s="34"/>
      <c r="J88" s="28">
        <v>175.0</v>
      </c>
      <c r="K88" s="54">
        <v>5.0</v>
      </c>
      <c r="L88" s="46">
        <v>20.0</v>
      </c>
      <c r="M88" s="24"/>
    </row>
    <row r="89" ht="14.25" customHeight="1">
      <c r="A89" s="28" t="s">
        <v>453</v>
      </c>
      <c r="B89" s="27">
        <v>167.5</v>
      </c>
      <c r="C89" s="79">
        <v>5.0</v>
      </c>
      <c r="D89" s="46">
        <v>30.0</v>
      </c>
      <c r="E89" s="34"/>
      <c r="F89" s="27">
        <v>175.0</v>
      </c>
      <c r="G89" s="79">
        <v>5.0</v>
      </c>
      <c r="H89" s="28"/>
      <c r="I89" s="34"/>
      <c r="J89" s="27">
        <v>180.0</v>
      </c>
      <c r="K89" s="54">
        <v>5.0</v>
      </c>
      <c r="L89" s="46">
        <v>40.0</v>
      </c>
      <c r="M89" s="24"/>
    </row>
    <row r="90" ht="14.25" customHeight="1">
      <c r="A90" s="28" t="s">
        <v>454</v>
      </c>
      <c r="B90" s="28">
        <v>170.0</v>
      </c>
      <c r="C90" s="79">
        <v>5.0</v>
      </c>
      <c r="D90" s="46">
        <v>40.0</v>
      </c>
      <c r="E90" s="79"/>
      <c r="F90" s="28">
        <v>177.5</v>
      </c>
      <c r="G90" s="79">
        <v>5.0</v>
      </c>
      <c r="H90" s="28"/>
      <c r="I90" s="34"/>
      <c r="J90" s="28"/>
      <c r="K90" s="54"/>
      <c r="L90" s="46">
        <v>30.0</v>
      </c>
      <c r="M90" s="54"/>
    </row>
    <row r="91" ht="14.25" customHeight="1">
      <c r="A91" s="28"/>
      <c r="B91" s="13"/>
      <c r="C91" s="34"/>
      <c r="D91" s="21">
        <v>20.0</v>
      </c>
      <c r="E91" s="34"/>
      <c r="F91" s="13"/>
      <c r="G91" s="34"/>
      <c r="H91" s="28"/>
      <c r="I91" s="34"/>
      <c r="J91" s="13"/>
      <c r="K91" s="24"/>
      <c r="L91" s="21"/>
      <c r="M91" s="24"/>
    </row>
    <row r="92" ht="14.25" customHeight="1">
      <c r="A92" s="28"/>
      <c r="B92" s="13"/>
      <c r="C92" s="34"/>
      <c r="D92" s="28"/>
      <c r="E92" s="34"/>
      <c r="F92" s="13"/>
      <c r="G92" s="34"/>
      <c r="H92" s="28"/>
      <c r="I92" s="34"/>
      <c r="J92" s="13"/>
      <c r="K92" s="24"/>
      <c r="L92" s="28"/>
      <c r="M92" s="24"/>
    </row>
    <row r="93" ht="14.25" customHeight="1">
      <c r="A93" s="28"/>
      <c r="B93" s="35" t="s">
        <v>25</v>
      </c>
      <c r="C93" s="55">
        <f>C87*B87 + B88*C88 + B89*C89 + B90*C90 + B92*C92</f>
        <v>3312.5</v>
      </c>
      <c r="D93" s="35" t="s">
        <v>25</v>
      </c>
      <c r="E93" s="55">
        <f>E87*D87 + D88*E88 + D89*E89 + D90*E90 + D92*E92</f>
        <v>0</v>
      </c>
      <c r="F93" s="35" t="s">
        <v>25</v>
      </c>
      <c r="G93" s="55">
        <f>G87*F87 + F88*G88 + F89*G89 + F90*G90 + F92*G92</f>
        <v>3437.5</v>
      </c>
      <c r="H93" s="35" t="s">
        <v>25</v>
      </c>
      <c r="I93" s="56">
        <f>I87*H87 + H88*I88 + H89*I89 + H90*I90 + H92*I92</f>
        <v>0</v>
      </c>
      <c r="J93" s="35" t="s">
        <v>25</v>
      </c>
      <c r="K93" s="36">
        <f>K87*J87 + J88*K88 + J89*K89 + J90*K90 + J92*K92</f>
        <v>2625</v>
      </c>
      <c r="L93" s="35" t="s">
        <v>25</v>
      </c>
      <c r="M93" s="36">
        <f>M87*L87 + L88*M88 + L89*M89 + L90*M90 + L92*M92</f>
        <v>0</v>
      </c>
    </row>
    <row r="94" ht="14.25" customHeight="1">
      <c r="A94" s="28"/>
      <c r="B94" s="39" t="s">
        <v>26</v>
      </c>
      <c r="C94" s="77">
        <f>(B87*C87 + B88*C88 + B89*C89 + B90*C90 + B92*C92)/SUM(C87:C92)</f>
        <v>165.625</v>
      </c>
      <c r="D94" s="39" t="s">
        <v>26</v>
      </c>
      <c r="E94" s="77" t="str">
        <f>(D87*E87 + D88*E88 + D89*E89 + D90*E90 + D92*E92)/SUM(E87:E92)</f>
        <v>#DIV/0!</v>
      </c>
      <c r="F94" s="39" t="s">
        <v>26</v>
      </c>
      <c r="G94" s="77">
        <f>(F87*G87 + F88*G88 + F89*G89 + F90*G90 + F92*G92)/SUM(G87:G92)</f>
        <v>171.875</v>
      </c>
      <c r="H94" s="39" t="s">
        <v>26</v>
      </c>
      <c r="I94" s="77" t="str">
        <f>(H87*I87 + H88*I88 + H89*I89 + H90*I90 + H92*I92)/SUM(I87:I92)</f>
        <v>#DIV/0!</v>
      </c>
      <c r="J94" s="39" t="s">
        <v>26</v>
      </c>
      <c r="K94" s="40">
        <f>(J87*K87 + J88*K88 + J89*K89 + J90*K90 + J92*K92)/SUM(K87:K92)</f>
        <v>175</v>
      </c>
      <c r="L94" s="39" t="s">
        <v>26</v>
      </c>
      <c r="M94" s="40" t="str">
        <f>(L87*M87 + L88*M88 + L89*M89 + L90*M90 + L92*M92)/SUM(M87:M92)</f>
        <v>#DIV/0!</v>
      </c>
    </row>
    <row r="95" ht="14.25" customHeight="1">
      <c r="A95" s="13"/>
      <c r="B95" s="49" t="s">
        <v>29</v>
      </c>
      <c r="C95" s="146"/>
      <c r="D95" s="49" t="s">
        <v>249</v>
      </c>
      <c r="E95" s="146"/>
      <c r="F95" s="49" t="s">
        <v>245</v>
      </c>
      <c r="G95" s="146"/>
      <c r="H95" s="49" t="s">
        <v>33</v>
      </c>
      <c r="I95" s="146"/>
      <c r="J95" s="70" t="s">
        <v>29</v>
      </c>
      <c r="K95" s="17"/>
      <c r="L95" s="49" t="s">
        <v>105</v>
      </c>
      <c r="M95" s="118" t="s">
        <v>49</v>
      </c>
    </row>
    <row r="96" ht="14.25" customHeight="1">
      <c r="A96" s="13"/>
      <c r="B96" s="27">
        <v>140.0</v>
      </c>
      <c r="C96" s="79">
        <v>5.0</v>
      </c>
      <c r="D96" s="27"/>
      <c r="E96" s="34"/>
      <c r="F96" s="27">
        <v>40.0</v>
      </c>
      <c r="G96" s="79">
        <v>6.0</v>
      </c>
      <c r="H96" s="28"/>
      <c r="I96" s="34"/>
      <c r="J96" s="27"/>
      <c r="K96" s="54"/>
      <c r="L96" s="119"/>
      <c r="M96" s="24"/>
    </row>
    <row r="97" ht="14.25" customHeight="1">
      <c r="A97" s="28"/>
      <c r="B97" s="28">
        <v>145.0</v>
      </c>
      <c r="C97" s="79">
        <v>5.0</v>
      </c>
      <c r="D97" s="28"/>
      <c r="E97" s="79"/>
      <c r="F97" s="28">
        <v>50.0</v>
      </c>
      <c r="G97" s="79">
        <v>6.0</v>
      </c>
      <c r="H97" s="28"/>
      <c r="I97" s="34"/>
      <c r="J97" s="28"/>
      <c r="K97" s="54"/>
      <c r="L97" s="1"/>
      <c r="M97" s="54"/>
    </row>
    <row r="98" ht="14.25" customHeight="1">
      <c r="A98" s="28"/>
      <c r="B98" s="27">
        <v>147.5</v>
      </c>
      <c r="C98" s="79">
        <v>5.0</v>
      </c>
      <c r="D98" s="28"/>
      <c r="E98" s="34"/>
      <c r="F98" s="27">
        <v>60.0</v>
      </c>
      <c r="G98" s="79">
        <v>6.0</v>
      </c>
      <c r="H98" s="28"/>
      <c r="I98" s="34"/>
      <c r="J98" s="27"/>
      <c r="K98" s="54"/>
      <c r="L98" s="1"/>
      <c r="M98" s="24"/>
    </row>
    <row r="99" ht="14.25" customHeight="1">
      <c r="A99" s="37"/>
      <c r="B99" s="28"/>
      <c r="C99" s="79"/>
      <c r="D99" s="28"/>
      <c r="E99" s="79"/>
      <c r="F99" s="28"/>
      <c r="G99" s="34"/>
      <c r="H99" s="28"/>
      <c r="I99" s="34"/>
      <c r="J99" s="28"/>
      <c r="K99" s="54"/>
      <c r="L99" s="1"/>
      <c r="M99" s="24"/>
    </row>
    <row r="100" ht="14.25" customHeight="1">
      <c r="A100" s="13"/>
      <c r="B100" s="13"/>
      <c r="C100" s="34"/>
      <c r="D100" s="28"/>
      <c r="E100" s="34"/>
      <c r="F100" s="13"/>
      <c r="G100" s="34"/>
      <c r="H100" s="28"/>
      <c r="I100" s="34"/>
      <c r="J100" s="13"/>
      <c r="K100" s="24"/>
      <c r="L100" s="31"/>
      <c r="M100" s="24"/>
    </row>
    <row r="101" ht="14.25" customHeight="1">
      <c r="A101" s="13"/>
      <c r="B101" s="35" t="s">
        <v>25</v>
      </c>
      <c r="C101" s="55">
        <f>C96*B96 + B97*C97 + B98*C98 + B99*C99 + B100*C100</f>
        <v>2162.5</v>
      </c>
      <c r="D101" s="35" t="s">
        <v>25</v>
      </c>
      <c r="E101" s="55">
        <f>E96*D96 + D97*E97 + D98*E98 + D99*E99 + D100*E100</f>
        <v>0</v>
      </c>
      <c r="F101" s="35" t="s">
        <v>25</v>
      </c>
      <c r="G101" s="55">
        <f>G96*F96 + F97*G97 + F98*G98 + F99*G99 + F100*G100</f>
        <v>900</v>
      </c>
      <c r="H101" s="35" t="s">
        <v>25</v>
      </c>
      <c r="I101" s="56">
        <f>I96*H96 + H97*I97 + H98*I98 + H99*I99 + H100*I100</f>
        <v>0</v>
      </c>
      <c r="J101" s="35" t="s">
        <v>25</v>
      </c>
      <c r="K101" s="36">
        <f>K96*J96 + J97*K97 + J98*K98 + J99*K99 + J100*K100</f>
        <v>0</v>
      </c>
      <c r="L101" s="57" t="s">
        <v>25</v>
      </c>
      <c r="M101" s="58">
        <f>M96*L96 + L97*M97 + L98*M98 + L99*M99 + L100*M100</f>
        <v>0</v>
      </c>
    </row>
    <row r="102" ht="14.25" customHeight="1">
      <c r="A102" s="13"/>
      <c r="B102" s="39" t="s">
        <v>26</v>
      </c>
      <c r="C102" s="40">
        <f>(B96*C96 + B97*C97 + B98*C98 + B99*C99 + B100*C100)/SUM(C96:C100)</f>
        <v>144.1666667</v>
      </c>
      <c r="D102" s="59" t="s">
        <v>26</v>
      </c>
      <c r="E102" s="40" t="str">
        <f>(D96*E96 + D97*E97 + D98*E98 + D99*E99 + D100*E100)/SUM(E96:E100)</f>
        <v>#DIV/0!</v>
      </c>
      <c r="F102" s="31" t="s">
        <v>26</v>
      </c>
      <c r="G102" s="75">
        <f>(F96*G96 + F97*G97 + F98*G98 + F99*G99 + F100*G100)/SUM(G96:G100)</f>
        <v>50</v>
      </c>
      <c r="H102" s="59" t="s">
        <v>26</v>
      </c>
      <c r="I102" s="40" t="str">
        <f>(H96*I96 + H97*I97 + H98*I98 + H99*I99 + H100*I100)/SUM(I96:I100)</f>
        <v>#DIV/0!</v>
      </c>
      <c r="J102" s="39" t="s">
        <v>26</v>
      </c>
      <c r="K102" s="40" t="str">
        <f>(J96*K96 + J97*K97 + J98*K98 + J99*K99 + J100*K100)/SUM(K96:K100)</f>
        <v>#DIV/0!</v>
      </c>
      <c r="L102" s="59" t="s">
        <v>26</v>
      </c>
      <c r="M102" s="40" t="str">
        <f>(L96*M96 + L97*M97 + L98*M98 + L99*M99 + L100*M100)/SUM(M96:M100)</f>
        <v>#DIV/0!</v>
      </c>
    </row>
    <row r="103" ht="14.25" customHeight="1">
      <c r="A103" s="28"/>
      <c r="B103" s="28" t="s">
        <v>91</v>
      </c>
      <c r="C103" s="30" t="s">
        <v>49</v>
      </c>
      <c r="D103" s="37"/>
      <c r="E103" s="30" t="s">
        <v>49</v>
      </c>
      <c r="F103" s="120" t="s">
        <v>88</v>
      </c>
      <c r="G103" s="121" t="s">
        <v>49</v>
      </c>
      <c r="H103" s="1"/>
      <c r="I103" s="30"/>
      <c r="J103" s="28" t="s">
        <v>88</v>
      </c>
      <c r="K103" s="60" t="s">
        <v>49</v>
      </c>
      <c r="L103" s="30"/>
      <c r="M103" s="60" t="s">
        <v>49</v>
      </c>
    </row>
    <row r="104" ht="14.25" customHeight="1">
      <c r="A104" s="37"/>
      <c r="B104" s="46">
        <v>20.0</v>
      </c>
      <c r="C104" s="30"/>
      <c r="D104" s="41" t="s">
        <v>440</v>
      </c>
      <c r="E104" s="63"/>
      <c r="F104" s="104"/>
      <c r="G104" s="63"/>
      <c r="H104" s="30"/>
      <c r="I104" s="30"/>
      <c r="J104" s="104"/>
      <c r="K104" s="60"/>
      <c r="L104" s="62"/>
      <c r="M104" s="60"/>
    </row>
    <row r="105" ht="14.25" customHeight="1">
      <c r="A105" s="37"/>
      <c r="B105" s="46">
        <v>60.0</v>
      </c>
      <c r="C105" s="30"/>
      <c r="D105" s="28" t="s">
        <v>455</v>
      </c>
      <c r="E105" s="30"/>
      <c r="F105" s="28"/>
      <c r="G105" s="60"/>
      <c r="H105" s="30"/>
      <c r="I105" s="30"/>
      <c r="J105" s="28"/>
      <c r="K105" s="60"/>
      <c r="L105" s="30"/>
      <c r="M105" s="60"/>
    </row>
    <row r="106" ht="14.25" customHeight="1">
      <c r="A106" s="37"/>
      <c r="B106" s="46">
        <v>30.0</v>
      </c>
      <c r="C106" s="30"/>
      <c r="D106" s="28" t="s">
        <v>459</v>
      </c>
      <c r="E106" s="1" t="s">
        <v>457</v>
      </c>
      <c r="F106" s="28"/>
      <c r="G106" s="60"/>
      <c r="H106" s="30"/>
      <c r="I106" s="30"/>
      <c r="J106" s="37"/>
      <c r="K106" s="60"/>
      <c r="L106" s="30"/>
      <c r="M106" s="60"/>
    </row>
    <row r="107" ht="14.25" customHeight="1">
      <c r="A107" s="37"/>
      <c r="B107" s="46">
        <v>40.0</v>
      </c>
      <c r="C107" s="1"/>
      <c r="D107" s="28" t="s">
        <v>460</v>
      </c>
      <c r="E107" s="1" t="s">
        <v>444</v>
      </c>
      <c r="F107" s="28"/>
      <c r="G107" s="60"/>
      <c r="H107" s="30"/>
      <c r="I107" s="30"/>
      <c r="J107" s="37"/>
      <c r="K107" s="60"/>
      <c r="L107" s="30"/>
      <c r="M107" s="60"/>
    </row>
    <row r="108" ht="14.25" customHeight="1">
      <c r="A108" s="37"/>
      <c r="B108" s="28">
        <v>30.0</v>
      </c>
      <c r="C108" s="1"/>
      <c r="D108" s="28"/>
      <c r="E108" s="1"/>
      <c r="F108" s="28"/>
      <c r="G108" s="60"/>
      <c r="H108" s="30"/>
      <c r="I108" s="30"/>
      <c r="J108" s="37"/>
      <c r="K108" s="60"/>
      <c r="L108" s="30"/>
      <c r="M108" s="60"/>
    </row>
    <row r="109" ht="14.25" customHeight="1">
      <c r="A109" s="64"/>
      <c r="B109" s="65"/>
      <c r="C109" s="66"/>
      <c r="D109" s="64"/>
      <c r="E109" s="66"/>
      <c r="F109" s="64"/>
      <c r="G109" s="67"/>
      <c r="H109" s="66"/>
      <c r="I109" s="66"/>
      <c r="J109" s="64"/>
      <c r="K109" s="67"/>
      <c r="L109" s="66"/>
      <c r="M109" s="67"/>
    </row>
    <row r="110" ht="14.25" customHeight="1">
      <c r="A110" s="30"/>
      <c r="B110" s="1"/>
      <c r="C110" s="1"/>
      <c r="D110" s="30"/>
      <c r="E110" s="30"/>
      <c r="F110" s="1"/>
      <c r="G110" s="30"/>
      <c r="H110" s="30"/>
      <c r="I110" s="30"/>
      <c r="J110" s="1"/>
      <c r="K110" s="30"/>
      <c r="L110" s="30"/>
      <c r="M110" s="30"/>
    </row>
    <row r="111" ht="14.25" customHeight="1">
      <c r="A111" s="2" t="s">
        <v>2</v>
      </c>
      <c r="B111" s="3" t="s">
        <v>3</v>
      </c>
      <c r="C111" s="4">
        <f>M75+2</f>
        <v>45173</v>
      </c>
      <c r="D111" s="5" t="s">
        <v>4</v>
      </c>
      <c r="E111" s="6">
        <f>C111+1</f>
        <v>45174</v>
      </c>
      <c r="F111" s="3" t="s">
        <v>5</v>
      </c>
      <c r="G111" s="6">
        <f>E111+1</f>
        <v>45175</v>
      </c>
      <c r="H111" s="3" t="s">
        <v>6</v>
      </c>
      <c r="I111" s="6">
        <f>G111+1</f>
        <v>45176</v>
      </c>
      <c r="J111" s="3" t="s">
        <v>7</v>
      </c>
      <c r="K111" s="6">
        <f>I111+1</f>
        <v>45177</v>
      </c>
      <c r="L111" s="7" t="s">
        <v>8</v>
      </c>
      <c r="M111" s="8">
        <f>K111+1</f>
        <v>45178</v>
      </c>
    </row>
    <row r="112" ht="14.25" customHeight="1">
      <c r="A112" s="10">
        <f>A76+1</f>
        <v>4</v>
      </c>
      <c r="B112" s="129" t="s">
        <v>421</v>
      </c>
      <c r="C112" s="130" t="s">
        <v>422</v>
      </c>
      <c r="D112" s="131" t="s">
        <v>421</v>
      </c>
      <c r="E112" s="131" t="s">
        <v>422</v>
      </c>
      <c r="F112" s="129" t="s">
        <v>421</v>
      </c>
      <c r="G112" s="131" t="s">
        <v>422</v>
      </c>
      <c r="H112" s="129" t="s">
        <v>421</v>
      </c>
      <c r="I112" s="131" t="s">
        <v>422</v>
      </c>
      <c r="J112" s="129" t="s">
        <v>421</v>
      </c>
      <c r="K112" s="130" t="s">
        <v>422</v>
      </c>
      <c r="L112" s="131" t="s">
        <v>421</v>
      </c>
      <c r="M112" s="130" t="s">
        <v>422</v>
      </c>
    </row>
    <row r="113" ht="14.25" customHeight="1">
      <c r="A113" s="13" t="s">
        <v>12</v>
      </c>
      <c r="B113" s="20" t="s">
        <v>424</v>
      </c>
      <c r="C113" s="17"/>
      <c r="D113" s="18" t="s">
        <v>14</v>
      </c>
      <c r="E113" s="18"/>
      <c r="F113" s="20" t="s">
        <v>424</v>
      </c>
      <c r="G113" s="18"/>
      <c r="H113" s="70" t="s">
        <v>446</v>
      </c>
      <c r="I113" s="18"/>
      <c r="J113" s="20" t="s">
        <v>229</v>
      </c>
      <c r="K113" s="17"/>
      <c r="L113" s="132" t="s">
        <v>14</v>
      </c>
      <c r="M113" s="17"/>
    </row>
    <row r="114" ht="14.25" customHeight="1">
      <c r="A114" s="13"/>
      <c r="B114" s="46">
        <v>75.0</v>
      </c>
      <c r="C114" s="133">
        <v>5.0</v>
      </c>
      <c r="D114" s="134" t="s">
        <v>426</v>
      </c>
      <c r="E114" s="135"/>
      <c r="F114" s="46">
        <v>77.5</v>
      </c>
      <c r="G114" s="136">
        <v>5.0</v>
      </c>
      <c r="H114" s="120" t="s">
        <v>15</v>
      </c>
      <c r="I114" s="137"/>
      <c r="J114" s="46">
        <v>50.0</v>
      </c>
      <c r="K114" s="133">
        <v>5.0</v>
      </c>
      <c r="L114" s="120" t="s">
        <v>290</v>
      </c>
      <c r="M114" s="138"/>
    </row>
    <row r="115" ht="14.25" customHeight="1">
      <c r="A115" s="13"/>
      <c r="B115" s="46">
        <v>80.0</v>
      </c>
      <c r="C115" s="48">
        <v>5.0</v>
      </c>
      <c r="D115" s="134" t="s">
        <v>427</v>
      </c>
      <c r="E115" s="134" t="s">
        <v>428</v>
      </c>
      <c r="F115" s="46">
        <v>82.5</v>
      </c>
      <c r="G115" s="139">
        <v>5.0</v>
      </c>
      <c r="H115" s="28"/>
      <c r="I115" s="79"/>
      <c r="J115" s="46">
        <v>55.0</v>
      </c>
      <c r="K115" s="48">
        <v>5.0</v>
      </c>
      <c r="L115" s="28"/>
      <c r="M115" s="24"/>
    </row>
    <row r="116" ht="14.25" customHeight="1">
      <c r="A116" s="29" t="s">
        <v>22</v>
      </c>
      <c r="B116" s="46">
        <v>82.5</v>
      </c>
      <c r="C116" s="48">
        <v>3.0</v>
      </c>
      <c r="E116" s="134"/>
      <c r="F116" s="46">
        <v>82.5</v>
      </c>
      <c r="G116" s="139">
        <v>3.0</v>
      </c>
      <c r="H116" s="28" t="s">
        <v>250</v>
      </c>
      <c r="I116" s="79"/>
      <c r="J116" s="46">
        <v>57.5</v>
      </c>
      <c r="K116" s="48">
        <v>3.0</v>
      </c>
      <c r="L116" s="28"/>
      <c r="M116" s="24"/>
    </row>
    <row r="117" ht="14.25" customHeight="1">
      <c r="A117" s="28" t="s">
        <v>23</v>
      </c>
      <c r="B117" s="46">
        <v>85.0</v>
      </c>
      <c r="C117" s="48">
        <v>3.0</v>
      </c>
      <c r="D117" s="33"/>
      <c r="E117" s="134"/>
      <c r="F117" s="46">
        <v>85.0</v>
      </c>
      <c r="G117" s="139">
        <v>3.0</v>
      </c>
      <c r="H117" s="13"/>
      <c r="I117" s="34"/>
      <c r="J117" s="46">
        <v>55.0</v>
      </c>
      <c r="K117" s="48">
        <v>3.0</v>
      </c>
      <c r="L117" s="28" t="s">
        <v>431</v>
      </c>
      <c r="M117" s="54" t="s">
        <v>458</v>
      </c>
    </row>
    <row r="118" ht="14.25" customHeight="1">
      <c r="A118" s="13"/>
      <c r="B118" s="13"/>
      <c r="C118" s="24"/>
      <c r="D118" s="73"/>
      <c r="E118" s="135"/>
      <c r="F118" s="13"/>
      <c r="G118" s="34"/>
      <c r="H118" s="13"/>
      <c r="I118" s="34"/>
      <c r="J118" s="13"/>
      <c r="K118" s="24"/>
      <c r="L118" s="28" t="s">
        <v>98</v>
      </c>
      <c r="M118" s="24"/>
    </row>
    <row r="119" ht="14.25" customHeight="1">
      <c r="A119" s="28" t="s">
        <v>433</v>
      </c>
      <c r="B119" s="35" t="s">
        <v>25</v>
      </c>
      <c r="C119" s="58">
        <f>C114*B114 + B115*C115 + B116*C116 + B117*C117 + B118*C118</f>
        <v>1277.5</v>
      </c>
      <c r="D119" s="57" t="s">
        <v>25</v>
      </c>
      <c r="E119" s="55" t="str">
        <f>E114*D114 + D115*#REF! + E115*E116 + D117*E117 + D118*E118</f>
        <v>#VALUE!</v>
      </c>
      <c r="F119" s="35" t="s">
        <v>25</v>
      </c>
      <c r="G119" s="56">
        <f>G114*F114 + F115*G115 + F116*G116 + F117*G117 + F118*G118</f>
        <v>1302.5</v>
      </c>
      <c r="H119" s="35" t="s">
        <v>25</v>
      </c>
      <c r="I119" s="56" t="str">
        <f>I114*H114 + H115*I115 + H116*I116 + H117*I117 + H118*I118</f>
        <v>#VALUE!</v>
      </c>
      <c r="J119" s="35" t="s">
        <v>25</v>
      </c>
      <c r="K119" s="58">
        <f>K114*J114 + J115*K115 + J116*K116 + J117*K117 + J118*K118</f>
        <v>862.5</v>
      </c>
      <c r="L119" s="35" t="s">
        <v>25</v>
      </c>
      <c r="M119" s="36" t="str">
        <f>M114*L114 + L115*M115 + L116*M116 + L117*M117 + L118*M118</f>
        <v>#VALUE!</v>
      </c>
    </row>
    <row r="120" ht="14.25" customHeight="1">
      <c r="A120" s="37"/>
      <c r="B120" s="39" t="s">
        <v>26</v>
      </c>
      <c r="C120" s="116">
        <f>(B114*C114 + B115*C115 + B116*C116 + B117*C117 + B118*C118)/SUM(C114:C118)</f>
        <v>79.84375</v>
      </c>
      <c r="D120" s="31" t="s">
        <v>26</v>
      </c>
      <c r="E120" s="74" t="str">
        <f>(D114*E114 + D115*#REF! + E115*E116 + D117*E117 + D118*E118)/SUM(E114:E118)</f>
        <v>#VALUE!</v>
      </c>
      <c r="F120" s="13" t="s">
        <v>26</v>
      </c>
      <c r="G120" s="117">
        <f>(F114*G114 + F115*G115 + F116*G116 + F117*G117 + F118*G118)/SUM(G114:G118)</f>
        <v>81.40625</v>
      </c>
      <c r="H120" s="13" t="s">
        <v>26</v>
      </c>
      <c r="I120" s="74" t="str">
        <f>(H114*I114 + H115*I115 + H116*I116 + H117*I117 + H118*I118)/SUM(I114:I118)</f>
        <v>#VALUE!</v>
      </c>
      <c r="J120" s="39" t="s">
        <v>26</v>
      </c>
      <c r="K120" s="116">
        <f>(J114*K114 + J115*K115 + J116*K116 + J117*K117 + J118*K118)/SUM(K114:K118)</f>
        <v>53.90625</v>
      </c>
      <c r="L120" s="13" t="s">
        <v>26</v>
      </c>
      <c r="M120" s="75" t="str">
        <f>(L114*M114 + L115*M115 + L116*M116 + L117*M117 + L118*M118)/SUM(M114:M118)</f>
        <v>#VALUE!</v>
      </c>
    </row>
    <row r="121" ht="14.25" customHeight="1">
      <c r="A121" s="28"/>
      <c r="B121" s="140" t="s">
        <v>421</v>
      </c>
      <c r="C121" s="141" t="s">
        <v>422</v>
      </c>
      <c r="D121" s="142" t="s">
        <v>421</v>
      </c>
      <c r="E121" s="143" t="s">
        <v>422</v>
      </c>
      <c r="F121" s="142" t="s">
        <v>421</v>
      </c>
      <c r="G121" s="143" t="s">
        <v>422</v>
      </c>
      <c r="H121" s="142" t="s">
        <v>421</v>
      </c>
      <c r="I121" s="143" t="s">
        <v>422</v>
      </c>
      <c r="J121" s="140" t="s">
        <v>421</v>
      </c>
      <c r="K121" s="144" t="s">
        <v>422</v>
      </c>
      <c r="L121" s="142" t="s">
        <v>421</v>
      </c>
      <c r="M121" s="145" t="s">
        <v>422</v>
      </c>
    </row>
    <row r="122" ht="14.25" customHeight="1">
      <c r="A122" s="41"/>
      <c r="B122" s="49" t="s">
        <v>304</v>
      </c>
      <c r="C122" s="146"/>
      <c r="D122" s="49" t="s">
        <v>91</v>
      </c>
      <c r="E122" s="147" t="s">
        <v>49</v>
      </c>
      <c r="F122" s="49" t="s">
        <v>304</v>
      </c>
      <c r="G122" s="146"/>
      <c r="H122" s="148" t="s">
        <v>91</v>
      </c>
      <c r="I122" s="147" t="s">
        <v>90</v>
      </c>
      <c r="J122" s="49" t="s">
        <v>304</v>
      </c>
      <c r="K122" s="125"/>
      <c r="L122" s="49" t="s">
        <v>91</v>
      </c>
      <c r="M122" s="118" t="s">
        <v>90</v>
      </c>
    </row>
    <row r="123" ht="14.25" customHeight="1">
      <c r="A123" s="41"/>
      <c r="B123" s="27">
        <v>165.0</v>
      </c>
      <c r="C123" s="79">
        <v>5.0</v>
      </c>
      <c r="D123" s="46">
        <v>30.0</v>
      </c>
      <c r="E123" s="34"/>
      <c r="F123" s="27">
        <v>170.0</v>
      </c>
      <c r="G123" s="79">
        <v>5.0</v>
      </c>
      <c r="H123" s="28"/>
      <c r="I123" s="34"/>
      <c r="J123" s="27">
        <v>175.0</v>
      </c>
      <c r="K123" s="54">
        <v>5.0</v>
      </c>
      <c r="L123" s="46">
        <v>30.0</v>
      </c>
      <c r="M123" s="54"/>
    </row>
    <row r="124" ht="14.25" customHeight="1">
      <c r="A124" s="28"/>
      <c r="B124" s="28">
        <v>170.0</v>
      </c>
      <c r="C124" s="79">
        <v>5.0</v>
      </c>
      <c r="D124" s="46">
        <v>40.0</v>
      </c>
      <c r="E124" s="79"/>
      <c r="F124" s="28">
        <v>175.0</v>
      </c>
      <c r="G124" s="79">
        <v>5.0</v>
      </c>
      <c r="H124" s="28"/>
      <c r="I124" s="34"/>
      <c r="J124" s="28">
        <v>177.5</v>
      </c>
      <c r="K124" s="54">
        <v>5.0</v>
      </c>
      <c r="L124" s="46">
        <v>30.0</v>
      </c>
      <c r="M124" s="24"/>
    </row>
    <row r="125" ht="14.25" customHeight="1">
      <c r="A125" s="28"/>
      <c r="B125" s="27">
        <v>175.0</v>
      </c>
      <c r="C125" s="79">
        <v>5.0</v>
      </c>
      <c r="D125" s="46">
        <v>30.0</v>
      </c>
      <c r="E125" s="34"/>
      <c r="F125" s="27">
        <v>177.5</v>
      </c>
      <c r="G125" s="79">
        <v>5.0</v>
      </c>
      <c r="H125" s="28"/>
      <c r="I125" s="34"/>
      <c r="J125" s="27">
        <v>182.5</v>
      </c>
      <c r="K125" s="54">
        <v>5.0</v>
      </c>
      <c r="L125" s="46">
        <v>40.0</v>
      </c>
      <c r="M125" s="24"/>
    </row>
    <row r="126" ht="14.25" customHeight="1">
      <c r="A126" s="28"/>
      <c r="B126" s="28">
        <v>170.0</v>
      </c>
      <c r="C126" s="79">
        <v>5.0</v>
      </c>
      <c r="D126" s="46">
        <v>60.0</v>
      </c>
      <c r="E126" s="79"/>
      <c r="F126" s="28">
        <v>180.0</v>
      </c>
      <c r="G126" s="79">
        <v>5.0</v>
      </c>
      <c r="H126" s="28"/>
      <c r="I126" s="34"/>
      <c r="J126" s="28"/>
      <c r="K126" s="54"/>
      <c r="L126" s="46">
        <v>20.0</v>
      </c>
      <c r="M126" s="54"/>
    </row>
    <row r="127" ht="14.25" customHeight="1">
      <c r="A127" s="28"/>
      <c r="B127" s="13"/>
      <c r="C127" s="34"/>
      <c r="D127" s="21">
        <v>20.0</v>
      </c>
      <c r="E127" s="34"/>
      <c r="F127" s="13"/>
      <c r="G127" s="34"/>
      <c r="H127" s="28"/>
      <c r="I127" s="34"/>
      <c r="J127" s="13"/>
      <c r="K127" s="24"/>
      <c r="L127" s="21"/>
      <c r="M127" s="24"/>
    </row>
    <row r="128" ht="14.25" customHeight="1">
      <c r="A128" s="28"/>
      <c r="B128" s="13"/>
      <c r="C128" s="34"/>
      <c r="D128" s="28"/>
      <c r="E128" s="34"/>
      <c r="F128" s="13"/>
      <c r="G128" s="34"/>
      <c r="H128" s="28"/>
      <c r="I128" s="34"/>
      <c r="J128" s="13"/>
      <c r="K128" s="24"/>
      <c r="L128" s="28"/>
      <c r="M128" s="24"/>
    </row>
    <row r="129" ht="14.25" customHeight="1">
      <c r="A129" s="28"/>
      <c r="B129" s="35" t="s">
        <v>25</v>
      </c>
      <c r="C129" s="55">
        <f>C123*B123 + B124*C124 + B125*C125 + B126*C126 + B128*C128</f>
        <v>3400</v>
      </c>
      <c r="D129" s="35" t="s">
        <v>25</v>
      </c>
      <c r="E129" s="55">
        <f>E123*D123 + D124*E124 + D125*E125 + D126*E126 + D128*E128</f>
        <v>0</v>
      </c>
      <c r="F129" s="35" t="s">
        <v>25</v>
      </c>
      <c r="G129" s="55">
        <f>G123*F123 + F124*G124 + F125*G125 + F126*G126 + F128*G128</f>
        <v>3512.5</v>
      </c>
      <c r="H129" s="35" t="s">
        <v>25</v>
      </c>
      <c r="I129" s="56">
        <f>I123*H123 + H124*I124 + H125*I125 + H126*I126 + H128*I128</f>
        <v>0</v>
      </c>
      <c r="J129" s="35" t="s">
        <v>25</v>
      </c>
      <c r="K129" s="36">
        <f>K123*J123 + J124*K124 + J125*K125 + J126*K126 + J128*K128</f>
        <v>2675</v>
      </c>
      <c r="L129" s="35" t="s">
        <v>25</v>
      </c>
      <c r="M129" s="36">
        <f>M123*L123 + L124*M124 + L125*M125 + L126*M126 + L128*M128</f>
        <v>0</v>
      </c>
    </row>
    <row r="130" ht="14.25" customHeight="1">
      <c r="A130" s="28"/>
      <c r="B130" s="39" t="s">
        <v>26</v>
      </c>
      <c r="C130" s="77">
        <f>(B123*C123 + B124*C124 + B125*C125 + B126*C126 + B128*C128)/SUM(C123:C128)</f>
        <v>170</v>
      </c>
      <c r="D130" s="39" t="s">
        <v>26</v>
      </c>
      <c r="E130" s="77" t="str">
        <f>(D123*E123 + D124*E124 + D125*E125 + D126*E126 + D128*E128)/SUM(E123:E128)</f>
        <v>#DIV/0!</v>
      </c>
      <c r="F130" s="39" t="s">
        <v>26</v>
      </c>
      <c r="G130" s="77">
        <f>(F123*G123 + F124*G124 + F125*G125 + F126*G126 + F128*G128)/SUM(G123:G128)</f>
        <v>175.625</v>
      </c>
      <c r="H130" s="39" t="s">
        <v>26</v>
      </c>
      <c r="I130" s="77" t="str">
        <f>(H123*I123 + H124*I124 + H125*I125 + H126*I126 + H128*I128)/SUM(I123:I128)</f>
        <v>#DIV/0!</v>
      </c>
      <c r="J130" s="39" t="s">
        <v>26</v>
      </c>
      <c r="K130" s="40">
        <f>(J123*K123 + J124*K124 + J125*K125 + J126*K126 + J128*K128)/SUM(K123:K128)</f>
        <v>178.3333333</v>
      </c>
      <c r="L130" s="39" t="s">
        <v>26</v>
      </c>
      <c r="M130" s="40" t="str">
        <f>(L123*M123 + L124*M124 + L125*M125 + L126*M126 + L128*M128)/SUM(M123:M128)</f>
        <v>#DIV/0!</v>
      </c>
    </row>
    <row r="131" ht="14.25" customHeight="1">
      <c r="A131" s="13"/>
      <c r="B131" s="49" t="s">
        <v>461</v>
      </c>
      <c r="C131" s="146"/>
      <c r="D131" s="49" t="s">
        <v>249</v>
      </c>
      <c r="E131" s="146"/>
      <c r="F131" s="49" t="s">
        <v>245</v>
      </c>
      <c r="G131" s="146"/>
      <c r="H131" s="49" t="s">
        <v>33</v>
      </c>
      <c r="I131" s="146"/>
      <c r="J131" s="49" t="s">
        <v>461</v>
      </c>
      <c r="K131" s="146"/>
      <c r="L131" s="49" t="s">
        <v>105</v>
      </c>
      <c r="M131" s="118" t="s">
        <v>49</v>
      </c>
    </row>
    <row r="132" ht="14.25" customHeight="1">
      <c r="A132" s="13"/>
      <c r="B132" s="27" t="s">
        <v>235</v>
      </c>
      <c r="C132" s="79">
        <v>8.0</v>
      </c>
      <c r="D132" s="27"/>
      <c r="E132" s="79">
        <v>6.0</v>
      </c>
      <c r="F132" s="27">
        <v>40.0</v>
      </c>
      <c r="G132" s="79">
        <v>6.0</v>
      </c>
      <c r="H132" s="28"/>
      <c r="I132" s="34"/>
      <c r="J132" s="27" t="s">
        <v>235</v>
      </c>
      <c r="K132" s="54">
        <v>8.0</v>
      </c>
      <c r="L132" s="152"/>
      <c r="M132" s="24"/>
    </row>
    <row r="133" ht="14.25" customHeight="1">
      <c r="A133" s="28"/>
      <c r="B133" s="28" t="s">
        <v>235</v>
      </c>
      <c r="C133" s="79">
        <v>8.0</v>
      </c>
      <c r="D133" s="28"/>
      <c r="E133" s="79">
        <v>6.0</v>
      </c>
      <c r="F133" s="28">
        <v>50.0</v>
      </c>
      <c r="G133" s="79">
        <v>6.0</v>
      </c>
      <c r="H133" s="28"/>
      <c r="I133" s="34"/>
      <c r="J133" s="28" t="s">
        <v>235</v>
      </c>
      <c r="K133" s="54">
        <v>8.0</v>
      </c>
      <c r="L133" s="1"/>
      <c r="M133" s="54"/>
    </row>
    <row r="134" ht="14.25" customHeight="1">
      <c r="A134" s="28"/>
      <c r="B134" s="27" t="s">
        <v>235</v>
      </c>
      <c r="C134" s="79">
        <v>8.0</v>
      </c>
      <c r="D134" s="28"/>
      <c r="E134" s="79">
        <v>6.0</v>
      </c>
      <c r="F134" s="27">
        <v>60.0</v>
      </c>
      <c r="G134" s="79">
        <v>6.0</v>
      </c>
      <c r="H134" s="28"/>
      <c r="I134" s="34"/>
      <c r="J134" s="27" t="s">
        <v>235</v>
      </c>
      <c r="K134" s="54">
        <v>8.0</v>
      </c>
      <c r="L134" s="1"/>
      <c r="M134" s="24"/>
    </row>
    <row r="135" ht="14.25" customHeight="1">
      <c r="A135" s="37"/>
      <c r="B135" s="28"/>
      <c r="C135" s="79"/>
      <c r="D135" s="28"/>
      <c r="E135" s="79"/>
      <c r="F135" s="28"/>
      <c r="G135" s="34"/>
      <c r="H135" s="28"/>
      <c r="I135" s="34"/>
      <c r="J135" s="28"/>
      <c r="K135" s="54"/>
      <c r="L135" s="1"/>
      <c r="M135" s="24"/>
    </row>
    <row r="136" ht="14.25" customHeight="1">
      <c r="A136" s="13"/>
      <c r="B136" s="13"/>
      <c r="C136" s="34"/>
      <c r="D136" s="28"/>
      <c r="E136" s="34"/>
      <c r="F136" s="13"/>
      <c r="G136" s="34"/>
      <c r="H136" s="28"/>
      <c r="I136" s="34"/>
      <c r="J136" s="13"/>
      <c r="K136" s="24"/>
      <c r="L136" s="31"/>
      <c r="M136" s="24"/>
    </row>
    <row r="137" ht="14.25" customHeight="1">
      <c r="A137" s="13"/>
      <c r="B137" s="35" t="s">
        <v>25</v>
      </c>
      <c r="C137" s="55" t="str">
        <f>C132*B132 + B133*C133 + B134*C134 + B135*C135 + B136*C136</f>
        <v>#VALUE!</v>
      </c>
      <c r="D137" s="35" t="s">
        <v>25</v>
      </c>
      <c r="E137" s="55">
        <f>E132*D132 + D133*E133 + D134*E134 + D135*E135 + D136*E136</f>
        <v>0</v>
      </c>
      <c r="F137" s="35" t="s">
        <v>25</v>
      </c>
      <c r="G137" s="55">
        <f>G132*F132 + F133*G133 + F134*G134 + F135*G135 + F136*G136</f>
        <v>900</v>
      </c>
      <c r="H137" s="35" t="s">
        <v>25</v>
      </c>
      <c r="I137" s="56">
        <f>I132*H132 + H133*I133 + H134*I134 + H135*I135 + H136*I136</f>
        <v>0</v>
      </c>
      <c r="J137" s="35" t="s">
        <v>25</v>
      </c>
      <c r="K137" s="36" t="str">
        <f>K132*J132 + J133*K133 + J134*K134 + J135*K135 + J136*K136</f>
        <v>#VALUE!</v>
      </c>
      <c r="L137" s="57" t="s">
        <v>25</v>
      </c>
      <c r="M137" s="58">
        <f>M132*L132 + L133*M133 + L134*M134 + L135*M135 + L136*M136</f>
        <v>0</v>
      </c>
    </row>
    <row r="138" ht="14.25" customHeight="1">
      <c r="A138" s="13"/>
      <c r="B138" s="39" t="s">
        <v>26</v>
      </c>
      <c r="C138" s="40" t="str">
        <f>(B132*C132 + B133*C133 + B134*C134 + B135*C135 + B136*C136)/SUM(C132:C136)</f>
        <v>#VALUE!</v>
      </c>
      <c r="D138" s="59" t="s">
        <v>26</v>
      </c>
      <c r="E138" s="40">
        <f>(D132*E132 + D133*E133 + D134*E134 + D135*E135 + D136*E136)/SUM(E132:E136)</f>
        <v>0</v>
      </c>
      <c r="F138" s="31" t="s">
        <v>26</v>
      </c>
      <c r="G138" s="75">
        <f>(F132*G132 + F133*G133 + F134*G134 + F135*G135 + F136*G136)/SUM(G132:G136)</f>
        <v>50</v>
      </c>
      <c r="H138" s="59" t="s">
        <v>26</v>
      </c>
      <c r="I138" s="40" t="str">
        <f>(H132*I132 + H133*I133 + H134*I134 + H135*I135 + H136*I136)/SUM(I132:I136)</f>
        <v>#DIV/0!</v>
      </c>
      <c r="J138" s="39" t="s">
        <v>26</v>
      </c>
      <c r="K138" s="40" t="str">
        <f>(J132*K132 + J133*K133 + J134*K134 + J135*K135 + J136*K136)/SUM(K132:K136)</f>
        <v>#VALUE!</v>
      </c>
      <c r="L138" s="59" t="s">
        <v>26</v>
      </c>
      <c r="M138" s="40" t="str">
        <f>(L132*M132 + L133*M133 + L134*M134 + L135*M135 + L136*M136)/SUM(M132:M136)</f>
        <v>#DIV/0!</v>
      </c>
    </row>
    <row r="139" ht="14.25" customHeight="1">
      <c r="A139" s="28"/>
      <c r="B139" s="28" t="s">
        <v>91</v>
      </c>
      <c r="C139" s="30" t="s">
        <v>49</v>
      </c>
      <c r="D139" s="37"/>
      <c r="E139" s="30" t="s">
        <v>49</v>
      </c>
      <c r="F139" s="120" t="s">
        <v>88</v>
      </c>
      <c r="G139" s="121" t="s">
        <v>49</v>
      </c>
      <c r="H139" s="1"/>
      <c r="I139" s="30"/>
      <c r="J139" s="28" t="s">
        <v>88</v>
      </c>
      <c r="K139" s="60" t="s">
        <v>49</v>
      </c>
      <c r="L139" s="30"/>
      <c r="M139" s="60" t="s">
        <v>49</v>
      </c>
    </row>
    <row r="140" ht="14.25" customHeight="1">
      <c r="A140" s="37"/>
      <c r="B140" s="41" t="s">
        <v>440</v>
      </c>
      <c r="C140" s="30"/>
      <c r="D140" s="41" t="s">
        <v>440</v>
      </c>
      <c r="E140" s="63"/>
      <c r="F140" s="104"/>
      <c r="G140" s="63"/>
      <c r="H140" s="30"/>
      <c r="I140" s="30"/>
      <c r="J140" s="104"/>
      <c r="K140" s="60"/>
      <c r="L140" s="62"/>
      <c r="M140" s="60"/>
    </row>
    <row r="141" ht="14.25" customHeight="1">
      <c r="A141" s="37"/>
      <c r="B141" s="28" t="s">
        <v>462</v>
      </c>
      <c r="C141" s="30"/>
      <c r="D141" s="28" t="s">
        <v>463</v>
      </c>
      <c r="E141" s="30"/>
      <c r="F141" s="28"/>
      <c r="G141" s="60"/>
      <c r="H141" s="30"/>
      <c r="I141" s="30"/>
      <c r="J141" s="28"/>
      <c r="K141" s="60"/>
      <c r="L141" s="30"/>
      <c r="M141" s="60"/>
    </row>
    <row r="142" ht="14.25" customHeight="1">
      <c r="A142" s="37"/>
      <c r="B142" s="28" t="s">
        <v>442</v>
      </c>
      <c r="C142" s="30"/>
      <c r="D142" s="28" t="s">
        <v>459</v>
      </c>
      <c r="E142" s="1" t="s">
        <v>457</v>
      </c>
      <c r="F142" s="28"/>
      <c r="G142" s="60"/>
      <c r="H142" s="30"/>
      <c r="I142" s="30"/>
      <c r="J142" s="37"/>
      <c r="K142" s="60"/>
      <c r="L142" s="30"/>
      <c r="M142" s="60"/>
    </row>
    <row r="143" ht="14.25" customHeight="1">
      <c r="A143" s="37"/>
      <c r="B143" s="28" t="s">
        <v>460</v>
      </c>
      <c r="C143" s="1" t="s">
        <v>444</v>
      </c>
      <c r="D143" s="28" t="s">
        <v>460</v>
      </c>
      <c r="E143" s="1" t="s">
        <v>444</v>
      </c>
      <c r="F143" s="28"/>
      <c r="G143" s="60"/>
      <c r="H143" s="30"/>
      <c r="I143" s="30"/>
      <c r="J143" s="37"/>
      <c r="K143" s="60"/>
      <c r="L143" s="30"/>
      <c r="M143" s="60"/>
    </row>
    <row r="144" ht="14.25" customHeight="1">
      <c r="A144" s="37"/>
      <c r="B144" s="28" t="s">
        <v>445</v>
      </c>
      <c r="C144" s="1"/>
      <c r="D144" s="28"/>
      <c r="E144" s="1"/>
      <c r="F144" s="28"/>
      <c r="G144" s="60"/>
      <c r="H144" s="30"/>
      <c r="I144" s="30"/>
      <c r="J144" s="37"/>
      <c r="K144" s="60"/>
      <c r="L144" s="30"/>
      <c r="M144" s="60"/>
    </row>
    <row r="145" ht="14.25" customHeight="1">
      <c r="A145" s="64"/>
      <c r="B145" s="65"/>
      <c r="C145" s="66"/>
      <c r="D145" s="64"/>
      <c r="E145" s="66"/>
      <c r="F145" s="64"/>
      <c r="G145" s="67"/>
      <c r="H145" s="66"/>
      <c r="I145" s="66"/>
      <c r="J145" s="64"/>
      <c r="K145" s="67"/>
      <c r="L145" s="66"/>
      <c r="M145" s="67"/>
    </row>
    <row r="146" ht="14.25" customHeight="1">
      <c r="A146" s="30"/>
      <c r="B146" s="1"/>
      <c r="C146" s="1"/>
      <c r="D146" s="30"/>
      <c r="E146" s="30"/>
      <c r="F146" s="1"/>
      <c r="G146" s="30"/>
      <c r="H146" s="30"/>
      <c r="I146" s="30"/>
      <c r="J146" s="1"/>
      <c r="K146" s="30"/>
      <c r="L146" s="30"/>
      <c r="M146" s="30"/>
    </row>
    <row r="147" ht="14.25" customHeight="1">
      <c r="A147" s="2" t="s">
        <v>2</v>
      </c>
      <c r="B147" s="3" t="s">
        <v>3</v>
      </c>
      <c r="C147" s="4">
        <f>M111+2</f>
        <v>45180</v>
      </c>
      <c r="D147" s="5" t="s">
        <v>4</v>
      </c>
      <c r="E147" s="6">
        <f>C147+1</f>
        <v>45181</v>
      </c>
      <c r="F147" s="3" t="s">
        <v>5</v>
      </c>
      <c r="G147" s="6">
        <f>E147+1</f>
        <v>45182</v>
      </c>
      <c r="H147" s="3" t="s">
        <v>6</v>
      </c>
      <c r="I147" s="6">
        <f>G147+1</f>
        <v>45183</v>
      </c>
      <c r="J147" s="3" t="s">
        <v>7</v>
      </c>
      <c r="K147" s="6">
        <f>I147+1</f>
        <v>45184</v>
      </c>
      <c r="L147" s="7" t="s">
        <v>8</v>
      </c>
      <c r="M147" s="8">
        <f>K147+1</f>
        <v>45185</v>
      </c>
    </row>
    <row r="148" ht="14.25" customHeight="1">
      <c r="A148" s="10">
        <f>A112+1</f>
        <v>5</v>
      </c>
      <c r="B148" s="129" t="s">
        <v>421</v>
      </c>
      <c r="C148" s="130" t="s">
        <v>422</v>
      </c>
      <c r="D148" s="131" t="s">
        <v>421</v>
      </c>
      <c r="E148" s="131" t="s">
        <v>422</v>
      </c>
      <c r="F148" s="129" t="s">
        <v>421</v>
      </c>
      <c r="G148" s="131" t="s">
        <v>422</v>
      </c>
      <c r="H148" s="129" t="s">
        <v>421</v>
      </c>
      <c r="I148" s="131" t="s">
        <v>422</v>
      </c>
      <c r="J148" s="129" t="s">
        <v>421</v>
      </c>
      <c r="K148" s="130" t="s">
        <v>422</v>
      </c>
      <c r="L148" s="131" t="s">
        <v>421</v>
      </c>
      <c r="M148" s="130" t="s">
        <v>422</v>
      </c>
    </row>
    <row r="149" ht="14.25" customHeight="1">
      <c r="A149" s="13" t="s">
        <v>12</v>
      </c>
      <c r="B149" s="20" t="s">
        <v>424</v>
      </c>
      <c r="C149" s="17"/>
      <c r="D149" s="18" t="s">
        <v>14</v>
      </c>
      <c r="E149" s="18"/>
      <c r="F149" s="20" t="s">
        <v>424</v>
      </c>
      <c r="G149" s="18"/>
      <c r="H149" s="70" t="s">
        <v>446</v>
      </c>
      <c r="I149" s="18"/>
      <c r="J149" s="20" t="s">
        <v>229</v>
      </c>
      <c r="K149" s="17"/>
      <c r="L149" s="132" t="s">
        <v>14</v>
      </c>
      <c r="M149" s="17"/>
    </row>
    <row r="150" ht="14.25" customHeight="1">
      <c r="A150" s="13"/>
      <c r="B150" s="46">
        <v>60.0</v>
      </c>
      <c r="C150" s="133">
        <v>5.0</v>
      </c>
      <c r="D150" s="134" t="s">
        <v>426</v>
      </c>
      <c r="E150" s="135"/>
      <c r="F150" s="46">
        <v>62.5</v>
      </c>
      <c r="G150" s="136">
        <v>5.0</v>
      </c>
      <c r="H150" s="120" t="s">
        <v>15</v>
      </c>
      <c r="I150" s="137"/>
      <c r="J150" s="46">
        <v>50.0</v>
      </c>
      <c r="K150" s="133">
        <v>5.0</v>
      </c>
      <c r="L150" s="120" t="s">
        <v>290</v>
      </c>
      <c r="M150" s="138"/>
    </row>
    <row r="151" ht="14.25" customHeight="1">
      <c r="A151" s="13"/>
      <c r="B151" s="46">
        <v>62.5</v>
      </c>
      <c r="C151" s="48">
        <v>5.0</v>
      </c>
      <c r="D151" s="134" t="s">
        <v>427</v>
      </c>
      <c r="E151" s="134" t="s">
        <v>428</v>
      </c>
      <c r="F151" s="46">
        <v>65.0</v>
      </c>
      <c r="G151" s="139">
        <v>5.0</v>
      </c>
      <c r="H151" s="28"/>
      <c r="I151" s="79"/>
      <c r="J151" s="46">
        <v>55.0</v>
      </c>
      <c r="K151" s="48">
        <v>5.0</v>
      </c>
      <c r="L151" s="28"/>
      <c r="M151" s="24"/>
    </row>
    <row r="152" ht="14.25" customHeight="1">
      <c r="A152" s="29" t="s">
        <v>22</v>
      </c>
      <c r="B152" s="46">
        <v>65.0</v>
      </c>
      <c r="C152" s="48">
        <v>3.0</v>
      </c>
      <c r="E152" s="134"/>
      <c r="F152" s="46">
        <v>70.0</v>
      </c>
      <c r="G152" s="139">
        <v>3.0</v>
      </c>
      <c r="H152" s="28" t="s">
        <v>250</v>
      </c>
      <c r="I152" s="79"/>
      <c r="J152" s="46">
        <v>57.5</v>
      </c>
      <c r="K152" s="48">
        <v>3.0</v>
      </c>
      <c r="L152" s="28"/>
      <c r="M152" s="24"/>
    </row>
    <row r="153" ht="14.25" customHeight="1">
      <c r="A153" s="28" t="s">
        <v>23</v>
      </c>
      <c r="B153" s="46">
        <v>70.0</v>
      </c>
      <c r="C153" s="48">
        <v>3.0</v>
      </c>
      <c r="D153" s="33"/>
      <c r="E153" s="134"/>
      <c r="F153" s="46">
        <v>72.5</v>
      </c>
      <c r="G153" s="139">
        <v>3.0</v>
      </c>
      <c r="H153" s="13"/>
      <c r="I153" s="34"/>
      <c r="J153" s="46">
        <v>55.0</v>
      </c>
      <c r="K153" s="48">
        <v>3.0</v>
      </c>
      <c r="L153" s="28" t="s">
        <v>431</v>
      </c>
      <c r="M153" s="54" t="s">
        <v>458</v>
      </c>
    </row>
    <row r="154" ht="14.25" customHeight="1">
      <c r="A154" s="13"/>
      <c r="B154" s="13"/>
      <c r="C154" s="24"/>
      <c r="D154" s="73"/>
      <c r="E154" s="135"/>
      <c r="F154" s="13"/>
      <c r="G154" s="34"/>
      <c r="H154" s="13"/>
      <c r="I154" s="34"/>
      <c r="J154" s="13"/>
      <c r="K154" s="24"/>
      <c r="L154" s="28" t="s">
        <v>98</v>
      </c>
      <c r="M154" s="24"/>
    </row>
    <row r="155" ht="14.25" customHeight="1">
      <c r="A155" s="28" t="s">
        <v>433</v>
      </c>
      <c r="B155" s="35" t="s">
        <v>25</v>
      </c>
      <c r="C155" s="58">
        <f>C150*B150 + B151*C151 + B152*C152 + B153*C153 + B154*C154</f>
        <v>1017.5</v>
      </c>
      <c r="D155" s="57" t="s">
        <v>25</v>
      </c>
      <c r="E155" s="55" t="str">
        <f>E150*D150 + D151*#REF! + E151*E152 + D153*E153 + D154*E154</f>
        <v>#VALUE!</v>
      </c>
      <c r="F155" s="35" t="s">
        <v>25</v>
      </c>
      <c r="G155" s="56">
        <f>G150*F150 + F151*G151 + F152*G152 + F153*G153 + F154*G154</f>
        <v>1065</v>
      </c>
      <c r="H155" s="35" t="s">
        <v>25</v>
      </c>
      <c r="I155" s="56" t="str">
        <f>I150*H150 + H151*I151 + H152*I152 + H153*I153 + H154*I154</f>
        <v>#VALUE!</v>
      </c>
      <c r="J155" s="35" t="s">
        <v>25</v>
      </c>
      <c r="K155" s="58">
        <f>K150*J150 + J151*K151 + J152*K152 + J153*K153 + J154*K154</f>
        <v>862.5</v>
      </c>
      <c r="L155" s="35" t="s">
        <v>25</v>
      </c>
      <c r="M155" s="36" t="str">
        <f>M150*L150 + L151*M151 + L152*M152 + L153*M153 + L154*M154</f>
        <v>#VALUE!</v>
      </c>
    </row>
    <row r="156" ht="14.25" customHeight="1">
      <c r="A156" s="37"/>
      <c r="B156" s="39" t="s">
        <v>26</v>
      </c>
      <c r="C156" s="116">
        <f>(B150*C150 + B151*C151 + B152*C152 + B153*C153 + B154*C154)/SUM(C150:C154)</f>
        <v>63.59375</v>
      </c>
      <c r="D156" s="31" t="s">
        <v>26</v>
      </c>
      <c r="E156" s="74" t="str">
        <f>(D150*E150 + D151*#REF! + E151*E152 + D153*E153 + D154*E154)/SUM(E150:E154)</f>
        <v>#VALUE!</v>
      </c>
      <c r="F156" s="13" t="s">
        <v>26</v>
      </c>
      <c r="G156" s="117">
        <f>(F150*G150 + F151*G151 + F152*G152 + F153*G153 + F154*G154)/SUM(G150:G154)</f>
        <v>66.5625</v>
      </c>
      <c r="H156" s="13" t="s">
        <v>26</v>
      </c>
      <c r="I156" s="74" t="str">
        <f>(H150*I150 + H151*I151 + H152*I152 + H153*I153 + H154*I154)/SUM(I150:I154)</f>
        <v>#VALUE!</v>
      </c>
      <c r="J156" s="39" t="s">
        <v>26</v>
      </c>
      <c r="K156" s="116">
        <f>(J150*K150 + J151*K151 + J152*K152 + J153*K153 + J154*K154)/SUM(K150:K154)</f>
        <v>53.90625</v>
      </c>
      <c r="L156" s="13" t="s">
        <v>26</v>
      </c>
      <c r="M156" s="75" t="str">
        <f>(L150*M150 + L151*M151 + L152*M152 + L153*M153 + L154*M154)/SUM(M150:M154)</f>
        <v>#VALUE!</v>
      </c>
    </row>
    <row r="157" ht="14.25" customHeight="1">
      <c r="A157" s="28"/>
      <c r="B157" s="140" t="s">
        <v>421</v>
      </c>
      <c r="C157" s="141" t="s">
        <v>422</v>
      </c>
      <c r="D157" s="142" t="s">
        <v>421</v>
      </c>
      <c r="E157" s="143" t="s">
        <v>422</v>
      </c>
      <c r="F157" s="142" t="s">
        <v>421</v>
      </c>
      <c r="G157" s="143" t="s">
        <v>422</v>
      </c>
      <c r="H157" s="142" t="s">
        <v>421</v>
      </c>
      <c r="I157" s="143" t="s">
        <v>422</v>
      </c>
      <c r="J157" s="140" t="s">
        <v>421</v>
      </c>
      <c r="K157" s="144" t="s">
        <v>422</v>
      </c>
      <c r="L157" s="142" t="s">
        <v>421</v>
      </c>
      <c r="M157" s="145" t="s">
        <v>422</v>
      </c>
    </row>
    <row r="158" ht="14.25" customHeight="1">
      <c r="A158" s="41"/>
      <c r="B158" s="49" t="s">
        <v>304</v>
      </c>
      <c r="C158" s="146"/>
      <c r="D158" s="49" t="s">
        <v>91</v>
      </c>
      <c r="E158" s="147" t="s">
        <v>49</v>
      </c>
      <c r="F158" s="49" t="s">
        <v>304</v>
      </c>
      <c r="G158" s="146"/>
      <c r="H158" s="148" t="s">
        <v>91</v>
      </c>
      <c r="I158" s="147" t="s">
        <v>90</v>
      </c>
      <c r="J158" s="49" t="s">
        <v>304</v>
      </c>
      <c r="K158" s="125"/>
      <c r="L158" s="49" t="s">
        <v>91</v>
      </c>
      <c r="M158" s="118" t="s">
        <v>90</v>
      </c>
    </row>
    <row r="159" ht="14.25" customHeight="1">
      <c r="A159" s="41"/>
      <c r="B159" s="27">
        <v>175.0</v>
      </c>
      <c r="C159" s="79">
        <v>5.0</v>
      </c>
      <c r="D159" s="46">
        <v>20.0</v>
      </c>
      <c r="E159" s="34"/>
      <c r="F159" s="27">
        <v>177.5</v>
      </c>
      <c r="G159" s="79">
        <v>5.0</v>
      </c>
      <c r="H159" s="28"/>
      <c r="I159" s="34"/>
      <c r="J159" s="27">
        <v>180.0</v>
      </c>
      <c r="K159" s="54">
        <v>5.0</v>
      </c>
      <c r="L159" s="46">
        <v>40.0</v>
      </c>
      <c r="M159" s="54"/>
    </row>
    <row r="160" ht="14.25" customHeight="1">
      <c r="A160" s="28"/>
      <c r="B160" s="28">
        <v>180.0</v>
      </c>
      <c r="C160" s="79">
        <v>5.0</v>
      </c>
      <c r="D160" s="46">
        <v>30.0</v>
      </c>
      <c r="E160" s="79"/>
      <c r="F160" s="28">
        <v>182.5</v>
      </c>
      <c r="G160" s="79">
        <v>5.0</v>
      </c>
      <c r="H160" s="28"/>
      <c r="I160" s="34"/>
      <c r="J160" s="28">
        <v>185.0</v>
      </c>
      <c r="K160" s="54">
        <v>5.0</v>
      </c>
      <c r="L160" s="46">
        <v>20.0</v>
      </c>
      <c r="M160" s="24"/>
    </row>
    <row r="161" ht="14.25" customHeight="1">
      <c r="A161" s="28"/>
      <c r="B161" s="27">
        <v>182.5</v>
      </c>
      <c r="C161" s="79">
        <v>5.0</v>
      </c>
      <c r="D161" s="46">
        <v>40.0</v>
      </c>
      <c r="E161" s="34"/>
      <c r="F161" s="27">
        <v>185.0</v>
      </c>
      <c r="G161" s="79">
        <v>5.0</v>
      </c>
      <c r="H161" s="28"/>
      <c r="I161" s="34"/>
      <c r="J161" s="27">
        <v>187.5</v>
      </c>
      <c r="K161" s="54">
        <v>5.0</v>
      </c>
      <c r="L161" s="46">
        <v>40.0</v>
      </c>
      <c r="M161" s="24"/>
    </row>
    <row r="162" ht="14.25" customHeight="1">
      <c r="A162" s="28"/>
      <c r="B162" s="28">
        <v>185.0</v>
      </c>
      <c r="C162" s="79">
        <v>5.0</v>
      </c>
      <c r="D162" s="46">
        <v>60.0</v>
      </c>
      <c r="E162" s="79"/>
      <c r="F162" s="28">
        <v>187.5</v>
      </c>
      <c r="G162" s="79">
        <v>5.0</v>
      </c>
      <c r="H162" s="28"/>
      <c r="I162" s="34"/>
      <c r="J162" s="28"/>
      <c r="K162" s="54"/>
      <c r="L162" s="46">
        <v>30.0</v>
      </c>
      <c r="M162" s="54"/>
    </row>
    <row r="163" ht="14.25" customHeight="1">
      <c r="A163" s="28"/>
      <c r="B163" s="13"/>
      <c r="C163" s="34"/>
      <c r="D163" s="46">
        <v>30.0</v>
      </c>
      <c r="E163" s="34"/>
      <c r="F163" s="13"/>
      <c r="G163" s="34"/>
      <c r="H163" s="28"/>
      <c r="I163" s="34"/>
      <c r="J163" s="13"/>
      <c r="K163" s="24"/>
      <c r="L163" s="46">
        <v>20.0</v>
      </c>
      <c r="M163" s="24"/>
    </row>
    <row r="164" ht="14.25" customHeight="1">
      <c r="A164" s="28"/>
      <c r="B164" s="13"/>
      <c r="C164" s="34"/>
      <c r="D164" s="28"/>
      <c r="E164" s="34"/>
      <c r="F164" s="13"/>
      <c r="G164" s="34"/>
      <c r="H164" s="28"/>
      <c r="I164" s="34"/>
      <c r="J164" s="13"/>
      <c r="K164" s="24"/>
      <c r="L164" s="28"/>
      <c r="M164" s="24"/>
    </row>
    <row r="165" ht="14.25" customHeight="1">
      <c r="A165" s="28"/>
      <c r="B165" s="35" t="s">
        <v>25</v>
      </c>
      <c r="C165" s="55">
        <f>C159*B159 + B160*C160 + B161*C161 + B162*C162 + B164*C164</f>
        <v>3612.5</v>
      </c>
      <c r="D165" s="35" t="s">
        <v>25</v>
      </c>
      <c r="E165" s="55">
        <f>E159*D159 + D160*E160 + D161*E161 + D162*E162 + D164*E164</f>
        <v>0</v>
      </c>
      <c r="F165" s="35" t="s">
        <v>25</v>
      </c>
      <c r="G165" s="55">
        <f>G159*F159 + F160*G160 + F161*G161 + F162*G162 + F164*G164</f>
        <v>3662.5</v>
      </c>
      <c r="H165" s="35" t="s">
        <v>25</v>
      </c>
      <c r="I165" s="56">
        <f>I159*H159 + H160*I160 + H161*I161 + H162*I162 + H164*I164</f>
        <v>0</v>
      </c>
      <c r="J165" s="35" t="s">
        <v>25</v>
      </c>
      <c r="K165" s="36">
        <f>K159*J159 + J160*K160 + J161*K161 + J162*K162 + J164*K164</f>
        <v>2762.5</v>
      </c>
      <c r="L165" s="35" t="s">
        <v>25</v>
      </c>
      <c r="M165" s="36">
        <f>M159*L159 + L160*M160 + L161*M161 + L162*M162 + L164*M164</f>
        <v>0</v>
      </c>
    </row>
    <row r="166" ht="14.25" customHeight="1">
      <c r="A166" s="28"/>
      <c r="B166" s="39" t="s">
        <v>26</v>
      </c>
      <c r="C166" s="77">
        <f>(B159*C159 + B160*C160 + B161*C161 + B162*C162 + B164*C164)/SUM(C159:C164)</f>
        <v>180.625</v>
      </c>
      <c r="D166" s="39" t="s">
        <v>26</v>
      </c>
      <c r="E166" s="77" t="str">
        <f>(D159*E159 + D160*E160 + D161*E161 + D162*E162 + D164*E164)/SUM(E159:E164)</f>
        <v>#DIV/0!</v>
      </c>
      <c r="F166" s="39" t="s">
        <v>26</v>
      </c>
      <c r="G166" s="77">
        <f>(F159*G159 + F160*G160 + F161*G161 + F162*G162 + F164*G164)/SUM(G159:G164)</f>
        <v>183.125</v>
      </c>
      <c r="H166" s="39" t="s">
        <v>26</v>
      </c>
      <c r="I166" s="77" t="str">
        <f>(H159*I159 + H160*I160 + H161*I161 + H162*I162 + H164*I164)/SUM(I159:I164)</f>
        <v>#DIV/0!</v>
      </c>
      <c r="J166" s="39" t="s">
        <v>26</v>
      </c>
      <c r="K166" s="40">
        <f>(J159*K159 + J160*K160 + J161*K161 + J162*K162 + J164*K164)/SUM(K159:K164)</f>
        <v>184.1666667</v>
      </c>
      <c r="L166" s="39" t="s">
        <v>26</v>
      </c>
      <c r="M166" s="40" t="str">
        <f>(L159*M159 + L160*M160 + L161*M161 + L162*M162 + L164*M164)/SUM(M159:M164)</f>
        <v>#DIV/0!</v>
      </c>
    </row>
    <row r="167" ht="14.25" customHeight="1">
      <c r="A167" s="13"/>
      <c r="B167" s="49" t="s">
        <v>461</v>
      </c>
      <c r="C167" s="146"/>
      <c r="D167" s="49" t="s">
        <v>249</v>
      </c>
      <c r="E167" s="146"/>
      <c r="F167" s="49" t="s">
        <v>245</v>
      </c>
      <c r="G167" s="146"/>
      <c r="H167" s="49" t="s">
        <v>33</v>
      </c>
      <c r="I167" s="146"/>
      <c r="J167" s="49" t="s">
        <v>461</v>
      </c>
      <c r="K167" s="146"/>
      <c r="L167" s="49" t="s">
        <v>105</v>
      </c>
      <c r="M167" s="118" t="s">
        <v>49</v>
      </c>
    </row>
    <row r="168" ht="14.25" customHeight="1">
      <c r="A168" s="13"/>
      <c r="B168" s="27" t="s">
        <v>235</v>
      </c>
      <c r="C168" s="79">
        <v>8.0</v>
      </c>
      <c r="D168" s="27"/>
      <c r="E168" s="79">
        <v>6.0</v>
      </c>
      <c r="F168" s="27">
        <v>45.0</v>
      </c>
      <c r="G168" s="79">
        <v>6.0</v>
      </c>
      <c r="H168" s="28"/>
      <c r="I168" s="34"/>
      <c r="J168" s="27" t="s">
        <v>235</v>
      </c>
      <c r="K168" s="54">
        <v>8.0</v>
      </c>
      <c r="L168" s="152"/>
      <c r="M168" s="24"/>
    </row>
    <row r="169" ht="14.25" customHeight="1">
      <c r="A169" s="28"/>
      <c r="B169" s="28" t="s">
        <v>235</v>
      </c>
      <c r="C169" s="79">
        <v>8.0</v>
      </c>
      <c r="D169" s="28"/>
      <c r="E169" s="79">
        <v>6.0</v>
      </c>
      <c r="F169" s="28">
        <v>50.0</v>
      </c>
      <c r="G169" s="79">
        <v>6.0</v>
      </c>
      <c r="H169" s="28"/>
      <c r="I169" s="34"/>
      <c r="J169" s="28" t="s">
        <v>235</v>
      </c>
      <c r="K169" s="54">
        <v>8.0</v>
      </c>
      <c r="L169" s="1"/>
      <c r="M169" s="54"/>
    </row>
    <row r="170" ht="14.25" customHeight="1">
      <c r="A170" s="28"/>
      <c r="B170" s="27" t="s">
        <v>235</v>
      </c>
      <c r="C170" s="79">
        <v>8.0</v>
      </c>
      <c r="D170" s="28"/>
      <c r="E170" s="79">
        <v>6.0</v>
      </c>
      <c r="F170" s="27">
        <v>60.0</v>
      </c>
      <c r="G170" s="79">
        <v>6.0</v>
      </c>
      <c r="H170" s="28"/>
      <c r="I170" s="34"/>
      <c r="J170" s="27" t="s">
        <v>235</v>
      </c>
      <c r="K170" s="54">
        <v>8.0</v>
      </c>
      <c r="L170" s="1"/>
      <c r="M170" s="24"/>
    </row>
    <row r="171" ht="14.25" customHeight="1">
      <c r="A171" s="37"/>
      <c r="B171" s="28"/>
      <c r="C171" s="79"/>
      <c r="D171" s="28"/>
      <c r="E171" s="79"/>
      <c r="F171" s="28"/>
      <c r="G171" s="34"/>
      <c r="H171" s="28"/>
      <c r="I171" s="34"/>
      <c r="J171" s="28"/>
      <c r="K171" s="54"/>
      <c r="L171" s="1"/>
      <c r="M171" s="24"/>
    </row>
    <row r="172" ht="14.25" customHeight="1">
      <c r="A172" s="13"/>
      <c r="B172" s="13"/>
      <c r="C172" s="34"/>
      <c r="D172" s="28"/>
      <c r="E172" s="34"/>
      <c r="F172" s="13"/>
      <c r="G172" s="34"/>
      <c r="H172" s="28"/>
      <c r="I172" s="34"/>
      <c r="J172" s="13"/>
      <c r="K172" s="24"/>
      <c r="L172" s="31"/>
      <c r="M172" s="24"/>
    </row>
    <row r="173" ht="14.25" customHeight="1">
      <c r="A173" s="13"/>
      <c r="B173" s="35" t="s">
        <v>25</v>
      </c>
      <c r="C173" s="55" t="str">
        <f>C168*B168 + B169*C169 + B170*C170 + B171*C171 + B172*C172</f>
        <v>#VALUE!</v>
      </c>
      <c r="D173" s="35" t="s">
        <v>25</v>
      </c>
      <c r="E173" s="55">
        <f>E168*D168 + D169*E169 + D170*E170 + D171*E171 + D172*E172</f>
        <v>0</v>
      </c>
      <c r="F173" s="35" t="s">
        <v>25</v>
      </c>
      <c r="G173" s="55">
        <f>G168*F168 + F169*G169 + F170*G170 + F171*G171 + F172*G172</f>
        <v>930</v>
      </c>
      <c r="H173" s="35" t="s">
        <v>25</v>
      </c>
      <c r="I173" s="56">
        <f>I168*H168 + H169*I169 + H170*I170 + H171*I171 + H172*I172</f>
        <v>0</v>
      </c>
      <c r="J173" s="35" t="s">
        <v>25</v>
      </c>
      <c r="K173" s="36" t="str">
        <f>K168*J168 + J169*K169 + J170*K170 + J171*K171 + J172*K172</f>
        <v>#VALUE!</v>
      </c>
      <c r="L173" s="57" t="s">
        <v>25</v>
      </c>
      <c r="M173" s="58">
        <f>M168*L168 + L169*M169 + L170*M170 + L171*M171 + L172*M172</f>
        <v>0</v>
      </c>
    </row>
    <row r="174" ht="14.25" customHeight="1">
      <c r="A174" s="13"/>
      <c r="B174" s="39" t="s">
        <v>26</v>
      </c>
      <c r="C174" s="40" t="str">
        <f>(B168*C168 + B169*C169 + B170*C170 + B171*C171 + B172*C172)/SUM(C168:C172)</f>
        <v>#VALUE!</v>
      </c>
      <c r="D174" s="59" t="s">
        <v>26</v>
      </c>
      <c r="E174" s="40">
        <f>(D168*E168 + D169*E169 + D170*E170 + D171*E171 + D172*E172)/SUM(E168:E172)</f>
        <v>0</v>
      </c>
      <c r="F174" s="31" t="s">
        <v>26</v>
      </c>
      <c r="G174" s="75">
        <f>(F168*G168 + F169*G169 + F170*G170 + F171*G171 + F172*G172)/SUM(G168:G172)</f>
        <v>51.66666667</v>
      </c>
      <c r="H174" s="59" t="s">
        <v>26</v>
      </c>
      <c r="I174" s="40" t="str">
        <f>(H168*I168 + H169*I169 + H170*I170 + H171*I171 + H172*I172)/SUM(I168:I172)</f>
        <v>#DIV/0!</v>
      </c>
      <c r="J174" s="39" t="s">
        <v>26</v>
      </c>
      <c r="K174" s="40" t="str">
        <f>(J168*K168 + J169*K169 + J170*K170 + J171*K171 + J172*K172)/SUM(K168:K172)</f>
        <v>#VALUE!</v>
      </c>
      <c r="L174" s="59" t="s">
        <v>26</v>
      </c>
      <c r="M174" s="40" t="str">
        <f>(L168*M168 + L169*M169 + L170*M170 + L171*M171 + L172*M172)/SUM(M168:M172)</f>
        <v>#DIV/0!</v>
      </c>
    </row>
    <row r="175" ht="14.25" customHeight="1">
      <c r="A175" s="28"/>
      <c r="B175" s="28" t="s">
        <v>91</v>
      </c>
      <c r="C175" s="30" t="s">
        <v>49</v>
      </c>
      <c r="D175" s="37"/>
      <c r="E175" s="30" t="s">
        <v>49</v>
      </c>
      <c r="F175" s="120" t="s">
        <v>88</v>
      </c>
      <c r="G175" s="121" t="s">
        <v>49</v>
      </c>
      <c r="H175" s="1"/>
      <c r="I175" s="30"/>
      <c r="J175" s="28" t="s">
        <v>88</v>
      </c>
      <c r="K175" s="60" t="s">
        <v>49</v>
      </c>
      <c r="L175" s="30"/>
      <c r="M175" s="60" t="s">
        <v>49</v>
      </c>
    </row>
    <row r="176" ht="14.25" customHeight="1">
      <c r="A176" s="37"/>
      <c r="B176" s="41" t="s">
        <v>440</v>
      </c>
      <c r="C176" s="30"/>
      <c r="D176" s="41" t="s">
        <v>440</v>
      </c>
      <c r="E176" s="63"/>
      <c r="F176" s="104"/>
      <c r="G176" s="63"/>
      <c r="H176" s="30"/>
      <c r="I176" s="30"/>
      <c r="J176" s="104"/>
      <c r="K176" s="60"/>
      <c r="L176" s="62"/>
      <c r="M176" s="60"/>
    </row>
    <row r="177" ht="14.25" customHeight="1">
      <c r="A177" s="37"/>
      <c r="B177" s="28" t="s">
        <v>462</v>
      </c>
      <c r="C177" s="30"/>
      <c r="D177" s="28" t="s">
        <v>463</v>
      </c>
      <c r="E177" s="30"/>
      <c r="F177" s="28"/>
      <c r="G177" s="60"/>
      <c r="H177" s="30"/>
      <c r="I177" s="30"/>
      <c r="J177" s="28"/>
      <c r="K177" s="60"/>
      <c r="L177" s="30"/>
      <c r="M177" s="60"/>
    </row>
    <row r="178" ht="14.25" customHeight="1">
      <c r="A178" s="37"/>
      <c r="B178" s="28" t="s">
        <v>442</v>
      </c>
      <c r="C178" s="30"/>
      <c r="D178" s="28" t="s">
        <v>459</v>
      </c>
      <c r="E178" s="1" t="s">
        <v>457</v>
      </c>
      <c r="F178" s="28"/>
      <c r="G178" s="60"/>
      <c r="H178" s="30"/>
      <c r="I178" s="30"/>
      <c r="J178" s="37"/>
      <c r="K178" s="60"/>
      <c r="L178" s="30"/>
      <c r="M178" s="60"/>
    </row>
    <row r="179" ht="14.25" customHeight="1">
      <c r="A179" s="37"/>
      <c r="B179" s="28" t="s">
        <v>460</v>
      </c>
      <c r="C179" s="1" t="s">
        <v>444</v>
      </c>
      <c r="D179" s="28" t="s">
        <v>460</v>
      </c>
      <c r="E179" s="1" t="s">
        <v>444</v>
      </c>
      <c r="F179" s="28"/>
      <c r="G179" s="60"/>
      <c r="H179" s="30"/>
      <c r="I179" s="30"/>
      <c r="J179" s="37"/>
      <c r="K179" s="60"/>
      <c r="L179" s="30"/>
      <c r="M179" s="60"/>
    </row>
    <row r="180" ht="14.25" customHeight="1">
      <c r="A180" s="37"/>
      <c r="B180" s="28" t="s">
        <v>445</v>
      </c>
      <c r="C180" s="1"/>
      <c r="D180" s="28"/>
      <c r="E180" s="1"/>
      <c r="F180" s="28"/>
      <c r="G180" s="60"/>
      <c r="H180" s="30"/>
      <c r="I180" s="30"/>
      <c r="J180" s="37"/>
      <c r="K180" s="60"/>
      <c r="L180" s="30"/>
      <c r="M180" s="60"/>
    </row>
    <row r="181" ht="14.25" customHeight="1">
      <c r="A181" s="64"/>
      <c r="B181" s="65"/>
      <c r="C181" s="66"/>
      <c r="D181" s="64"/>
      <c r="E181" s="66"/>
      <c r="F181" s="64"/>
      <c r="G181" s="67"/>
      <c r="H181" s="66"/>
      <c r="I181" s="66"/>
      <c r="J181" s="64"/>
      <c r="K181" s="67"/>
      <c r="L181" s="66"/>
      <c r="M181" s="67"/>
    </row>
    <row r="182" ht="14.25" customHeight="1">
      <c r="A182" s="30"/>
      <c r="B182" s="1"/>
      <c r="C182" s="1"/>
      <c r="D182" s="30"/>
      <c r="E182" s="30"/>
      <c r="F182" s="1"/>
      <c r="G182" s="30"/>
      <c r="H182" s="30"/>
      <c r="I182" s="30"/>
      <c r="J182" s="1"/>
      <c r="K182" s="30"/>
      <c r="L182" s="30"/>
      <c r="M182" s="30"/>
    </row>
    <row r="183" ht="14.25" customHeight="1">
      <c r="A183" s="2" t="s">
        <v>2</v>
      </c>
      <c r="B183" s="3" t="s">
        <v>3</v>
      </c>
      <c r="C183" s="4">
        <f>M147+2</f>
        <v>45187</v>
      </c>
      <c r="D183" s="5" t="s">
        <v>4</v>
      </c>
      <c r="E183" s="6">
        <f>C183+1</f>
        <v>45188</v>
      </c>
      <c r="F183" s="3" t="s">
        <v>5</v>
      </c>
      <c r="G183" s="6">
        <f>E183+1</f>
        <v>45189</v>
      </c>
      <c r="H183" s="3" t="s">
        <v>6</v>
      </c>
      <c r="I183" s="6">
        <f>G183+1</f>
        <v>45190</v>
      </c>
      <c r="J183" s="3" t="s">
        <v>7</v>
      </c>
      <c r="K183" s="6">
        <f>I183+1</f>
        <v>45191</v>
      </c>
      <c r="L183" s="7" t="s">
        <v>8</v>
      </c>
      <c r="M183" s="8">
        <f>K183+1</f>
        <v>45192</v>
      </c>
    </row>
    <row r="184" ht="14.25" customHeight="1">
      <c r="A184" s="10">
        <f>A148+1</f>
        <v>6</v>
      </c>
      <c r="B184" s="129" t="s">
        <v>421</v>
      </c>
      <c r="C184" s="130" t="s">
        <v>422</v>
      </c>
      <c r="D184" s="131" t="s">
        <v>421</v>
      </c>
      <c r="E184" s="131" t="s">
        <v>422</v>
      </c>
      <c r="F184" s="129" t="s">
        <v>421</v>
      </c>
      <c r="G184" s="131" t="s">
        <v>422</v>
      </c>
      <c r="H184" s="129" t="s">
        <v>421</v>
      </c>
      <c r="I184" s="131" t="s">
        <v>422</v>
      </c>
      <c r="J184" s="129" t="s">
        <v>421</v>
      </c>
      <c r="K184" s="130" t="s">
        <v>422</v>
      </c>
      <c r="L184" s="131" t="s">
        <v>421</v>
      </c>
      <c r="M184" s="130" t="s">
        <v>422</v>
      </c>
    </row>
    <row r="185" ht="14.25" customHeight="1">
      <c r="A185" s="13" t="s">
        <v>12</v>
      </c>
      <c r="B185" s="20" t="s">
        <v>464</v>
      </c>
      <c r="C185" s="76" t="s">
        <v>465</v>
      </c>
      <c r="D185" s="18" t="s">
        <v>14</v>
      </c>
      <c r="E185" s="18"/>
      <c r="F185" s="20" t="s">
        <v>229</v>
      </c>
      <c r="G185" s="17"/>
      <c r="H185" s="70" t="s">
        <v>446</v>
      </c>
      <c r="I185" s="18"/>
      <c r="J185" s="20" t="s">
        <v>464</v>
      </c>
      <c r="K185" s="76" t="s">
        <v>465</v>
      </c>
      <c r="L185" s="132" t="s">
        <v>14</v>
      </c>
      <c r="M185" s="17"/>
    </row>
    <row r="186" ht="14.25" customHeight="1">
      <c r="A186" s="13"/>
      <c r="B186" s="46">
        <v>60.0</v>
      </c>
      <c r="C186" s="133">
        <v>6.0</v>
      </c>
      <c r="D186" s="134" t="s">
        <v>426</v>
      </c>
      <c r="E186" s="134" t="s">
        <v>466</v>
      </c>
      <c r="F186" s="46">
        <v>55.0</v>
      </c>
      <c r="G186" s="133">
        <v>5.0</v>
      </c>
      <c r="H186" s="120" t="s">
        <v>15</v>
      </c>
      <c r="I186" s="137"/>
      <c r="J186" s="46">
        <v>70.0</v>
      </c>
      <c r="K186" s="133">
        <v>6.0</v>
      </c>
      <c r="L186" s="120" t="s">
        <v>290</v>
      </c>
      <c r="M186" s="138"/>
    </row>
    <row r="187" ht="14.25" customHeight="1">
      <c r="A187" s="13"/>
      <c r="B187" s="46">
        <v>70.0</v>
      </c>
      <c r="C187" s="48">
        <v>6.0</v>
      </c>
      <c r="D187" s="134" t="s">
        <v>427</v>
      </c>
      <c r="E187" s="134" t="s">
        <v>428</v>
      </c>
      <c r="F187" s="46">
        <v>60.0</v>
      </c>
      <c r="G187" s="48">
        <v>5.0</v>
      </c>
      <c r="H187" s="28"/>
      <c r="I187" s="79"/>
      <c r="J187" s="46">
        <v>80.0</v>
      </c>
      <c r="K187" s="48">
        <v>6.0</v>
      </c>
      <c r="L187" s="28"/>
      <c r="M187" s="24"/>
    </row>
    <row r="188" ht="14.25" customHeight="1">
      <c r="A188" s="29" t="s">
        <v>22</v>
      </c>
      <c r="B188" s="46">
        <v>75.0</v>
      </c>
      <c r="C188" s="48">
        <v>6.0</v>
      </c>
      <c r="D188" s="123" t="s">
        <v>467</v>
      </c>
      <c r="E188" s="134"/>
      <c r="F188" s="46">
        <v>62.5</v>
      </c>
      <c r="G188" s="48">
        <v>3.0</v>
      </c>
      <c r="H188" s="28" t="s">
        <v>250</v>
      </c>
      <c r="I188" s="79"/>
      <c r="J188" s="46">
        <v>85.0</v>
      </c>
      <c r="K188" s="48">
        <v>6.0</v>
      </c>
      <c r="L188" s="28"/>
      <c r="M188" s="24"/>
    </row>
    <row r="189" ht="14.25" customHeight="1">
      <c r="A189" s="28" t="s">
        <v>23</v>
      </c>
      <c r="B189" s="46">
        <v>80.0</v>
      </c>
      <c r="C189" s="48">
        <v>6.0</v>
      </c>
      <c r="D189" s="33" t="s">
        <v>468</v>
      </c>
      <c r="E189" s="134"/>
      <c r="F189" s="46">
        <v>65.0</v>
      </c>
      <c r="G189" s="48">
        <v>3.0</v>
      </c>
      <c r="H189" s="13"/>
      <c r="I189" s="34"/>
      <c r="J189" s="46">
        <v>90.0</v>
      </c>
      <c r="K189" s="48">
        <v>6.0</v>
      </c>
      <c r="L189" s="28" t="s">
        <v>431</v>
      </c>
      <c r="M189" s="54" t="s">
        <v>458</v>
      </c>
    </row>
    <row r="190" ht="14.25" customHeight="1">
      <c r="A190" s="13"/>
      <c r="B190" s="13"/>
      <c r="C190" s="24"/>
      <c r="D190" s="73"/>
      <c r="E190" s="135"/>
      <c r="F190" s="13"/>
      <c r="G190" s="34"/>
      <c r="H190" s="13"/>
      <c r="I190" s="34"/>
      <c r="J190" s="13"/>
      <c r="K190" s="24"/>
      <c r="L190" s="28" t="s">
        <v>98</v>
      </c>
      <c r="M190" s="24"/>
    </row>
    <row r="191" ht="14.25" customHeight="1">
      <c r="A191" s="28" t="s">
        <v>433</v>
      </c>
      <c r="B191" s="35" t="s">
        <v>25</v>
      </c>
      <c r="C191" s="58">
        <f>C186*B186 + B187*C187 + B188*C188 + B189*C189 + B190*C190</f>
        <v>1710</v>
      </c>
      <c r="D191" s="57" t="s">
        <v>25</v>
      </c>
      <c r="E191" s="55" t="str">
        <f>E186*D186 + D187*#REF! + E187*E188 + D189*E189 + D190*E190</f>
        <v>#VALUE!</v>
      </c>
      <c r="F191" s="35" t="s">
        <v>25</v>
      </c>
      <c r="G191" s="56">
        <f>G186*F186 + F187*G187 + F188*G188 + F189*G189 + F190*G190</f>
        <v>957.5</v>
      </c>
      <c r="H191" s="35" t="s">
        <v>25</v>
      </c>
      <c r="I191" s="56" t="str">
        <f>I186*H186 + H187*I187 + H188*I188 + H189*I189 + H190*I190</f>
        <v>#VALUE!</v>
      </c>
      <c r="J191" s="35" t="s">
        <v>25</v>
      </c>
      <c r="K191" s="58">
        <f>K186*J186 + J187*K187 + J188*K188 + J189*K189 + J190*K190</f>
        <v>1950</v>
      </c>
      <c r="L191" s="35" t="s">
        <v>25</v>
      </c>
      <c r="M191" s="36" t="str">
        <f>M186*L186 + L187*M187 + L188*M188 + L189*M189 + L190*M190</f>
        <v>#VALUE!</v>
      </c>
    </row>
    <row r="192" ht="14.25" customHeight="1">
      <c r="A192" s="37"/>
      <c r="B192" s="39" t="s">
        <v>26</v>
      </c>
      <c r="C192" s="116">
        <f>(B186*C186 + B187*C187 + B188*C188 + B189*C189 + B190*C190)/SUM(C186:C190)</f>
        <v>71.25</v>
      </c>
      <c r="D192" s="31" t="s">
        <v>26</v>
      </c>
      <c r="E192" s="74" t="str">
        <f>(D186*E186 + D187*#REF! + E187*E188 + D189*E189 + D190*E190)/SUM(E186:E190)</f>
        <v>#VALUE!</v>
      </c>
      <c r="F192" s="13" t="s">
        <v>26</v>
      </c>
      <c r="G192" s="117">
        <f>(F186*G186 + F187*G187 + F188*G188 + F189*G189 + F190*G190)/SUM(G186:G190)</f>
        <v>59.84375</v>
      </c>
      <c r="H192" s="13" t="s">
        <v>26</v>
      </c>
      <c r="I192" s="74" t="str">
        <f>(H186*I186 + H187*I187 + H188*I188 + H189*I189 + H190*I190)/SUM(I186:I190)</f>
        <v>#VALUE!</v>
      </c>
      <c r="J192" s="39" t="s">
        <v>26</v>
      </c>
      <c r="K192" s="116">
        <f>(J186*K186 + J187*K187 + J188*K188 + J189*K189 + J190*K190)/SUM(K186:K190)</f>
        <v>81.25</v>
      </c>
      <c r="L192" s="13" t="s">
        <v>26</v>
      </c>
      <c r="M192" s="75" t="str">
        <f>(L186*M186 + L187*M187 + L188*M188 + L189*M189 + L190*M190)/SUM(M186:M190)</f>
        <v>#VALUE!</v>
      </c>
    </row>
    <row r="193" ht="14.25" customHeight="1">
      <c r="A193" s="28"/>
      <c r="B193" s="140" t="s">
        <v>421</v>
      </c>
      <c r="C193" s="141" t="s">
        <v>422</v>
      </c>
      <c r="D193" s="142" t="s">
        <v>421</v>
      </c>
      <c r="E193" s="143" t="s">
        <v>422</v>
      </c>
      <c r="F193" s="142" t="s">
        <v>421</v>
      </c>
      <c r="G193" s="143" t="s">
        <v>422</v>
      </c>
      <c r="H193" s="142" t="s">
        <v>421</v>
      </c>
      <c r="I193" s="143" t="s">
        <v>422</v>
      </c>
      <c r="J193" s="140" t="s">
        <v>421</v>
      </c>
      <c r="K193" s="144" t="s">
        <v>422</v>
      </c>
      <c r="L193" s="142" t="s">
        <v>421</v>
      </c>
      <c r="M193" s="145" t="s">
        <v>422</v>
      </c>
    </row>
    <row r="194" ht="14.25" customHeight="1">
      <c r="A194" s="41"/>
      <c r="B194" s="49" t="s">
        <v>304</v>
      </c>
      <c r="C194" s="146"/>
      <c r="D194" s="49" t="s">
        <v>91</v>
      </c>
      <c r="E194" s="147" t="s">
        <v>49</v>
      </c>
      <c r="F194" s="49" t="s">
        <v>304</v>
      </c>
      <c r="G194" s="146"/>
      <c r="H194" s="148" t="s">
        <v>91</v>
      </c>
      <c r="I194" s="147" t="s">
        <v>90</v>
      </c>
      <c r="J194" s="49" t="s">
        <v>304</v>
      </c>
      <c r="K194" s="125"/>
      <c r="L194" s="49" t="s">
        <v>91</v>
      </c>
      <c r="M194" s="118" t="s">
        <v>90</v>
      </c>
    </row>
    <row r="195" ht="14.25" customHeight="1">
      <c r="A195" s="41"/>
      <c r="B195" s="27">
        <v>180.0</v>
      </c>
      <c r="C195" s="79">
        <v>5.0</v>
      </c>
      <c r="D195" s="46">
        <v>30.0</v>
      </c>
      <c r="E195" s="34"/>
      <c r="F195" s="27">
        <v>185.0</v>
      </c>
      <c r="G195" s="79">
        <v>5.0</v>
      </c>
      <c r="H195" s="28"/>
      <c r="I195" s="34"/>
      <c r="J195" s="27">
        <v>195.0</v>
      </c>
      <c r="K195" s="54">
        <v>5.0</v>
      </c>
      <c r="L195" s="46">
        <v>30.0</v>
      </c>
      <c r="M195" s="54"/>
    </row>
    <row r="196" ht="14.25" customHeight="1">
      <c r="A196" s="28"/>
      <c r="B196" s="28">
        <v>185.0</v>
      </c>
      <c r="C196" s="79">
        <v>5.0</v>
      </c>
      <c r="D196" s="46">
        <v>60.0</v>
      </c>
      <c r="E196" s="79"/>
      <c r="F196" s="28">
        <v>190.0</v>
      </c>
      <c r="G196" s="79">
        <v>3.0</v>
      </c>
      <c r="H196" s="28"/>
      <c r="I196" s="34"/>
      <c r="J196" s="28">
        <v>200.0</v>
      </c>
      <c r="K196" s="54">
        <v>5.0</v>
      </c>
      <c r="L196" s="46">
        <v>30.0</v>
      </c>
      <c r="M196" s="24"/>
    </row>
    <row r="197" ht="14.25" customHeight="1">
      <c r="A197" s="28"/>
      <c r="B197" s="27">
        <v>190.0</v>
      </c>
      <c r="C197" s="79">
        <v>5.0</v>
      </c>
      <c r="D197" s="46">
        <v>20.0</v>
      </c>
      <c r="E197" s="34"/>
      <c r="F197" s="27">
        <v>195.0</v>
      </c>
      <c r="G197" s="79">
        <v>3.0</v>
      </c>
      <c r="H197" s="28"/>
      <c r="I197" s="34"/>
      <c r="J197" s="27">
        <v>202.5</v>
      </c>
      <c r="K197" s="54">
        <v>5.0</v>
      </c>
      <c r="L197" s="46">
        <v>20.0</v>
      </c>
      <c r="M197" s="24"/>
    </row>
    <row r="198" ht="14.25" customHeight="1">
      <c r="A198" s="28"/>
      <c r="B198" s="28">
        <v>192.5</v>
      </c>
      <c r="C198" s="79">
        <v>3.0</v>
      </c>
      <c r="D198" s="46">
        <v>40.0</v>
      </c>
      <c r="E198" s="79"/>
      <c r="F198" s="28">
        <v>192.5</v>
      </c>
      <c r="G198" s="79">
        <v>3.0</v>
      </c>
      <c r="H198" s="28"/>
      <c r="I198" s="34"/>
      <c r="J198" s="28"/>
      <c r="K198" s="54"/>
      <c r="L198" s="46">
        <v>40.0</v>
      </c>
      <c r="M198" s="54"/>
    </row>
    <row r="199" ht="14.25" customHeight="1">
      <c r="A199" s="28"/>
      <c r="B199" s="13"/>
      <c r="C199" s="34"/>
      <c r="D199" s="46">
        <v>30.0</v>
      </c>
      <c r="E199" s="34"/>
      <c r="F199" s="13"/>
      <c r="G199" s="34"/>
      <c r="H199" s="28"/>
      <c r="I199" s="34"/>
      <c r="J199" s="13"/>
      <c r="K199" s="24"/>
      <c r="L199" s="46">
        <v>20.0</v>
      </c>
      <c r="M199" s="24"/>
    </row>
    <row r="200" ht="14.25" customHeight="1">
      <c r="A200" s="28"/>
      <c r="B200" s="13"/>
      <c r="C200" s="34"/>
      <c r="D200" s="28"/>
      <c r="E200" s="34"/>
      <c r="F200" s="13"/>
      <c r="G200" s="34"/>
      <c r="H200" s="28"/>
      <c r="I200" s="34"/>
      <c r="J200" s="13"/>
      <c r="K200" s="24"/>
      <c r="L200" s="28"/>
      <c r="M200" s="24"/>
    </row>
    <row r="201" ht="14.25" customHeight="1">
      <c r="A201" s="28"/>
      <c r="B201" s="35" t="s">
        <v>25</v>
      </c>
      <c r="C201" s="55">
        <f>C195*B195 + B196*C196 + B197*C197 + B198*C198 + B200*C200</f>
        <v>3352.5</v>
      </c>
      <c r="D201" s="35" t="s">
        <v>25</v>
      </c>
      <c r="E201" s="55">
        <f>E195*D195 + D196*E196 + D197*E197 + D198*E198 + D200*E200</f>
        <v>0</v>
      </c>
      <c r="F201" s="35" t="s">
        <v>25</v>
      </c>
      <c r="G201" s="55">
        <f>G195*F195 + F196*G196 + F197*G197 + F198*G198 + F200*G200</f>
        <v>2657.5</v>
      </c>
      <c r="H201" s="35" t="s">
        <v>25</v>
      </c>
      <c r="I201" s="56">
        <f>I195*H195 + H196*I196 + H197*I197 + H198*I198 + H200*I200</f>
        <v>0</v>
      </c>
      <c r="J201" s="35" t="s">
        <v>25</v>
      </c>
      <c r="K201" s="36">
        <f>K195*J195 + J196*K196 + J197*K197 + J198*K198 + J200*K200</f>
        <v>2987.5</v>
      </c>
      <c r="L201" s="35" t="s">
        <v>25</v>
      </c>
      <c r="M201" s="36">
        <f>M195*L195 + L196*M196 + L197*M197 + L198*M198 + L200*M200</f>
        <v>0</v>
      </c>
    </row>
    <row r="202" ht="14.25" customHeight="1">
      <c r="A202" s="28"/>
      <c r="B202" s="39" t="s">
        <v>26</v>
      </c>
      <c r="C202" s="77">
        <f>(B195*C195 + B196*C196 + B197*C197 + B198*C198 + B200*C200)/SUM(C195:C200)</f>
        <v>186.25</v>
      </c>
      <c r="D202" s="39" t="s">
        <v>26</v>
      </c>
      <c r="E202" s="77" t="str">
        <f>(D195*E195 + D196*E196 + D197*E197 + D198*E198 + D200*E200)/SUM(E195:E200)</f>
        <v>#DIV/0!</v>
      </c>
      <c r="F202" s="39" t="s">
        <v>26</v>
      </c>
      <c r="G202" s="77">
        <f>(F195*G195 + F196*G196 + F197*G197 + F198*G198 + F200*G200)/SUM(G195:G200)</f>
        <v>189.8214286</v>
      </c>
      <c r="H202" s="39" t="s">
        <v>26</v>
      </c>
      <c r="I202" s="77" t="str">
        <f>(H195*I195 + H196*I196 + H197*I197 + H198*I198 + H200*I200)/SUM(I195:I200)</f>
        <v>#DIV/0!</v>
      </c>
      <c r="J202" s="39" t="s">
        <v>26</v>
      </c>
      <c r="K202" s="40">
        <f>(J195*K195 + J196*K196 + J197*K197 + J198*K198 + J200*K200)/SUM(K195:K200)</f>
        <v>199.1666667</v>
      </c>
      <c r="L202" s="39" t="s">
        <v>26</v>
      </c>
      <c r="M202" s="40" t="str">
        <f>(L195*M195 + L196*M196 + L197*M197 + L198*M198 + L200*M200)/SUM(M195:M200)</f>
        <v>#DIV/0!</v>
      </c>
    </row>
    <row r="203" ht="14.25" customHeight="1">
      <c r="A203" s="13"/>
      <c r="B203" s="49" t="s">
        <v>461</v>
      </c>
      <c r="C203" s="146"/>
      <c r="D203" s="49" t="s">
        <v>249</v>
      </c>
      <c r="E203" s="146"/>
      <c r="F203" s="49" t="s">
        <v>245</v>
      </c>
      <c r="G203" s="146"/>
      <c r="H203" s="49" t="s">
        <v>33</v>
      </c>
      <c r="I203" s="146"/>
      <c r="J203" s="49" t="s">
        <v>461</v>
      </c>
      <c r="K203" s="146"/>
      <c r="L203" s="49" t="s">
        <v>105</v>
      </c>
      <c r="M203" s="118" t="s">
        <v>49</v>
      </c>
    </row>
    <row r="204" ht="14.25" customHeight="1">
      <c r="A204" s="13"/>
      <c r="B204" s="27" t="s">
        <v>235</v>
      </c>
      <c r="C204" s="79">
        <v>8.0</v>
      </c>
      <c r="D204" s="27"/>
      <c r="E204" s="79">
        <v>6.0</v>
      </c>
      <c r="F204" s="27">
        <v>45.0</v>
      </c>
      <c r="G204" s="79">
        <v>6.0</v>
      </c>
      <c r="H204" s="28"/>
      <c r="I204" s="34"/>
      <c r="J204" s="27" t="s">
        <v>235</v>
      </c>
      <c r="K204" s="54">
        <v>8.0</v>
      </c>
      <c r="L204" s="152"/>
      <c r="M204" s="24"/>
    </row>
    <row r="205" ht="14.25" customHeight="1">
      <c r="A205" s="28"/>
      <c r="B205" s="28" t="s">
        <v>235</v>
      </c>
      <c r="C205" s="79">
        <v>8.0</v>
      </c>
      <c r="D205" s="28"/>
      <c r="E205" s="79">
        <v>6.0</v>
      </c>
      <c r="F205" s="28">
        <v>50.0</v>
      </c>
      <c r="G205" s="79">
        <v>6.0</v>
      </c>
      <c r="H205" s="28"/>
      <c r="I205" s="34"/>
      <c r="J205" s="28" t="s">
        <v>235</v>
      </c>
      <c r="K205" s="54">
        <v>8.0</v>
      </c>
      <c r="L205" s="1"/>
      <c r="M205" s="54"/>
    </row>
    <row r="206" ht="14.25" customHeight="1">
      <c r="A206" s="28"/>
      <c r="B206" s="27" t="s">
        <v>235</v>
      </c>
      <c r="C206" s="79">
        <v>8.0</v>
      </c>
      <c r="D206" s="28"/>
      <c r="E206" s="79">
        <v>6.0</v>
      </c>
      <c r="F206" s="27">
        <v>60.0</v>
      </c>
      <c r="G206" s="79">
        <v>6.0</v>
      </c>
      <c r="H206" s="28"/>
      <c r="I206" s="34"/>
      <c r="J206" s="28" t="s">
        <v>235</v>
      </c>
      <c r="K206" s="54">
        <v>8.0</v>
      </c>
      <c r="L206" s="1"/>
      <c r="M206" s="24"/>
    </row>
    <row r="207" ht="14.25" customHeight="1">
      <c r="A207" s="37"/>
      <c r="B207" s="28" t="s">
        <v>469</v>
      </c>
      <c r="C207" s="79"/>
      <c r="D207" s="28"/>
      <c r="E207" s="79"/>
      <c r="F207" s="28"/>
      <c r="G207" s="34"/>
      <c r="H207" s="28"/>
      <c r="I207" s="34"/>
      <c r="J207" s="28" t="s">
        <v>469</v>
      </c>
      <c r="K207" s="54"/>
      <c r="L207" s="1"/>
      <c r="M207" s="24"/>
    </row>
    <row r="208" ht="14.25" customHeight="1">
      <c r="A208" s="13"/>
      <c r="B208" s="13"/>
      <c r="C208" s="34"/>
      <c r="D208" s="28"/>
      <c r="E208" s="34"/>
      <c r="F208" s="13"/>
      <c r="G208" s="34"/>
      <c r="H208" s="28"/>
      <c r="I208" s="34"/>
      <c r="J208" s="13"/>
      <c r="K208" s="24"/>
      <c r="L208" s="31"/>
      <c r="M208" s="24"/>
    </row>
    <row r="209" ht="14.25" customHeight="1">
      <c r="A209" s="13"/>
      <c r="B209" s="35" t="s">
        <v>25</v>
      </c>
      <c r="C209" s="55" t="str">
        <f>C204*B204 + B205*C205 + B206*C206 + B207*C207 + B208*C208</f>
        <v>#VALUE!</v>
      </c>
      <c r="D209" s="35" t="s">
        <v>25</v>
      </c>
      <c r="E209" s="55">
        <f>E204*D204 + D205*E205 + D206*E206 + D207*E207 + D208*E208</f>
        <v>0</v>
      </c>
      <c r="F209" s="35" t="s">
        <v>25</v>
      </c>
      <c r="G209" s="55">
        <f>G204*F204 + F205*G205 + F206*G206 + F207*G207 + F208*G208</f>
        <v>930</v>
      </c>
      <c r="H209" s="35" t="s">
        <v>25</v>
      </c>
      <c r="I209" s="56">
        <f>I204*H204 + H205*I205 + H206*I206 + H207*I207 + H208*I208</f>
        <v>0</v>
      </c>
      <c r="J209" s="35" t="s">
        <v>25</v>
      </c>
      <c r="K209" s="36" t="str">
        <f>K204*J204 + J205*K205 + #REF!*K206 + J206*K207 + J208*K208</f>
        <v>#VALUE!</v>
      </c>
      <c r="L209" s="57" t="s">
        <v>25</v>
      </c>
      <c r="M209" s="58">
        <f>M204*L204 + L205*M205 + L206*M206 + L207*M207 + L208*M208</f>
        <v>0</v>
      </c>
    </row>
    <row r="210" ht="14.25" customHeight="1">
      <c r="A210" s="13"/>
      <c r="B210" s="39" t="s">
        <v>26</v>
      </c>
      <c r="C210" s="40" t="str">
        <f>(B204*C204 + B205*C205 + B206*C206 + B207*C207 + B208*C208)/SUM(C204:C208)</f>
        <v>#VALUE!</v>
      </c>
      <c r="D210" s="59" t="s">
        <v>26</v>
      </c>
      <c r="E210" s="40">
        <f>(D204*E204 + D205*E205 + D206*E206 + D207*E207 + D208*E208)/SUM(E204:E208)</f>
        <v>0</v>
      </c>
      <c r="F210" s="31" t="s">
        <v>26</v>
      </c>
      <c r="G210" s="75">
        <f>(F204*G204 + F205*G205 + F206*G206 + F207*G207 + F208*G208)/SUM(G204:G208)</f>
        <v>51.66666667</v>
      </c>
      <c r="H210" s="59" t="s">
        <v>26</v>
      </c>
      <c r="I210" s="40" t="str">
        <f>(H204*I204 + H205*I205 + H206*I206 + H207*I207 + H208*I208)/SUM(I204:I208)</f>
        <v>#DIV/0!</v>
      </c>
      <c r="J210" s="39" t="s">
        <v>26</v>
      </c>
      <c r="K210" s="40" t="str">
        <f>(J204*K204 + J205*K205 + #REF!*K206 + J206*K207 + J208*K208)/SUM(K204:K208)</f>
        <v>#VALUE!</v>
      </c>
      <c r="L210" s="59" t="s">
        <v>26</v>
      </c>
      <c r="M210" s="40" t="str">
        <f>(L204*M204 + L205*M205 + L206*M206 + L207*M207 + L208*M208)/SUM(M204:M208)</f>
        <v>#DIV/0!</v>
      </c>
    </row>
    <row r="211" ht="14.25" customHeight="1">
      <c r="A211" s="28"/>
      <c r="B211" s="28" t="s">
        <v>91</v>
      </c>
      <c r="C211" s="30" t="s">
        <v>49</v>
      </c>
      <c r="D211" s="37"/>
      <c r="E211" s="30" t="s">
        <v>49</v>
      </c>
      <c r="F211" s="120" t="s">
        <v>88</v>
      </c>
      <c r="G211" s="121" t="s">
        <v>49</v>
      </c>
      <c r="H211" s="1"/>
      <c r="I211" s="30"/>
      <c r="J211" s="28" t="s">
        <v>88</v>
      </c>
      <c r="K211" s="60" t="s">
        <v>49</v>
      </c>
      <c r="L211" s="30"/>
      <c r="M211" s="60" t="s">
        <v>49</v>
      </c>
    </row>
    <row r="212" ht="14.25" customHeight="1">
      <c r="A212" s="37"/>
      <c r="B212" s="41" t="s">
        <v>440</v>
      </c>
      <c r="C212" s="30"/>
      <c r="D212" s="41" t="s">
        <v>440</v>
      </c>
      <c r="E212" s="63"/>
      <c r="F212" s="104"/>
      <c r="G212" s="63"/>
      <c r="H212" s="30"/>
      <c r="I212" s="30"/>
      <c r="J212" s="104"/>
      <c r="K212" s="60"/>
      <c r="L212" s="62"/>
      <c r="M212" s="60"/>
    </row>
    <row r="213" ht="14.25" customHeight="1">
      <c r="A213" s="37"/>
      <c r="B213" s="28" t="s">
        <v>470</v>
      </c>
      <c r="C213" s="1" t="s">
        <v>471</v>
      </c>
      <c r="D213" s="28" t="s">
        <v>463</v>
      </c>
      <c r="E213" s="30"/>
      <c r="F213" s="28"/>
      <c r="G213" s="60"/>
      <c r="H213" s="30"/>
      <c r="I213" s="30"/>
      <c r="J213" s="28"/>
      <c r="K213" s="60"/>
      <c r="L213" s="30"/>
      <c r="M213" s="60"/>
    </row>
    <row r="214" ht="14.25" customHeight="1">
      <c r="A214" s="37"/>
      <c r="B214" s="28" t="s">
        <v>442</v>
      </c>
      <c r="C214" s="1" t="s">
        <v>471</v>
      </c>
      <c r="D214" s="28" t="s">
        <v>459</v>
      </c>
      <c r="E214" s="1" t="s">
        <v>457</v>
      </c>
      <c r="F214" s="28"/>
      <c r="G214" s="60"/>
      <c r="H214" s="30"/>
      <c r="I214" s="30"/>
      <c r="J214" s="37"/>
      <c r="K214" s="60"/>
      <c r="L214" s="30"/>
      <c r="M214" s="60"/>
    </row>
    <row r="215" ht="14.25" customHeight="1">
      <c r="A215" s="37"/>
      <c r="B215" s="28" t="s">
        <v>460</v>
      </c>
      <c r="C215" s="1" t="s">
        <v>444</v>
      </c>
      <c r="D215" s="28" t="s">
        <v>460</v>
      </c>
      <c r="E215" s="1" t="s">
        <v>444</v>
      </c>
      <c r="F215" s="28"/>
      <c r="G215" s="60"/>
      <c r="H215" s="30"/>
      <c r="I215" s="30"/>
      <c r="J215" s="37"/>
      <c r="K215" s="60"/>
      <c r="L215" s="30"/>
      <c r="M215" s="60"/>
    </row>
    <row r="216" ht="14.25" customHeight="1">
      <c r="A216" s="37"/>
      <c r="B216" s="28" t="s">
        <v>445</v>
      </c>
      <c r="C216" s="1" t="s">
        <v>471</v>
      </c>
      <c r="D216" s="28"/>
      <c r="E216" s="1"/>
      <c r="F216" s="28"/>
      <c r="G216" s="60"/>
      <c r="H216" s="30"/>
      <c r="I216" s="30"/>
      <c r="J216" s="37"/>
      <c r="K216" s="60"/>
      <c r="L216" s="30"/>
      <c r="M216" s="60"/>
    </row>
    <row r="217" ht="14.25" customHeight="1">
      <c r="A217" s="64"/>
      <c r="B217" s="65"/>
      <c r="C217" s="66"/>
      <c r="D217" s="64"/>
      <c r="E217" s="66"/>
      <c r="F217" s="64"/>
      <c r="G217" s="67"/>
      <c r="H217" s="66"/>
      <c r="I217" s="66"/>
      <c r="J217" s="64"/>
      <c r="K217" s="67"/>
      <c r="L217" s="66"/>
      <c r="M217" s="67"/>
    </row>
    <row r="218" ht="14.25" customHeight="1">
      <c r="A218" s="30"/>
      <c r="B218" s="1"/>
      <c r="C218" s="1"/>
      <c r="D218" s="30"/>
      <c r="E218" s="30"/>
      <c r="F218" s="1"/>
      <c r="G218" s="30"/>
      <c r="H218" s="30"/>
      <c r="I218" s="30"/>
      <c r="J218" s="1"/>
      <c r="K218" s="30"/>
      <c r="L218" s="30"/>
      <c r="M218" s="30"/>
    </row>
    <row r="219" ht="14.25" customHeight="1">
      <c r="A219" s="2" t="s">
        <v>2</v>
      </c>
      <c r="B219" s="3" t="s">
        <v>3</v>
      </c>
      <c r="C219" s="4">
        <f>M183+2</f>
        <v>45194</v>
      </c>
      <c r="D219" s="5" t="s">
        <v>4</v>
      </c>
      <c r="E219" s="6">
        <f>C219+1</f>
        <v>45195</v>
      </c>
      <c r="F219" s="3" t="s">
        <v>5</v>
      </c>
      <c r="G219" s="6">
        <f>E219+1</f>
        <v>45196</v>
      </c>
      <c r="H219" s="3" t="s">
        <v>6</v>
      </c>
      <c r="I219" s="6">
        <f>G219+1</f>
        <v>45197</v>
      </c>
      <c r="J219" s="3" t="s">
        <v>7</v>
      </c>
      <c r="K219" s="6">
        <f>I219+1</f>
        <v>45198</v>
      </c>
      <c r="L219" s="7" t="s">
        <v>8</v>
      </c>
      <c r="M219" s="8">
        <f>K219+1</f>
        <v>45199</v>
      </c>
    </row>
    <row r="220" ht="14.25" customHeight="1">
      <c r="A220" s="10">
        <f>A184+1</f>
        <v>7</v>
      </c>
      <c r="B220" s="129" t="s">
        <v>421</v>
      </c>
      <c r="C220" s="130" t="s">
        <v>422</v>
      </c>
      <c r="D220" s="131" t="s">
        <v>421</v>
      </c>
      <c r="E220" s="131" t="s">
        <v>422</v>
      </c>
      <c r="F220" s="129" t="s">
        <v>421</v>
      </c>
      <c r="G220" s="131" t="s">
        <v>422</v>
      </c>
      <c r="H220" s="129" t="s">
        <v>421</v>
      </c>
      <c r="I220" s="131" t="s">
        <v>422</v>
      </c>
      <c r="J220" s="129" t="s">
        <v>421</v>
      </c>
      <c r="K220" s="130" t="s">
        <v>422</v>
      </c>
      <c r="L220" s="131" t="s">
        <v>421</v>
      </c>
      <c r="M220" s="130" t="s">
        <v>422</v>
      </c>
    </row>
    <row r="221" ht="14.25" customHeight="1">
      <c r="A221" s="13" t="s">
        <v>12</v>
      </c>
      <c r="B221" s="20" t="s">
        <v>464</v>
      </c>
      <c r="C221" s="76" t="s">
        <v>465</v>
      </c>
      <c r="D221" s="18" t="s">
        <v>14</v>
      </c>
      <c r="E221" s="18"/>
      <c r="F221" s="20" t="s">
        <v>229</v>
      </c>
      <c r="G221" s="17"/>
      <c r="H221" s="70" t="s">
        <v>446</v>
      </c>
      <c r="I221" s="18"/>
      <c r="J221" s="20" t="s">
        <v>464</v>
      </c>
      <c r="K221" s="76" t="s">
        <v>465</v>
      </c>
      <c r="L221" s="132" t="s">
        <v>14</v>
      </c>
      <c r="M221" s="17"/>
    </row>
    <row r="222" ht="14.25" customHeight="1">
      <c r="A222" s="13"/>
      <c r="B222" s="46">
        <v>80.0</v>
      </c>
      <c r="C222" s="133">
        <v>6.0</v>
      </c>
      <c r="D222" s="134" t="s">
        <v>426</v>
      </c>
      <c r="E222" s="134" t="s">
        <v>466</v>
      </c>
      <c r="F222" s="46">
        <v>60.0</v>
      </c>
      <c r="G222" s="133">
        <v>5.0</v>
      </c>
      <c r="H222" s="120" t="s">
        <v>15</v>
      </c>
      <c r="I222" s="137"/>
      <c r="J222" s="46">
        <v>85.0</v>
      </c>
      <c r="K222" s="133">
        <v>6.0</v>
      </c>
      <c r="L222" s="120" t="s">
        <v>290</v>
      </c>
      <c r="M222" s="138"/>
    </row>
    <row r="223" ht="14.25" customHeight="1">
      <c r="A223" s="13"/>
      <c r="B223" s="46">
        <v>85.0</v>
      </c>
      <c r="C223" s="48">
        <v>6.0</v>
      </c>
      <c r="D223" s="134" t="s">
        <v>427</v>
      </c>
      <c r="E223" s="134" t="s">
        <v>428</v>
      </c>
      <c r="F223" s="46">
        <v>65.0</v>
      </c>
      <c r="G223" s="48">
        <v>5.0</v>
      </c>
      <c r="H223" s="28"/>
      <c r="I223" s="79"/>
      <c r="J223" s="46">
        <v>90.0</v>
      </c>
      <c r="K223" s="48">
        <v>6.0</v>
      </c>
      <c r="L223" s="28"/>
      <c r="M223" s="24"/>
    </row>
    <row r="224" ht="14.25" customHeight="1">
      <c r="A224" s="29" t="s">
        <v>22</v>
      </c>
      <c r="B224" s="46">
        <v>87.5</v>
      </c>
      <c r="C224" s="48">
        <v>6.0</v>
      </c>
      <c r="D224" s="123" t="s">
        <v>467</v>
      </c>
      <c r="E224" s="134"/>
      <c r="F224" s="46">
        <v>70.0</v>
      </c>
      <c r="G224" s="48">
        <v>3.0</v>
      </c>
      <c r="H224" s="28" t="s">
        <v>250</v>
      </c>
      <c r="I224" s="79"/>
      <c r="J224" s="46">
        <v>92.5</v>
      </c>
      <c r="K224" s="48">
        <v>6.0</v>
      </c>
      <c r="L224" s="28"/>
      <c r="M224" s="24"/>
    </row>
    <row r="225" ht="14.25" customHeight="1">
      <c r="A225" s="28" t="s">
        <v>23</v>
      </c>
      <c r="B225" s="46">
        <v>90.0</v>
      </c>
      <c r="C225" s="48">
        <v>6.0</v>
      </c>
      <c r="D225" s="33" t="s">
        <v>468</v>
      </c>
      <c r="E225" s="134"/>
      <c r="F225" s="46">
        <v>67.5</v>
      </c>
      <c r="G225" s="48">
        <v>3.0</v>
      </c>
      <c r="H225" s="13"/>
      <c r="I225" s="34"/>
      <c r="J225" s="46">
        <v>95.0</v>
      </c>
      <c r="K225" s="48">
        <v>6.0</v>
      </c>
      <c r="L225" s="28" t="s">
        <v>431</v>
      </c>
      <c r="M225" s="54" t="s">
        <v>458</v>
      </c>
    </row>
    <row r="226" ht="14.25" customHeight="1">
      <c r="A226" s="13"/>
      <c r="B226" s="13"/>
      <c r="C226" s="24"/>
      <c r="D226" s="73"/>
      <c r="E226" s="135"/>
      <c r="F226" s="13"/>
      <c r="G226" s="34"/>
      <c r="H226" s="13"/>
      <c r="I226" s="34"/>
      <c r="J226" s="13"/>
      <c r="K226" s="24"/>
      <c r="L226" s="28" t="s">
        <v>98</v>
      </c>
      <c r="M226" s="24"/>
    </row>
    <row r="227" ht="14.25" customHeight="1">
      <c r="A227" s="28" t="s">
        <v>433</v>
      </c>
      <c r="B227" s="35" t="s">
        <v>25</v>
      </c>
      <c r="C227" s="58">
        <f>C222*B222 + B223*C223 + B224*C224 + B225*C225 + B226*C226</f>
        <v>2055</v>
      </c>
      <c r="D227" s="57" t="s">
        <v>25</v>
      </c>
      <c r="E227" s="55" t="str">
        <f>E222*D222 + D223*#REF! + E223*E224 + D225*E225 + D226*E226</f>
        <v>#VALUE!</v>
      </c>
      <c r="F227" s="35" t="s">
        <v>25</v>
      </c>
      <c r="G227" s="56">
        <f>G222*F222 + F223*G223 + F224*G224 + F225*G225 + F226*G226</f>
        <v>1037.5</v>
      </c>
      <c r="H227" s="35" t="s">
        <v>25</v>
      </c>
      <c r="I227" s="56" t="str">
        <f>I222*H222 + H223*I223 + H224*I224 + H225*I225 + H226*I226</f>
        <v>#VALUE!</v>
      </c>
      <c r="J227" s="35" t="s">
        <v>25</v>
      </c>
      <c r="K227" s="58">
        <f>K222*J222 + J223*K223 + J224*K224 + J225*K225 + J226*K226</f>
        <v>2175</v>
      </c>
      <c r="L227" s="35" t="s">
        <v>25</v>
      </c>
      <c r="M227" s="36" t="str">
        <f>M222*L222 + L223*M223 + L224*M224 + L225*M225 + L226*M226</f>
        <v>#VALUE!</v>
      </c>
    </row>
    <row r="228" ht="14.25" customHeight="1">
      <c r="A228" s="37"/>
      <c r="B228" s="39" t="s">
        <v>26</v>
      </c>
      <c r="C228" s="116">
        <f>(B222*C222 + B223*C223 + B224*C224 + B225*C225 + B226*C226)/SUM(C222:C226)</f>
        <v>85.625</v>
      </c>
      <c r="D228" s="31" t="s">
        <v>26</v>
      </c>
      <c r="E228" s="74" t="str">
        <f>(D222*E222 + D223*#REF! + E223*E224 + D225*E225 + D226*E226)/SUM(E222:E226)</f>
        <v>#VALUE!</v>
      </c>
      <c r="F228" s="13" t="s">
        <v>26</v>
      </c>
      <c r="G228" s="117">
        <f>(F222*G222 + F223*G223 + F224*G224 + F225*G225 + F226*G226)/SUM(G222:G226)</f>
        <v>64.84375</v>
      </c>
      <c r="H228" s="13" t="s">
        <v>26</v>
      </c>
      <c r="I228" s="74" t="str">
        <f>(H222*I222 + H223*I223 + H224*I224 + H225*I225 + H226*I226)/SUM(I222:I226)</f>
        <v>#VALUE!</v>
      </c>
      <c r="J228" s="39" t="s">
        <v>26</v>
      </c>
      <c r="K228" s="116">
        <f>(J222*K222 + J223*K223 + J224*K224 + J225*K225 + J226*K226)/SUM(K222:K226)</f>
        <v>90.625</v>
      </c>
      <c r="L228" s="13" t="s">
        <v>26</v>
      </c>
      <c r="M228" s="75" t="str">
        <f>(L222*M222 + L223*M223 + L224*M224 + L225*M225 + L226*M226)/SUM(M222:M226)</f>
        <v>#VALUE!</v>
      </c>
    </row>
    <row r="229" ht="14.25" customHeight="1">
      <c r="A229" s="28" t="s">
        <v>472</v>
      </c>
      <c r="B229" s="140" t="s">
        <v>421</v>
      </c>
      <c r="C229" s="141" t="s">
        <v>422</v>
      </c>
      <c r="D229" s="142" t="s">
        <v>421</v>
      </c>
      <c r="E229" s="143" t="s">
        <v>422</v>
      </c>
      <c r="F229" s="142" t="s">
        <v>421</v>
      </c>
      <c r="G229" s="143" t="s">
        <v>422</v>
      </c>
      <c r="H229" s="142" t="s">
        <v>421</v>
      </c>
      <c r="I229" s="143" t="s">
        <v>422</v>
      </c>
      <c r="J229" s="140" t="s">
        <v>421</v>
      </c>
      <c r="K229" s="144" t="s">
        <v>422</v>
      </c>
      <c r="L229" s="142" t="s">
        <v>421</v>
      </c>
      <c r="M229" s="145" t="s">
        <v>422</v>
      </c>
    </row>
    <row r="230" ht="14.25" customHeight="1">
      <c r="A230" s="41"/>
      <c r="B230" s="49" t="s">
        <v>304</v>
      </c>
      <c r="C230" s="146"/>
      <c r="D230" s="49" t="s">
        <v>91</v>
      </c>
      <c r="E230" s="147" t="s">
        <v>49</v>
      </c>
      <c r="F230" s="49" t="s">
        <v>304</v>
      </c>
      <c r="G230" s="146"/>
      <c r="H230" s="148" t="s">
        <v>91</v>
      </c>
      <c r="I230" s="147" t="s">
        <v>90</v>
      </c>
      <c r="J230" s="49" t="s">
        <v>304</v>
      </c>
      <c r="K230" s="125"/>
      <c r="L230" s="49" t="s">
        <v>91</v>
      </c>
      <c r="M230" s="118" t="s">
        <v>90</v>
      </c>
    </row>
    <row r="231" ht="14.25" customHeight="1">
      <c r="A231" s="41"/>
      <c r="B231" s="27">
        <v>197.5</v>
      </c>
      <c r="C231" s="79">
        <v>5.0</v>
      </c>
      <c r="D231" s="46">
        <v>20.0</v>
      </c>
      <c r="E231" s="34"/>
      <c r="F231" s="27">
        <v>185.0</v>
      </c>
      <c r="G231" s="79">
        <v>5.0</v>
      </c>
      <c r="H231" s="28"/>
      <c r="I231" s="34"/>
      <c r="J231" s="27">
        <v>200.0</v>
      </c>
      <c r="K231" s="54">
        <v>5.0</v>
      </c>
      <c r="L231" s="46">
        <v>20.0</v>
      </c>
      <c r="M231" s="54"/>
    </row>
    <row r="232" ht="14.25" customHeight="1">
      <c r="A232" s="28"/>
      <c r="B232" s="28">
        <v>200.0</v>
      </c>
      <c r="C232" s="79">
        <v>5.0</v>
      </c>
      <c r="D232" s="46">
        <v>40.0</v>
      </c>
      <c r="E232" s="79"/>
      <c r="F232" s="28">
        <v>190.0</v>
      </c>
      <c r="G232" s="79">
        <v>3.0</v>
      </c>
      <c r="H232" s="28"/>
      <c r="I232" s="34"/>
      <c r="J232" s="28">
        <v>205.0</v>
      </c>
      <c r="K232" s="54">
        <v>5.0</v>
      </c>
      <c r="L232" s="46">
        <v>20.0</v>
      </c>
      <c r="M232" s="24"/>
    </row>
    <row r="233" ht="14.25" customHeight="1">
      <c r="A233" s="28"/>
      <c r="B233" s="27">
        <v>202.5</v>
      </c>
      <c r="C233" s="79">
        <v>3.0</v>
      </c>
      <c r="D233" s="46">
        <v>30.0</v>
      </c>
      <c r="E233" s="34"/>
      <c r="F233" s="27">
        <v>195.0</v>
      </c>
      <c r="G233" s="79">
        <v>3.0</v>
      </c>
      <c r="H233" s="28"/>
      <c r="I233" s="34"/>
      <c r="J233" s="27">
        <v>207.5</v>
      </c>
      <c r="K233" s="54">
        <v>5.0</v>
      </c>
      <c r="L233" s="46">
        <v>30.0</v>
      </c>
      <c r="M233" s="24"/>
    </row>
    <row r="234" ht="14.25" customHeight="1">
      <c r="A234" s="28"/>
      <c r="B234" s="28">
        <v>205.0</v>
      </c>
      <c r="C234" s="79">
        <v>3.0</v>
      </c>
      <c r="D234" s="46">
        <v>60.0</v>
      </c>
      <c r="E234" s="79"/>
      <c r="F234" s="28">
        <v>192.5</v>
      </c>
      <c r="G234" s="79">
        <v>3.0</v>
      </c>
      <c r="H234" s="28"/>
      <c r="I234" s="34"/>
      <c r="J234" s="28"/>
      <c r="K234" s="54"/>
      <c r="L234" s="46">
        <v>40.0</v>
      </c>
      <c r="M234" s="54"/>
    </row>
    <row r="235" ht="14.25" customHeight="1">
      <c r="A235" s="28"/>
      <c r="B235" s="13"/>
      <c r="C235" s="34"/>
      <c r="D235" s="46">
        <v>20.0</v>
      </c>
      <c r="E235" s="34"/>
      <c r="F235" s="13"/>
      <c r="G235" s="34"/>
      <c r="H235" s="28"/>
      <c r="I235" s="34"/>
      <c r="J235" s="13"/>
      <c r="K235" s="24"/>
      <c r="L235" s="46">
        <v>30.0</v>
      </c>
      <c r="M235" s="24"/>
    </row>
    <row r="236" ht="14.25" customHeight="1">
      <c r="A236" s="28"/>
      <c r="B236" s="13"/>
      <c r="C236" s="34"/>
      <c r="D236" s="28"/>
      <c r="E236" s="34"/>
      <c r="F236" s="13"/>
      <c r="G236" s="34"/>
      <c r="H236" s="28"/>
      <c r="I236" s="34"/>
      <c r="J236" s="13"/>
      <c r="K236" s="24"/>
      <c r="L236" s="28"/>
      <c r="M236" s="24"/>
    </row>
    <row r="237" ht="14.25" customHeight="1">
      <c r="A237" s="28"/>
      <c r="B237" s="35" t="s">
        <v>25</v>
      </c>
      <c r="C237" s="55">
        <f>C231*B231 + B232*C232 + B233*C233 + B234*C234 + B236*C236</f>
        <v>3210</v>
      </c>
      <c r="D237" s="35" t="s">
        <v>25</v>
      </c>
      <c r="E237" s="55">
        <f>E231*D231 + D232*E232 + D233*E233 + D234*E234 + D236*E236</f>
        <v>0</v>
      </c>
      <c r="F237" s="35" t="s">
        <v>25</v>
      </c>
      <c r="G237" s="55">
        <f>G231*F231 + F232*G232 + F233*G233 + F234*G234 + F236*G236</f>
        <v>2657.5</v>
      </c>
      <c r="H237" s="35" t="s">
        <v>25</v>
      </c>
      <c r="I237" s="56">
        <f>I231*H231 + H232*I232 + H233*I233 + H234*I234 + H236*I236</f>
        <v>0</v>
      </c>
      <c r="J237" s="35" t="s">
        <v>25</v>
      </c>
      <c r="K237" s="36">
        <f>K231*J231 + J232*K232 + J233*K233 + J234*K234 + J236*K236</f>
        <v>3062.5</v>
      </c>
      <c r="L237" s="35" t="s">
        <v>25</v>
      </c>
      <c r="M237" s="36">
        <f>M231*L231 + L232*M232 + L233*M233 + L234*M234 + L236*M236</f>
        <v>0</v>
      </c>
    </row>
    <row r="238" ht="14.25" customHeight="1">
      <c r="A238" s="28"/>
      <c r="B238" s="39" t="s">
        <v>26</v>
      </c>
      <c r="C238" s="77">
        <f>(B231*C231 + B232*C232 + B233*C233 + B234*C234 + B236*C236)/SUM(C231:C236)</f>
        <v>200.625</v>
      </c>
      <c r="D238" s="39" t="s">
        <v>26</v>
      </c>
      <c r="E238" s="77" t="str">
        <f>(D231*E231 + D232*E232 + D233*E233 + D234*E234 + D236*E236)/SUM(E231:E236)</f>
        <v>#DIV/0!</v>
      </c>
      <c r="F238" s="39" t="s">
        <v>26</v>
      </c>
      <c r="G238" s="77">
        <f>(F231*G231 + F232*G232 + F233*G233 + F234*G234 + F236*G236)/SUM(G231:G236)</f>
        <v>189.8214286</v>
      </c>
      <c r="H238" s="39" t="s">
        <v>26</v>
      </c>
      <c r="I238" s="77" t="str">
        <f>(H231*I231 + H232*I232 + H233*I233 + H234*I234 + H236*I236)/SUM(I231:I236)</f>
        <v>#DIV/0!</v>
      </c>
      <c r="J238" s="39" t="s">
        <v>26</v>
      </c>
      <c r="K238" s="40">
        <f>(J231*K231 + J232*K232 + J233*K233 + J234*K234 + J236*K236)/SUM(K231:K236)</f>
        <v>204.1666667</v>
      </c>
      <c r="L238" s="39" t="s">
        <v>26</v>
      </c>
      <c r="M238" s="40" t="str">
        <f>(L231*M231 + L232*M232 + L233*M233 + L234*M234 + L236*M236)/SUM(M231:M236)</f>
        <v>#DIV/0!</v>
      </c>
    </row>
    <row r="239" ht="14.25" customHeight="1">
      <c r="A239" s="13"/>
      <c r="B239" s="49" t="s">
        <v>461</v>
      </c>
      <c r="C239" s="146"/>
      <c r="D239" s="49" t="s">
        <v>249</v>
      </c>
      <c r="E239" s="146"/>
      <c r="F239" s="49" t="s">
        <v>245</v>
      </c>
      <c r="G239" s="146"/>
      <c r="H239" s="49" t="s">
        <v>33</v>
      </c>
      <c r="I239" s="146"/>
      <c r="J239" s="49" t="s">
        <v>461</v>
      </c>
      <c r="K239" s="146"/>
      <c r="L239" s="49" t="s">
        <v>105</v>
      </c>
      <c r="M239" s="118" t="s">
        <v>49</v>
      </c>
    </row>
    <row r="240" ht="14.25" customHeight="1">
      <c r="A240" s="13"/>
      <c r="B240" s="27" t="s">
        <v>235</v>
      </c>
      <c r="C240" s="79">
        <v>8.0</v>
      </c>
      <c r="D240" s="27"/>
      <c r="E240" s="79">
        <v>6.0</v>
      </c>
      <c r="F240" s="27">
        <v>45.0</v>
      </c>
      <c r="G240" s="79">
        <v>6.0</v>
      </c>
      <c r="H240" s="28"/>
      <c r="I240" s="34"/>
      <c r="J240" s="27" t="s">
        <v>235</v>
      </c>
      <c r="K240" s="54">
        <v>8.0</v>
      </c>
      <c r="L240" s="152"/>
      <c r="M240" s="24"/>
    </row>
    <row r="241" ht="14.25" customHeight="1">
      <c r="A241" s="28"/>
      <c r="B241" s="28" t="s">
        <v>235</v>
      </c>
      <c r="C241" s="79">
        <v>8.0</v>
      </c>
      <c r="D241" s="28"/>
      <c r="E241" s="79">
        <v>6.0</v>
      </c>
      <c r="F241" s="28">
        <v>50.0</v>
      </c>
      <c r="G241" s="79">
        <v>6.0</v>
      </c>
      <c r="H241" s="28"/>
      <c r="I241" s="34"/>
      <c r="J241" s="28" t="s">
        <v>235</v>
      </c>
      <c r="K241" s="54">
        <v>8.0</v>
      </c>
      <c r="L241" s="1"/>
      <c r="M241" s="54"/>
    </row>
    <row r="242" ht="14.25" customHeight="1">
      <c r="A242" s="28"/>
      <c r="B242" s="27" t="s">
        <v>235</v>
      </c>
      <c r="C242" s="79">
        <v>8.0</v>
      </c>
      <c r="D242" s="28"/>
      <c r="E242" s="79">
        <v>6.0</v>
      </c>
      <c r="F242" s="27">
        <v>60.0</v>
      </c>
      <c r="G242" s="79">
        <v>6.0</v>
      </c>
      <c r="H242" s="28"/>
      <c r="I242" s="34"/>
      <c r="J242" s="28" t="s">
        <v>235</v>
      </c>
      <c r="K242" s="54">
        <v>8.0</v>
      </c>
      <c r="L242" s="1"/>
      <c r="M242" s="24"/>
    </row>
    <row r="243" ht="14.25" customHeight="1">
      <c r="A243" s="37"/>
      <c r="B243" s="28" t="s">
        <v>469</v>
      </c>
      <c r="C243" s="79"/>
      <c r="D243" s="28"/>
      <c r="E243" s="79"/>
      <c r="F243" s="28"/>
      <c r="G243" s="34"/>
      <c r="H243" s="28"/>
      <c r="I243" s="34"/>
      <c r="J243" s="28" t="s">
        <v>469</v>
      </c>
      <c r="K243" s="54"/>
      <c r="L243" s="1"/>
      <c r="M243" s="24"/>
    </row>
    <row r="244" ht="14.25" customHeight="1">
      <c r="A244" s="13"/>
      <c r="B244" s="13"/>
      <c r="C244" s="34"/>
      <c r="D244" s="28"/>
      <c r="E244" s="34"/>
      <c r="F244" s="13"/>
      <c r="G244" s="34"/>
      <c r="H244" s="28"/>
      <c r="I244" s="34"/>
      <c r="J244" s="13"/>
      <c r="K244" s="24"/>
      <c r="L244" s="31"/>
      <c r="M244" s="24"/>
    </row>
    <row r="245" ht="14.25" customHeight="1">
      <c r="A245" s="13"/>
      <c r="B245" s="35" t="s">
        <v>25</v>
      </c>
      <c r="C245" s="55" t="str">
        <f>C240*B240 + B241*C241 + B242*C242 + B243*C243 + B244*C244</f>
        <v>#VALUE!</v>
      </c>
      <c r="D245" s="35" t="s">
        <v>25</v>
      </c>
      <c r="E245" s="55">
        <f>E240*D240 + D241*E241 + D242*E242 + D243*E243 + D244*E244</f>
        <v>0</v>
      </c>
      <c r="F245" s="35" t="s">
        <v>25</v>
      </c>
      <c r="G245" s="55">
        <f>G240*F240 + F241*G241 + F242*G242 + F243*G243 + F244*G244</f>
        <v>930</v>
      </c>
      <c r="H245" s="35" t="s">
        <v>25</v>
      </c>
      <c r="I245" s="56">
        <f>I240*H240 + H241*I241 + H242*I242 + H243*I243 + H244*I244</f>
        <v>0</v>
      </c>
      <c r="J245" s="35" t="s">
        <v>25</v>
      </c>
      <c r="K245" s="36" t="str">
        <f>K240*J240 + J241*K241 + #REF!*K242 + J242*K243 + J244*K244</f>
        <v>#VALUE!</v>
      </c>
      <c r="L245" s="57" t="s">
        <v>25</v>
      </c>
      <c r="M245" s="58">
        <f>M240*L240 + L241*M241 + L242*M242 + L243*M243 + L244*M244</f>
        <v>0</v>
      </c>
    </row>
    <row r="246" ht="14.25" customHeight="1">
      <c r="A246" s="13"/>
      <c r="B246" s="39" t="s">
        <v>26</v>
      </c>
      <c r="C246" s="40" t="str">
        <f>(B240*C240 + B241*C241 + B242*C242 + B243*C243 + B244*C244)/SUM(C240:C244)</f>
        <v>#VALUE!</v>
      </c>
      <c r="D246" s="59" t="s">
        <v>26</v>
      </c>
      <c r="E246" s="40">
        <f>(D240*E240 + D241*E241 + D242*E242 + D243*E243 + D244*E244)/SUM(E240:E244)</f>
        <v>0</v>
      </c>
      <c r="F246" s="31" t="s">
        <v>26</v>
      </c>
      <c r="G246" s="75">
        <f>(F240*G240 + F241*G241 + F242*G242 + F243*G243 + F244*G244)/SUM(G240:G244)</f>
        <v>51.66666667</v>
      </c>
      <c r="H246" s="59" t="s">
        <v>26</v>
      </c>
      <c r="I246" s="40" t="str">
        <f>(H240*I240 + H241*I241 + H242*I242 + H243*I243 + H244*I244)/SUM(I240:I244)</f>
        <v>#DIV/0!</v>
      </c>
      <c r="J246" s="39" t="s">
        <v>26</v>
      </c>
      <c r="K246" s="40" t="str">
        <f>(J240*K240 + J241*K241 + #REF!*K242 + J242*K243 + J244*K244)/SUM(K240:K244)</f>
        <v>#VALUE!</v>
      </c>
      <c r="L246" s="59" t="s">
        <v>26</v>
      </c>
      <c r="M246" s="40" t="str">
        <f>(L240*M240 + L241*M241 + L242*M242 + L243*M243 + L244*M244)/SUM(M240:M244)</f>
        <v>#DIV/0!</v>
      </c>
    </row>
    <row r="247" ht="14.25" customHeight="1">
      <c r="A247" s="28"/>
      <c r="B247" s="28" t="s">
        <v>91</v>
      </c>
      <c r="C247" s="30" t="s">
        <v>49</v>
      </c>
      <c r="D247" s="37"/>
      <c r="E247" s="30" t="s">
        <v>49</v>
      </c>
      <c r="F247" s="120" t="s">
        <v>88</v>
      </c>
      <c r="G247" s="121" t="s">
        <v>49</v>
      </c>
      <c r="H247" s="1"/>
      <c r="I247" s="30"/>
      <c r="J247" s="28" t="s">
        <v>88</v>
      </c>
      <c r="K247" s="60" t="s">
        <v>49</v>
      </c>
      <c r="L247" s="30"/>
      <c r="M247" s="60" t="s">
        <v>49</v>
      </c>
    </row>
    <row r="248" ht="14.25" customHeight="1">
      <c r="A248" s="37"/>
      <c r="B248" s="41" t="s">
        <v>440</v>
      </c>
      <c r="C248" s="30"/>
      <c r="D248" s="41"/>
      <c r="E248" s="63"/>
      <c r="F248" s="104"/>
      <c r="G248" s="63"/>
      <c r="H248" s="30"/>
      <c r="I248" s="30"/>
      <c r="J248" s="104"/>
      <c r="K248" s="60"/>
      <c r="L248" s="62"/>
      <c r="M248" s="60"/>
    </row>
    <row r="249" ht="14.25" customHeight="1">
      <c r="A249" s="37"/>
      <c r="B249" s="28" t="s">
        <v>470</v>
      </c>
      <c r="C249" s="1" t="s">
        <v>471</v>
      </c>
      <c r="D249" s="28"/>
      <c r="E249" s="30"/>
      <c r="F249" s="28"/>
      <c r="G249" s="60"/>
      <c r="H249" s="30"/>
      <c r="I249" s="30"/>
      <c r="J249" s="28"/>
      <c r="K249" s="60"/>
      <c r="L249" s="30"/>
      <c r="M249" s="60"/>
    </row>
    <row r="250" ht="14.25" customHeight="1">
      <c r="A250" s="37"/>
      <c r="B250" s="28" t="s">
        <v>442</v>
      </c>
      <c r="C250" s="1" t="s">
        <v>471</v>
      </c>
      <c r="D250" s="28"/>
      <c r="E250" s="1"/>
      <c r="F250" s="28"/>
      <c r="G250" s="60"/>
      <c r="H250" s="30"/>
      <c r="I250" s="30"/>
      <c r="J250" s="37"/>
      <c r="K250" s="60"/>
      <c r="L250" s="30"/>
      <c r="M250" s="60"/>
    </row>
    <row r="251" ht="14.25" customHeight="1">
      <c r="A251" s="37"/>
      <c r="B251" s="28" t="s">
        <v>460</v>
      </c>
      <c r="C251" s="1" t="s">
        <v>444</v>
      </c>
      <c r="D251" s="28"/>
      <c r="E251" s="1"/>
      <c r="F251" s="28"/>
      <c r="G251" s="60"/>
      <c r="H251" s="30"/>
      <c r="I251" s="30"/>
      <c r="J251" s="37"/>
      <c r="K251" s="60"/>
      <c r="L251" s="30"/>
      <c r="M251" s="60"/>
    </row>
    <row r="252" ht="14.25" customHeight="1">
      <c r="A252" s="37"/>
      <c r="B252" s="28" t="s">
        <v>445</v>
      </c>
      <c r="C252" s="1" t="s">
        <v>471</v>
      </c>
      <c r="D252" s="28"/>
      <c r="E252" s="1"/>
      <c r="F252" s="28"/>
      <c r="G252" s="60"/>
      <c r="H252" s="30"/>
      <c r="I252" s="30"/>
      <c r="J252" s="37"/>
      <c r="K252" s="60"/>
      <c r="L252" s="30"/>
      <c r="M252" s="60"/>
    </row>
    <row r="253" ht="14.25" customHeight="1">
      <c r="A253" s="64"/>
      <c r="B253" s="65"/>
      <c r="C253" s="66"/>
      <c r="D253" s="64"/>
      <c r="E253" s="66"/>
      <c r="F253" s="64"/>
      <c r="G253" s="67"/>
      <c r="H253" s="66"/>
      <c r="I253" s="66"/>
      <c r="J253" s="64"/>
      <c r="K253" s="67"/>
      <c r="L253" s="66"/>
      <c r="M253" s="67"/>
    </row>
    <row r="254" ht="14.25" customHeight="1">
      <c r="A254" s="30"/>
      <c r="B254" s="1"/>
      <c r="C254" s="1"/>
      <c r="D254" s="30"/>
      <c r="E254" s="30"/>
      <c r="F254" s="1"/>
      <c r="G254" s="30"/>
      <c r="H254" s="30"/>
      <c r="I254" s="30"/>
      <c r="J254" s="1"/>
      <c r="K254" s="30"/>
      <c r="L254" s="30"/>
      <c r="M254" s="30"/>
    </row>
    <row r="255" ht="14.25" customHeight="1">
      <c r="A255" s="2" t="s">
        <v>2</v>
      </c>
      <c r="B255" s="3" t="s">
        <v>3</v>
      </c>
      <c r="C255" s="4">
        <f>M219+2</f>
        <v>45201</v>
      </c>
      <c r="D255" s="5" t="s">
        <v>4</v>
      </c>
      <c r="E255" s="6">
        <f>C255+1</f>
        <v>45202</v>
      </c>
      <c r="F255" s="3" t="s">
        <v>5</v>
      </c>
      <c r="G255" s="6">
        <f>E255+1</f>
        <v>45203</v>
      </c>
      <c r="H255" s="3" t="s">
        <v>6</v>
      </c>
      <c r="I255" s="6">
        <f>G255+1</f>
        <v>45204</v>
      </c>
      <c r="J255" s="3" t="s">
        <v>7</v>
      </c>
      <c r="K255" s="6">
        <f>I255+1</f>
        <v>45205</v>
      </c>
      <c r="L255" s="7" t="s">
        <v>8</v>
      </c>
      <c r="M255" s="8">
        <f>K255+1</f>
        <v>45206</v>
      </c>
    </row>
    <row r="256" ht="14.25" customHeight="1">
      <c r="A256" s="10">
        <f>A220+1</f>
        <v>8</v>
      </c>
      <c r="B256" s="129" t="s">
        <v>421</v>
      </c>
      <c r="C256" s="130" t="s">
        <v>422</v>
      </c>
      <c r="D256" s="131" t="s">
        <v>421</v>
      </c>
      <c r="E256" s="131" t="s">
        <v>422</v>
      </c>
      <c r="F256" s="129" t="s">
        <v>421</v>
      </c>
      <c r="G256" s="131" t="s">
        <v>422</v>
      </c>
      <c r="H256" s="129" t="s">
        <v>421</v>
      </c>
      <c r="I256" s="131" t="s">
        <v>422</v>
      </c>
      <c r="J256" s="129" t="s">
        <v>421</v>
      </c>
      <c r="K256" s="130" t="s">
        <v>422</v>
      </c>
      <c r="L256" s="131" t="s">
        <v>421</v>
      </c>
      <c r="M256" s="130" t="s">
        <v>422</v>
      </c>
    </row>
    <row r="257" ht="14.25" customHeight="1">
      <c r="A257" s="13" t="s">
        <v>12</v>
      </c>
      <c r="B257" s="20" t="s">
        <v>464</v>
      </c>
      <c r="C257" s="76" t="s">
        <v>465</v>
      </c>
      <c r="D257" s="18" t="s">
        <v>14</v>
      </c>
      <c r="E257" s="18"/>
      <c r="F257" s="20" t="s">
        <v>229</v>
      </c>
      <c r="G257" s="17"/>
      <c r="H257" s="70" t="s">
        <v>446</v>
      </c>
      <c r="I257" s="18"/>
      <c r="J257" s="20" t="s">
        <v>464</v>
      </c>
      <c r="K257" s="76" t="s">
        <v>465</v>
      </c>
      <c r="L257" s="132" t="s">
        <v>14</v>
      </c>
      <c r="M257" s="17"/>
    </row>
    <row r="258" ht="14.25" customHeight="1">
      <c r="A258" s="13"/>
      <c r="B258" s="46">
        <v>90.0</v>
      </c>
      <c r="C258" s="133">
        <v>6.0</v>
      </c>
      <c r="D258" s="134" t="s">
        <v>426</v>
      </c>
      <c r="E258" s="134" t="s">
        <v>466</v>
      </c>
      <c r="F258" s="46">
        <v>65.0</v>
      </c>
      <c r="G258" s="133">
        <v>5.0</v>
      </c>
      <c r="H258" s="120" t="s">
        <v>15</v>
      </c>
      <c r="I258" s="137"/>
      <c r="J258" s="46">
        <v>92.5</v>
      </c>
      <c r="K258" s="133">
        <v>6.0</v>
      </c>
      <c r="L258" s="120" t="s">
        <v>290</v>
      </c>
      <c r="M258" s="138"/>
    </row>
    <row r="259" ht="14.25" customHeight="1">
      <c r="A259" s="13"/>
      <c r="B259" s="46">
        <v>92.5</v>
      </c>
      <c r="C259" s="48">
        <v>6.0</v>
      </c>
      <c r="D259" s="134" t="s">
        <v>427</v>
      </c>
      <c r="E259" s="134" t="s">
        <v>428</v>
      </c>
      <c r="F259" s="46">
        <v>70.0</v>
      </c>
      <c r="G259" s="48">
        <v>5.0</v>
      </c>
      <c r="H259" s="28"/>
      <c r="I259" s="79"/>
      <c r="J259" s="46">
        <v>95.0</v>
      </c>
      <c r="K259" s="48">
        <v>6.0</v>
      </c>
      <c r="L259" s="28"/>
      <c r="M259" s="24"/>
    </row>
    <row r="260" ht="14.25" customHeight="1">
      <c r="A260" s="29" t="s">
        <v>22</v>
      </c>
      <c r="B260" s="46">
        <v>95.0</v>
      </c>
      <c r="C260" s="48">
        <v>6.0</v>
      </c>
      <c r="D260" s="123" t="s">
        <v>467</v>
      </c>
      <c r="E260" s="134"/>
      <c r="F260" s="46">
        <v>72.5</v>
      </c>
      <c r="G260" s="48">
        <v>3.0</v>
      </c>
      <c r="H260" s="28" t="s">
        <v>250</v>
      </c>
      <c r="I260" s="79"/>
      <c r="J260" s="46">
        <v>97.5</v>
      </c>
      <c r="K260" s="48">
        <v>6.0</v>
      </c>
      <c r="L260" s="28"/>
      <c r="M260" s="24"/>
    </row>
    <row r="261" ht="14.25" customHeight="1">
      <c r="A261" s="28" t="s">
        <v>23</v>
      </c>
      <c r="B261" s="46">
        <v>97.5</v>
      </c>
      <c r="C261" s="48">
        <v>6.0</v>
      </c>
      <c r="D261" s="33" t="s">
        <v>468</v>
      </c>
      <c r="E261" s="134"/>
      <c r="F261" s="46">
        <v>75.0</v>
      </c>
      <c r="G261" s="48">
        <v>3.0</v>
      </c>
      <c r="H261" s="13"/>
      <c r="I261" s="34"/>
      <c r="J261" s="46">
        <v>100.0</v>
      </c>
      <c r="K261" s="48">
        <v>6.0</v>
      </c>
      <c r="L261" s="28" t="s">
        <v>431</v>
      </c>
      <c r="M261" s="54" t="s">
        <v>458</v>
      </c>
    </row>
    <row r="262" ht="14.25" customHeight="1">
      <c r="A262" s="13"/>
      <c r="B262" s="13"/>
      <c r="C262" s="24"/>
      <c r="D262" s="73"/>
      <c r="E262" s="135"/>
      <c r="F262" s="13"/>
      <c r="G262" s="34"/>
      <c r="H262" s="13"/>
      <c r="I262" s="34"/>
      <c r="J262" s="13"/>
      <c r="K262" s="24"/>
      <c r="L262" s="28" t="s">
        <v>98</v>
      </c>
      <c r="M262" s="24"/>
    </row>
    <row r="263" ht="14.25" customHeight="1">
      <c r="A263" s="28" t="s">
        <v>433</v>
      </c>
      <c r="B263" s="35" t="s">
        <v>25</v>
      </c>
      <c r="C263" s="58">
        <f>C258*B258 + B259*C259 + B260*C260 + B261*C261 + B262*C262</f>
        <v>2250</v>
      </c>
      <c r="D263" s="57" t="s">
        <v>25</v>
      </c>
      <c r="E263" s="55" t="str">
        <f>E258*D258 + D259*#REF! + E259*E260 + D261*E261 + D262*E262</f>
        <v>#VALUE!</v>
      </c>
      <c r="F263" s="35" t="s">
        <v>25</v>
      </c>
      <c r="G263" s="56">
        <f>G258*F258 + F259*G259 + F260*G260 + F261*G261 + F262*G262</f>
        <v>1117.5</v>
      </c>
      <c r="H263" s="35" t="s">
        <v>25</v>
      </c>
      <c r="I263" s="56" t="str">
        <f>I258*H258 + H259*I259 + H260*I260 + H261*I261 + H262*I262</f>
        <v>#VALUE!</v>
      </c>
      <c r="J263" s="35" t="s">
        <v>25</v>
      </c>
      <c r="K263" s="58">
        <f>K258*J258 + J259*K259 + J260*K260 + J261*K261 + J262*K262</f>
        <v>2310</v>
      </c>
      <c r="L263" s="35" t="s">
        <v>25</v>
      </c>
      <c r="M263" s="36" t="str">
        <f>M258*L258 + L259*M259 + L260*M260 + L261*M261 + L262*M262</f>
        <v>#VALUE!</v>
      </c>
    </row>
    <row r="264" ht="14.25" customHeight="1">
      <c r="A264" s="37"/>
      <c r="B264" s="39" t="s">
        <v>26</v>
      </c>
      <c r="C264" s="116">
        <f>(B258*C258 + B259*C259 + B260*C260 + B261*C261 + B262*C262)/SUM(C258:C262)</f>
        <v>93.75</v>
      </c>
      <c r="D264" s="31" t="s">
        <v>26</v>
      </c>
      <c r="E264" s="74" t="str">
        <f>(D258*E258 + D259*#REF! + E259*E260 + D261*E261 + D262*E262)/SUM(E258:E262)</f>
        <v>#VALUE!</v>
      </c>
      <c r="F264" s="13" t="s">
        <v>26</v>
      </c>
      <c r="G264" s="117">
        <f>(F258*G258 + F259*G259 + F260*G260 + F261*G261 + F262*G262)/SUM(G258:G262)</f>
        <v>69.84375</v>
      </c>
      <c r="H264" s="13" t="s">
        <v>26</v>
      </c>
      <c r="I264" s="74" t="str">
        <f>(H258*I258 + H259*I259 + H260*I260 + H261*I261 + H262*I262)/SUM(I258:I262)</f>
        <v>#VALUE!</v>
      </c>
      <c r="J264" s="39" t="s">
        <v>26</v>
      </c>
      <c r="K264" s="116">
        <f>(J258*K258 + J259*K259 + J260*K260 + J261*K261 + J262*K262)/SUM(K258:K262)</f>
        <v>96.25</v>
      </c>
      <c r="L264" s="13" t="s">
        <v>26</v>
      </c>
      <c r="M264" s="75" t="str">
        <f>(L258*M258 + L259*M259 + L260*M260 + L261*M261 + L262*M262)/SUM(M258:M262)</f>
        <v>#VALUE!</v>
      </c>
    </row>
    <row r="265" ht="14.25" customHeight="1">
      <c r="A265" s="28" t="s">
        <v>472</v>
      </c>
      <c r="B265" s="140" t="s">
        <v>421</v>
      </c>
      <c r="C265" s="141" t="s">
        <v>422</v>
      </c>
      <c r="D265" s="142" t="s">
        <v>421</v>
      </c>
      <c r="E265" s="143" t="s">
        <v>422</v>
      </c>
      <c r="F265" s="142" t="s">
        <v>421</v>
      </c>
      <c r="G265" s="143" t="s">
        <v>422</v>
      </c>
      <c r="H265" s="142" t="s">
        <v>421</v>
      </c>
      <c r="I265" s="143" t="s">
        <v>422</v>
      </c>
      <c r="J265" s="140" t="s">
        <v>421</v>
      </c>
      <c r="K265" s="144" t="s">
        <v>422</v>
      </c>
      <c r="L265" s="142" t="s">
        <v>421</v>
      </c>
      <c r="M265" s="145" t="s">
        <v>422</v>
      </c>
    </row>
    <row r="266" ht="14.25" customHeight="1">
      <c r="A266" s="41"/>
      <c r="B266" s="49" t="s">
        <v>304</v>
      </c>
      <c r="C266" s="146"/>
      <c r="D266" s="49" t="s">
        <v>91</v>
      </c>
      <c r="E266" s="147" t="s">
        <v>49</v>
      </c>
      <c r="F266" s="49" t="s">
        <v>304</v>
      </c>
      <c r="G266" s="146"/>
      <c r="H266" s="148" t="s">
        <v>91</v>
      </c>
      <c r="I266" s="147" t="s">
        <v>90</v>
      </c>
      <c r="J266" s="49" t="s">
        <v>304</v>
      </c>
      <c r="K266" s="125"/>
      <c r="L266" s="49" t="s">
        <v>91</v>
      </c>
      <c r="M266" s="118" t="s">
        <v>90</v>
      </c>
    </row>
    <row r="267" ht="14.25" customHeight="1">
      <c r="A267" s="41"/>
      <c r="B267" s="27">
        <v>200.0</v>
      </c>
      <c r="C267" s="79">
        <v>5.0</v>
      </c>
      <c r="D267" s="46">
        <v>30.0</v>
      </c>
      <c r="E267" s="34"/>
      <c r="F267" s="27">
        <v>202.5</v>
      </c>
      <c r="G267" s="79">
        <v>5.0</v>
      </c>
      <c r="H267" s="28"/>
      <c r="I267" s="34"/>
      <c r="J267" s="27">
        <v>205.0</v>
      </c>
      <c r="K267" s="54">
        <v>5.0</v>
      </c>
      <c r="L267" s="46">
        <v>30.0</v>
      </c>
      <c r="M267" s="54"/>
    </row>
    <row r="268" ht="14.25" customHeight="1">
      <c r="A268" s="28"/>
      <c r="B268" s="28">
        <v>205.0</v>
      </c>
      <c r="C268" s="79">
        <v>3.0</v>
      </c>
      <c r="D268" s="46">
        <v>30.0</v>
      </c>
      <c r="E268" s="79"/>
      <c r="F268" s="28">
        <v>205.0</v>
      </c>
      <c r="G268" s="79">
        <v>3.0</v>
      </c>
      <c r="H268" s="28"/>
      <c r="I268" s="34"/>
      <c r="J268" s="28">
        <v>210.0</v>
      </c>
      <c r="K268" s="54">
        <v>3.0</v>
      </c>
      <c r="L268" s="46">
        <v>30.0</v>
      </c>
      <c r="M268" s="24"/>
    </row>
    <row r="269" ht="14.25" customHeight="1">
      <c r="A269" s="28"/>
      <c r="B269" s="27">
        <v>207.5</v>
      </c>
      <c r="C269" s="79">
        <v>3.0</v>
      </c>
      <c r="D269" s="46">
        <v>60.0</v>
      </c>
      <c r="E269" s="34"/>
      <c r="F269" s="27">
        <v>210.0</v>
      </c>
      <c r="G269" s="79">
        <v>3.0</v>
      </c>
      <c r="H269" s="28"/>
      <c r="I269" s="34"/>
      <c r="J269" s="27">
        <v>212.5</v>
      </c>
      <c r="K269" s="54">
        <v>3.0</v>
      </c>
      <c r="L269" s="46">
        <v>20.0</v>
      </c>
      <c r="M269" s="24"/>
    </row>
    <row r="270" ht="14.25" customHeight="1">
      <c r="A270" s="28"/>
      <c r="B270" s="28">
        <v>210.0</v>
      </c>
      <c r="C270" s="79">
        <v>3.0</v>
      </c>
      <c r="D270" s="46">
        <v>30.0</v>
      </c>
      <c r="E270" s="79"/>
      <c r="F270" s="28">
        <v>212.5</v>
      </c>
      <c r="G270" s="79">
        <v>3.0</v>
      </c>
      <c r="H270" s="28"/>
      <c r="I270" s="34"/>
      <c r="J270" s="28"/>
      <c r="K270" s="54"/>
      <c r="L270" s="46">
        <v>40.0</v>
      </c>
      <c r="M270" s="54"/>
    </row>
    <row r="271" ht="14.25" customHeight="1">
      <c r="A271" s="28"/>
      <c r="B271" s="13"/>
      <c r="C271" s="34"/>
      <c r="D271" s="46">
        <v>20.0</v>
      </c>
      <c r="E271" s="34"/>
      <c r="F271" s="13"/>
      <c r="G271" s="34"/>
      <c r="H271" s="28"/>
      <c r="I271" s="34"/>
      <c r="J271" s="13"/>
      <c r="K271" s="24"/>
      <c r="L271" s="46">
        <v>30.0</v>
      </c>
      <c r="M271" s="24"/>
    </row>
    <row r="272" ht="14.25" customHeight="1">
      <c r="A272" s="28"/>
      <c r="B272" s="13"/>
      <c r="C272" s="34"/>
      <c r="D272" s="28"/>
      <c r="E272" s="34"/>
      <c r="F272" s="13"/>
      <c r="G272" s="34"/>
      <c r="H272" s="28"/>
      <c r="I272" s="34"/>
      <c r="J272" s="13"/>
      <c r="K272" s="24"/>
      <c r="L272" s="28"/>
      <c r="M272" s="24"/>
    </row>
    <row r="273" ht="14.25" customHeight="1">
      <c r="A273" s="28"/>
      <c r="B273" s="35" t="s">
        <v>25</v>
      </c>
      <c r="C273" s="55">
        <f>C267*B267 + B268*C268 + B269*C269 + B270*C270 + B272*C272</f>
        <v>2867.5</v>
      </c>
      <c r="D273" s="35" t="s">
        <v>25</v>
      </c>
      <c r="E273" s="55">
        <f>E267*D267 + D268*E268 + D269*E269 + D270*E270 + D272*E272</f>
        <v>0</v>
      </c>
      <c r="F273" s="35" t="s">
        <v>25</v>
      </c>
      <c r="G273" s="55">
        <f>G267*F267 + F268*G268 + F269*G269 + F270*G270 + F272*G272</f>
        <v>2895</v>
      </c>
      <c r="H273" s="35" t="s">
        <v>25</v>
      </c>
      <c r="I273" s="56">
        <f>I267*H267 + H268*I268 + H269*I269 + H270*I270 + H272*I272</f>
        <v>0</v>
      </c>
      <c r="J273" s="35" t="s">
        <v>25</v>
      </c>
      <c r="K273" s="36">
        <f>K267*J267 + J268*K268 + J269*K269 + J270*K270 + J272*K272</f>
        <v>2292.5</v>
      </c>
      <c r="L273" s="35" t="s">
        <v>25</v>
      </c>
      <c r="M273" s="36">
        <f>M267*L267 + L268*M268 + L269*M269 + L270*M270 + L272*M272</f>
        <v>0</v>
      </c>
    </row>
    <row r="274" ht="14.25" customHeight="1">
      <c r="A274" s="28"/>
      <c r="B274" s="39" t="s">
        <v>26</v>
      </c>
      <c r="C274" s="77">
        <f>(B267*C267 + B268*C268 + B269*C269 + B270*C270 + B272*C272)/SUM(C267:C272)</f>
        <v>204.8214286</v>
      </c>
      <c r="D274" s="39" t="s">
        <v>26</v>
      </c>
      <c r="E274" s="77" t="str">
        <f>(D267*E267 + D268*E268 + D269*E269 + D270*E270 + D272*E272)/SUM(E267:E272)</f>
        <v>#DIV/0!</v>
      </c>
      <c r="F274" s="39" t="s">
        <v>26</v>
      </c>
      <c r="G274" s="77">
        <f>(F267*G267 + F268*G268 + F269*G269 + F270*G270 + F272*G272)/SUM(G267:G272)</f>
        <v>206.7857143</v>
      </c>
      <c r="H274" s="39" t="s">
        <v>26</v>
      </c>
      <c r="I274" s="77" t="str">
        <f>(H267*I267 + H268*I268 + H269*I269 + H270*I270 + H272*I272)/SUM(I267:I272)</f>
        <v>#DIV/0!</v>
      </c>
      <c r="J274" s="39" t="s">
        <v>26</v>
      </c>
      <c r="K274" s="40">
        <f>(J267*K267 + J268*K268 + J269*K269 + J270*K270 + J272*K272)/SUM(K267:K272)</f>
        <v>208.4090909</v>
      </c>
      <c r="L274" s="39" t="s">
        <v>26</v>
      </c>
      <c r="M274" s="40" t="str">
        <f>(L267*M267 + L268*M268 + L269*M269 + L270*M270 + L272*M272)/SUM(M267:M272)</f>
        <v>#DIV/0!</v>
      </c>
    </row>
    <row r="275" ht="14.25" customHeight="1">
      <c r="A275" s="13"/>
      <c r="B275" s="49" t="s">
        <v>461</v>
      </c>
      <c r="C275" s="146"/>
      <c r="D275" s="49" t="s">
        <v>249</v>
      </c>
      <c r="E275" s="146"/>
      <c r="F275" s="49" t="s">
        <v>245</v>
      </c>
      <c r="G275" s="146"/>
      <c r="H275" s="49" t="s">
        <v>33</v>
      </c>
      <c r="I275" s="146"/>
      <c r="J275" s="49" t="s">
        <v>461</v>
      </c>
      <c r="K275" s="146"/>
      <c r="L275" s="49" t="s">
        <v>105</v>
      </c>
      <c r="M275" s="118" t="s">
        <v>49</v>
      </c>
    </row>
    <row r="276" ht="14.25" customHeight="1">
      <c r="A276" s="13"/>
      <c r="B276" s="27" t="s">
        <v>235</v>
      </c>
      <c r="C276" s="79">
        <v>8.0</v>
      </c>
      <c r="D276" s="27"/>
      <c r="E276" s="79">
        <v>6.0</v>
      </c>
      <c r="F276" s="27">
        <v>45.0</v>
      </c>
      <c r="G276" s="79">
        <v>6.0</v>
      </c>
      <c r="H276" s="28"/>
      <c r="I276" s="34"/>
      <c r="J276" s="27" t="s">
        <v>235</v>
      </c>
      <c r="K276" s="54">
        <v>8.0</v>
      </c>
      <c r="L276" s="152"/>
      <c r="M276" s="24"/>
    </row>
    <row r="277" ht="14.25" customHeight="1">
      <c r="A277" s="28"/>
      <c r="B277" s="28" t="s">
        <v>235</v>
      </c>
      <c r="C277" s="79">
        <v>8.0</v>
      </c>
      <c r="D277" s="28"/>
      <c r="E277" s="79">
        <v>6.0</v>
      </c>
      <c r="F277" s="28">
        <v>50.0</v>
      </c>
      <c r="G277" s="79">
        <v>6.0</v>
      </c>
      <c r="H277" s="28"/>
      <c r="I277" s="34"/>
      <c r="J277" s="28" t="s">
        <v>235</v>
      </c>
      <c r="K277" s="54">
        <v>8.0</v>
      </c>
      <c r="L277" s="1"/>
      <c r="M277" s="54"/>
    </row>
    <row r="278" ht="14.25" customHeight="1">
      <c r="A278" s="28"/>
      <c r="B278" s="27" t="s">
        <v>235</v>
      </c>
      <c r="C278" s="79">
        <v>8.0</v>
      </c>
      <c r="D278" s="28"/>
      <c r="E278" s="79">
        <v>6.0</v>
      </c>
      <c r="F278" s="27">
        <v>60.0</v>
      </c>
      <c r="G278" s="79">
        <v>6.0</v>
      </c>
      <c r="H278" s="28"/>
      <c r="I278" s="34"/>
      <c r="J278" s="28" t="s">
        <v>235</v>
      </c>
      <c r="K278" s="54">
        <v>8.0</v>
      </c>
      <c r="L278" s="1"/>
      <c r="M278" s="24"/>
    </row>
    <row r="279" ht="14.25" customHeight="1">
      <c r="A279" s="37"/>
      <c r="B279" s="28" t="s">
        <v>469</v>
      </c>
      <c r="C279" s="79"/>
      <c r="D279" s="28"/>
      <c r="E279" s="79"/>
      <c r="F279" s="28"/>
      <c r="G279" s="34"/>
      <c r="H279" s="28"/>
      <c r="I279" s="34"/>
      <c r="J279" s="28" t="s">
        <v>469</v>
      </c>
      <c r="K279" s="54"/>
      <c r="L279" s="1"/>
      <c r="M279" s="24"/>
    </row>
    <row r="280" ht="14.25" customHeight="1">
      <c r="A280" s="13"/>
      <c r="B280" s="13"/>
      <c r="C280" s="34"/>
      <c r="D280" s="28"/>
      <c r="E280" s="34"/>
      <c r="F280" s="13"/>
      <c r="G280" s="34"/>
      <c r="H280" s="28"/>
      <c r="I280" s="34"/>
      <c r="J280" s="13"/>
      <c r="K280" s="24"/>
      <c r="L280" s="31"/>
      <c r="M280" s="24"/>
    </row>
    <row r="281" ht="14.25" customHeight="1">
      <c r="A281" s="13"/>
      <c r="B281" s="35" t="s">
        <v>25</v>
      </c>
      <c r="C281" s="55" t="str">
        <f>C276*B276 + B277*C277 + B278*C278 + B279*C279 + B280*C280</f>
        <v>#VALUE!</v>
      </c>
      <c r="D281" s="35" t="s">
        <v>25</v>
      </c>
      <c r="E281" s="55">
        <f>E276*D276 + D277*E277 + D278*E278 + D279*E279 + D280*E280</f>
        <v>0</v>
      </c>
      <c r="F281" s="35" t="s">
        <v>25</v>
      </c>
      <c r="G281" s="55">
        <f>G276*F276 + F277*G277 + F278*G278 + F279*G279 + F280*G280</f>
        <v>930</v>
      </c>
      <c r="H281" s="35" t="s">
        <v>25</v>
      </c>
      <c r="I281" s="56">
        <f>I276*H276 + H277*I277 + H278*I278 + H279*I279 + H280*I280</f>
        <v>0</v>
      </c>
      <c r="J281" s="35" t="s">
        <v>25</v>
      </c>
      <c r="K281" s="36" t="str">
        <f>K276*J276 + J277*K277 + #REF!*K278 + J278*K279 + J280*K280</f>
        <v>#VALUE!</v>
      </c>
      <c r="L281" s="57" t="s">
        <v>25</v>
      </c>
      <c r="M281" s="58">
        <f>M276*L276 + L277*M277 + L278*M278 + L279*M279 + L280*M280</f>
        <v>0</v>
      </c>
    </row>
    <row r="282" ht="14.25" customHeight="1">
      <c r="A282" s="13"/>
      <c r="B282" s="39" t="s">
        <v>26</v>
      </c>
      <c r="C282" s="40" t="str">
        <f>(B276*C276 + B277*C277 + B278*C278 + B279*C279 + B280*C280)/SUM(C276:C280)</f>
        <v>#VALUE!</v>
      </c>
      <c r="D282" s="59" t="s">
        <v>26</v>
      </c>
      <c r="E282" s="40">
        <f>(D276*E276 + D277*E277 + D278*E278 + D279*E279 + D280*E280)/SUM(E276:E280)</f>
        <v>0</v>
      </c>
      <c r="F282" s="31" t="s">
        <v>26</v>
      </c>
      <c r="G282" s="75">
        <f>(F276*G276 + F277*G277 + F278*G278 + F279*G279 + F280*G280)/SUM(G276:G280)</f>
        <v>51.66666667</v>
      </c>
      <c r="H282" s="59" t="s">
        <v>26</v>
      </c>
      <c r="I282" s="40" t="str">
        <f>(H276*I276 + H277*I277 + H278*I278 + H279*I279 + H280*I280)/SUM(I276:I280)</f>
        <v>#DIV/0!</v>
      </c>
      <c r="J282" s="39" t="s">
        <v>26</v>
      </c>
      <c r="K282" s="40" t="str">
        <f>(J276*K276 + J277*K277 + #REF!*K278 + J278*K279 + J280*K280)/SUM(K276:K280)</f>
        <v>#VALUE!</v>
      </c>
      <c r="L282" s="59" t="s">
        <v>26</v>
      </c>
      <c r="M282" s="40" t="str">
        <f>(L276*M276 + L277*M277 + L278*M278 + L279*M279 + L280*M280)/SUM(M276:M280)</f>
        <v>#DIV/0!</v>
      </c>
    </row>
    <row r="283" ht="14.25" customHeight="1">
      <c r="A283" s="28"/>
      <c r="B283" s="28" t="s">
        <v>91</v>
      </c>
      <c r="C283" s="30" t="s">
        <v>49</v>
      </c>
      <c r="D283" s="37"/>
      <c r="E283" s="30" t="s">
        <v>49</v>
      </c>
      <c r="F283" s="120" t="s">
        <v>88</v>
      </c>
      <c r="G283" s="121" t="s">
        <v>49</v>
      </c>
      <c r="H283" s="1"/>
      <c r="I283" s="30"/>
      <c r="J283" s="28" t="s">
        <v>88</v>
      </c>
      <c r="K283" s="60" t="s">
        <v>49</v>
      </c>
      <c r="L283" s="30"/>
      <c r="M283" s="60" t="s">
        <v>49</v>
      </c>
    </row>
    <row r="284" ht="14.25" customHeight="1">
      <c r="A284" s="37"/>
      <c r="B284" s="46">
        <v>20.0</v>
      </c>
      <c r="C284" s="30"/>
      <c r="D284" s="41"/>
      <c r="E284" s="63"/>
      <c r="F284" s="104"/>
      <c r="G284" s="63"/>
      <c r="H284" s="30"/>
      <c r="I284" s="30"/>
      <c r="J284" s="104"/>
      <c r="K284" s="60"/>
      <c r="L284" s="62"/>
      <c r="M284" s="60"/>
    </row>
    <row r="285" ht="14.25" customHeight="1">
      <c r="A285" s="37"/>
      <c r="B285" s="46">
        <v>60.0</v>
      </c>
      <c r="C285" s="1"/>
      <c r="D285" s="28"/>
      <c r="E285" s="30"/>
      <c r="F285" s="28"/>
      <c r="G285" s="60"/>
      <c r="H285" s="30"/>
      <c r="I285" s="30"/>
      <c r="J285" s="28"/>
      <c r="K285" s="60"/>
      <c r="L285" s="30"/>
      <c r="M285" s="60"/>
    </row>
    <row r="286" ht="14.25" customHeight="1">
      <c r="A286" s="37"/>
      <c r="B286" s="46">
        <v>30.0</v>
      </c>
      <c r="C286" s="1"/>
      <c r="D286" s="28"/>
      <c r="E286" s="1"/>
      <c r="F286" s="28"/>
      <c r="G286" s="60"/>
      <c r="H286" s="30"/>
      <c r="I286" s="30"/>
      <c r="J286" s="37"/>
      <c r="K286" s="60"/>
      <c r="L286" s="30"/>
      <c r="M286" s="60"/>
    </row>
    <row r="287" ht="14.25" customHeight="1">
      <c r="A287" s="37"/>
      <c r="B287" s="46">
        <v>40.0</v>
      </c>
      <c r="C287" s="1"/>
      <c r="D287" s="28"/>
      <c r="E287" s="1"/>
      <c r="F287" s="28"/>
      <c r="G287" s="60"/>
      <c r="H287" s="30"/>
      <c r="I287" s="30"/>
      <c r="J287" s="37"/>
      <c r="K287" s="60"/>
      <c r="L287" s="30"/>
      <c r="M287" s="60"/>
    </row>
    <row r="288" ht="14.25" customHeight="1">
      <c r="A288" s="37"/>
      <c r="B288" s="28">
        <v>30.0</v>
      </c>
      <c r="C288" s="1"/>
      <c r="D288" s="28"/>
      <c r="E288" s="1"/>
      <c r="F288" s="28"/>
      <c r="G288" s="60"/>
      <c r="H288" s="30"/>
      <c r="I288" s="30"/>
      <c r="J288" s="37"/>
      <c r="K288" s="60"/>
      <c r="L288" s="30"/>
      <c r="M288" s="60"/>
    </row>
    <row r="289" ht="14.25" customHeight="1">
      <c r="A289" s="64"/>
      <c r="B289" s="65"/>
      <c r="C289" s="66"/>
      <c r="D289" s="64"/>
      <c r="E289" s="66"/>
      <c r="F289" s="64"/>
      <c r="G289" s="67"/>
      <c r="H289" s="66"/>
      <c r="I289" s="66"/>
      <c r="J289" s="64"/>
      <c r="K289" s="67"/>
      <c r="L289" s="66"/>
      <c r="M289" s="67"/>
    </row>
    <row r="290" ht="14.25" customHeight="1">
      <c r="A290" s="30"/>
      <c r="B290" s="1"/>
      <c r="C290" s="1"/>
      <c r="D290" s="30"/>
      <c r="E290" s="30"/>
      <c r="F290" s="1"/>
      <c r="G290" s="30"/>
      <c r="H290" s="30"/>
      <c r="I290" s="30"/>
      <c r="J290" s="1"/>
      <c r="K290" s="30"/>
      <c r="L290" s="30"/>
      <c r="M290" s="30"/>
    </row>
    <row r="291" ht="14.25" customHeight="1">
      <c r="A291" s="2" t="s">
        <v>2</v>
      </c>
      <c r="B291" s="3" t="s">
        <v>3</v>
      </c>
      <c r="C291" s="4">
        <f>M255+2</f>
        <v>45208</v>
      </c>
      <c r="D291" s="5" t="s">
        <v>4</v>
      </c>
      <c r="E291" s="6">
        <f>C291+1</f>
        <v>45209</v>
      </c>
      <c r="F291" s="3" t="s">
        <v>5</v>
      </c>
      <c r="G291" s="6">
        <f>E291+1</f>
        <v>45210</v>
      </c>
      <c r="H291" s="3" t="s">
        <v>6</v>
      </c>
      <c r="I291" s="6">
        <f>G291+1</f>
        <v>45211</v>
      </c>
      <c r="J291" s="3" t="s">
        <v>7</v>
      </c>
      <c r="K291" s="6">
        <f>I291+1</f>
        <v>45212</v>
      </c>
      <c r="L291" s="7" t="s">
        <v>8</v>
      </c>
      <c r="M291" s="8">
        <f>K291+1</f>
        <v>45213</v>
      </c>
    </row>
    <row r="292" ht="14.25" customHeight="1">
      <c r="A292" s="10">
        <f>A256+1</f>
        <v>9</v>
      </c>
      <c r="B292" s="129" t="s">
        <v>421</v>
      </c>
      <c r="C292" s="130" t="s">
        <v>422</v>
      </c>
      <c r="D292" s="131" t="s">
        <v>421</v>
      </c>
      <c r="E292" s="131" t="s">
        <v>422</v>
      </c>
      <c r="F292" s="129" t="s">
        <v>421</v>
      </c>
      <c r="G292" s="131" t="s">
        <v>422</v>
      </c>
      <c r="H292" s="129" t="s">
        <v>421</v>
      </c>
      <c r="I292" s="131" t="s">
        <v>422</v>
      </c>
      <c r="J292" s="129" t="s">
        <v>421</v>
      </c>
      <c r="K292" s="130" t="s">
        <v>422</v>
      </c>
      <c r="L292" s="131" t="s">
        <v>421</v>
      </c>
      <c r="M292" s="130" t="s">
        <v>422</v>
      </c>
    </row>
    <row r="293" ht="14.25" customHeight="1">
      <c r="A293" s="13" t="s">
        <v>12</v>
      </c>
      <c r="B293" s="20" t="s">
        <v>473</v>
      </c>
      <c r="C293" s="76" t="s">
        <v>465</v>
      </c>
      <c r="D293" s="18" t="s">
        <v>14</v>
      </c>
      <c r="E293" s="18"/>
      <c r="F293" s="20" t="s">
        <v>229</v>
      </c>
      <c r="G293" s="17"/>
      <c r="H293" s="70" t="s">
        <v>446</v>
      </c>
      <c r="I293" s="18"/>
      <c r="J293" s="20" t="s">
        <v>473</v>
      </c>
      <c r="K293" s="76" t="s">
        <v>465</v>
      </c>
      <c r="L293" s="132" t="s">
        <v>14</v>
      </c>
      <c r="M293" s="17"/>
    </row>
    <row r="294" ht="14.25" customHeight="1">
      <c r="A294" s="13"/>
      <c r="B294" s="46">
        <v>100.0</v>
      </c>
      <c r="C294" s="133">
        <v>6.0</v>
      </c>
      <c r="D294" s="134" t="s">
        <v>426</v>
      </c>
      <c r="E294" s="134" t="s">
        <v>466</v>
      </c>
      <c r="F294" s="46">
        <v>70.0</v>
      </c>
      <c r="G294" s="133">
        <v>5.0</v>
      </c>
      <c r="H294" s="120" t="s">
        <v>15</v>
      </c>
      <c r="I294" s="137"/>
      <c r="J294" s="46">
        <v>102.5</v>
      </c>
      <c r="K294" s="133">
        <v>6.0</v>
      </c>
      <c r="L294" s="120" t="s">
        <v>290</v>
      </c>
      <c r="M294" s="138"/>
    </row>
    <row r="295" ht="14.25" customHeight="1">
      <c r="A295" s="13"/>
      <c r="B295" s="46">
        <v>105.0</v>
      </c>
      <c r="C295" s="48">
        <v>6.0</v>
      </c>
      <c r="D295" s="134" t="s">
        <v>427</v>
      </c>
      <c r="E295" s="134" t="s">
        <v>428</v>
      </c>
      <c r="F295" s="46">
        <v>75.0</v>
      </c>
      <c r="G295" s="48">
        <v>3.0</v>
      </c>
      <c r="H295" s="28"/>
      <c r="I295" s="79"/>
      <c r="J295" s="46">
        <v>105.0</v>
      </c>
      <c r="K295" s="48">
        <v>6.0</v>
      </c>
      <c r="L295" s="28"/>
      <c r="M295" s="24"/>
    </row>
    <row r="296" ht="14.25" customHeight="1">
      <c r="A296" s="29" t="s">
        <v>22</v>
      </c>
      <c r="B296" s="46">
        <v>107.5</v>
      </c>
      <c r="C296" s="48">
        <v>6.0</v>
      </c>
      <c r="D296" s="123" t="s">
        <v>467</v>
      </c>
      <c r="E296" s="134"/>
      <c r="F296" s="46">
        <v>77.5</v>
      </c>
      <c r="G296" s="48">
        <v>3.0</v>
      </c>
      <c r="H296" s="28" t="s">
        <v>250</v>
      </c>
      <c r="I296" s="79"/>
      <c r="J296" s="46">
        <v>107.5</v>
      </c>
      <c r="K296" s="48">
        <v>6.0</v>
      </c>
      <c r="L296" s="28"/>
      <c r="M296" s="24"/>
    </row>
    <row r="297" ht="14.25" customHeight="1">
      <c r="A297" s="28" t="s">
        <v>23</v>
      </c>
      <c r="B297" s="46">
        <v>102.5</v>
      </c>
      <c r="C297" s="48">
        <v>6.0</v>
      </c>
      <c r="D297" s="33" t="s">
        <v>80</v>
      </c>
      <c r="E297" s="134"/>
      <c r="F297" s="46">
        <v>80.0</v>
      </c>
      <c r="G297" s="48">
        <v>3.0</v>
      </c>
      <c r="H297" s="13"/>
      <c r="I297" s="34"/>
      <c r="J297" s="46">
        <v>105.0</v>
      </c>
      <c r="K297" s="48">
        <v>6.0</v>
      </c>
      <c r="L297" s="28" t="s">
        <v>431</v>
      </c>
      <c r="M297" s="54" t="s">
        <v>458</v>
      </c>
    </row>
    <row r="298" ht="14.25" customHeight="1">
      <c r="A298" s="13"/>
      <c r="B298" s="13"/>
      <c r="C298" s="24"/>
      <c r="D298" s="73"/>
      <c r="E298" s="135"/>
      <c r="F298" s="13"/>
      <c r="G298" s="34"/>
      <c r="H298" s="13"/>
      <c r="I298" s="34"/>
      <c r="J298" s="13"/>
      <c r="K298" s="24"/>
      <c r="L298" s="28" t="s">
        <v>98</v>
      </c>
      <c r="M298" s="24"/>
    </row>
    <row r="299" ht="14.25" customHeight="1">
      <c r="A299" s="28" t="s">
        <v>433</v>
      </c>
      <c r="B299" s="35" t="s">
        <v>25</v>
      </c>
      <c r="C299" s="58">
        <f>C294*B294 + B295*C295 + B296*C296 + B297*C297 + B298*C298</f>
        <v>2490</v>
      </c>
      <c r="D299" s="57" t="s">
        <v>25</v>
      </c>
      <c r="E299" s="55" t="str">
        <f>E294*D294 + D295*#REF! + E295*E296 + D297*E297 + D298*E298</f>
        <v>#VALUE!</v>
      </c>
      <c r="F299" s="35" t="s">
        <v>25</v>
      </c>
      <c r="G299" s="56">
        <f>G294*F294 + F295*G295 + F296*G296 + F297*G297 + F298*G298</f>
        <v>1047.5</v>
      </c>
      <c r="H299" s="35" t="s">
        <v>25</v>
      </c>
      <c r="I299" s="56" t="str">
        <f>I294*H294 + H295*I295 + H296*I296 + H297*I297 + H298*I298</f>
        <v>#VALUE!</v>
      </c>
      <c r="J299" s="35" t="s">
        <v>25</v>
      </c>
      <c r="K299" s="58">
        <f>K294*J294 + J295*K295 + J296*K296 + J297*K297 + J298*K298</f>
        <v>2520</v>
      </c>
      <c r="L299" s="35" t="s">
        <v>25</v>
      </c>
      <c r="M299" s="36" t="str">
        <f>M294*L294 + L295*M295 + L296*M296 + L297*M297 + L298*M298</f>
        <v>#VALUE!</v>
      </c>
    </row>
    <row r="300" ht="14.25" customHeight="1">
      <c r="A300" s="37"/>
      <c r="B300" s="39" t="s">
        <v>26</v>
      </c>
      <c r="C300" s="116">
        <f>(B294*C294 + B295*C295 + B296*C296 + B297*C297 + B298*C298)/SUM(C294:C298)</f>
        <v>103.75</v>
      </c>
      <c r="D300" s="31" t="s">
        <v>26</v>
      </c>
      <c r="E300" s="74" t="str">
        <f>(D294*E294 + D295*#REF! + E295*E296 + D297*E297 + D298*E298)/SUM(E294:E298)</f>
        <v>#VALUE!</v>
      </c>
      <c r="F300" s="13" t="s">
        <v>26</v>
      </c>
      <c r="G300" s="117">
        <f>(F294*G294 + F295*G295 + F296*G296 + F297*G297 + F298*G298)/SUM(G294:G298)</f>
        <v>74.82142857</v>
      </c>
      <c r="H300" s="13" t="s">
        <v>26</v>
      </c>
      <c r="I300" s="74" t="str">
        <f>(H294*I294 + H295*I295 + H296*I296 + H297*I297 + H298*I298)/SUM(I294:I298)</f>
        <v>#VALUE!</v>
      </c>
      <c r="J300" s="39" t="s">
        <v>26</v>
      </c>
      <c r="K300" s="116">
        <f>(J294*K294 + J295*K295 + J296*K296 + J297*K297 + J298*K298)/SUM(K294:K298)</f>
        <v>105</v>
      </c>
      <c r="L300" s="13" t="s">
        <v>26</v>
      </c>
      <c r="M300" s="75" t="str">
        <f>(L294*M294 + L295*M295 + L296*M296 + L297*M297 + L298*M298)/SUM(M294:M298)</f>
        <v>#VALUE!</v>
      </c>
    </row>
    <row r="301" ht="14.25" customHeight="1">
      <c r="A301" s="28" t="s">
        <v>472</v>
      </c>
      <c r="B301" s="140" t="s">
        <v>421</v>
      </c>
      <c r="C301" s="141" t="s">
        <v>422</v>
      </c>
      <c r="D301" s="142" t="s">
        <v>421</v>
      </c>
      <c r="E301" s="143" t="s">
        <v>422</v>
      </c>
      <c r="F301" s="142" t="s">
        <v>421</v>
      </c>
      <c r="G301" s="143" t="s">
        <v>422</v>
      </c>
      <c r="H301" s="142" t="s">
        <v>421</v>
      </c>
      <c r="I301" s="143" t="s">
        <v>422</v>
      </c>
      <c r="J301" s="140" t="s">
        <v>421</v>
      </c>
      <c r="K301" s="144" t="s">
        <v>422</v>
      </c>
      <c r="L301" s="142" t="s">
        <v>421</v>
      </c>
      <c r="M301" s="145" t="s">
        <v>422</v>
      </c>
    </row>
    <row r="302" ht="14.25" customHeight="1">
      <c r="A302" s="41"/>
      <c r="B302" s="49" t="s">
        <v>304</v>
      </c>
      <c r="C302" s="146"/>
      <c r="D302" s="49" t="s">
        <v>91</v>
      </c>
      <c r="E302" s="147" t="s">
        <v>49</v>
      </c>
      <c r="F302" s="49" t="s">
        <v>304</v>
      </c>
      <c r="G302" s="146"/>
      <c r="H302" s="148" t="s">
        <v>91</v>
      </c>
      <c r="I302" s="147" t="s">
        <v>90</v>
      </c>
      <c r="J302" s="49" t="s">
        <v>304</v>
      </c>
      <c r="K302" s="125"/>
      <c r="L302" s="49" t="s">
        <v>91</v>
      </c>
      <c r="M302" s="118" t="s">
        <v>90</v>
      </c>
    </row>
    <row r="303" ht="14.25" customHeight="1">
      <c r="A303" s="41" t="s">
        <v>474</v>
      </c>
      <c r="B303" s="27">
        <v>200.0</v>
      </c>
      <c r="C303" s="79">
        <v>3.0</v>
      </c>
      <c r="D303" s="46">
        <v>30.0</v>
      </c>
      <c r="E303" s="34"/>
      <c r="F303" s="27">
        <v>202.5</v>
      </c>
      <c r="G303" s="79">
        <v>3.0</v>
      </c>
      <c r="H303" s="28"/>
      <c r="I303" s="34"/>
      <c r="J303" s="27">
        <v>205.0</v>
      </c>
      <c r="K303" s="54">
        <v>3.0</v>
      </c>
      <c r="L303" s="46">
        <v>30.0</v>
      </c>
      <c r="M303" s="54"/>
    </row>
    <row r="304" ht="14.25" customHeight="1">
      <c r="A304" s="28" t="s">
        <v>475</v>
      </c>
      <c r="B304" s="28">
        <v>205.0</v>
      </c>
      <c r="C304" s="79">
        <v>3.0</v>
      </c>
      <c r="D304" s="46">
        <v>20.0</v>
      </c>
      <c r="E304" s="79"/>
      <c r="F304" s="28">
        <v>205.0</v>
      </c>
      <c r="G304" s="79">
        <v>3.0</v>
      </c>
      <c r="H304" s="28"/>
      <c r="I304" s="34"/>
      <c r="J304" s="28">
        <v>210.0</v>
      </c>
      <c r="K304" s="54">
        <v>3.0</v>
      </c>
      <c r="L304" s="46">
        <v>30.0</v>
      </c>
      <c r="M304" s="24"/>
    </row>
    <row r="305" ht="14.25" customHeight="1">
      <c r="A305" s="28"/>
      <c r="B305" s="27">
        <v>207.5</v>
      </c>
      <c r="C305" s="79">
        <v>3.0</v>
      </c>
      <c r="D305" s="46">
        <v>60.0</v>
      </c>
      <c r="E305" s="34"/>
      <c r="F305" s="27">
        <v>210.0</v>
      </c>
      <c r="G305" s="79">
        <v>3.0</v>
      </c>
      <c r="H305" s="28"/>
      <c r="I305" s="34"/>
      <c r="J305" s="27">
        <v>212.5</v>
      </c>
      <c r="K305" s="54">
        <v>3.0</v>
      </c>
      <c r="L305" s="46">
        <v>20.0</v>
      </c>
      <c r="M305" s="24"/>
    </row>
    <row r="306" ht="14.25" customHeight="1">
      <c r="A306" s="28"/>
      <c r="B306" s="28">
        <v>210.0</v>
      </c>
      <c r="C306" s="79">
        <v>3.0</v>
      </c>
      <c r="D306" s="46">
        <v>30.0</v>
      </c>
      <c r="E306" s="79"/>
      <c r="F306" s="28">
        <v>212.5</v>
      </c>
      <c r="G306" s="79">
        <v>3.0</v>
      </c>
      <c r="H306" s="28"/>
      <c r="I306" s="34"/>
      <c r="J306" s="28"/>
      <c r="K306" s="54"/>
      <c r="L306" s="46">
        <v>40.0</v>
      </c>
      <c r="M306" s="54"/>
    </row>
    <row r="307" ht="14.25" customHeight="1">
      <c r="A307" s="28"/>
      <c r="B307" s="13"/>
      <c r="C307" s="34"/>
      <c r="D307" s="46"/>
      <c r="E307" s="34"/>
      <c r="F307" s="13"/>
      <c r="G307" s="34"/>
      <c r="H307" s="28"/>
      <c r="I307" s="34"/>
      <c r="J307" s="13"/>
      <c r="K307" s="24"/>
      <c r="L307" s="46"/>
      <c r="M307" s="24"/>
    </row>
    <row r="308" ht="14.25" customHeight="1">
      <c r="A308" s="28"/>
      <c r="B308" s="13"/>
      <c r="C308" s="34"/>
      <c r="D308" s="28"/>
      <c r="E308" s="34"/>
      <c r="F308" s="13"/>
      <c r="G308" s="34"/>
      <c r="H308" s="28"/>
      <c r="I308" s="34"/>
      <c r="J308" s="13"/>
      <c r="K308" s="24"/>
      <c r="L308" s="28"/>
      <c r="M308" s="24"/>
    </row>
    <row r="309" ht="14.25" customHeight="1">
      <c r="A309" s="28"/>
      <c r="B309" s="35" t="s">
        <v>25</v>
      </c>
      <c r="C309" s="55">
        <f>C303*B303 + B304*C304 + B305*C305 + B306*C306 + B308*C308</f>
        <v>2467.5</v>
      </c>
      <c r="D309" s="35" t="s">
        <v>25</v>
      </c>
      <c r="E309" s="55">
        <f>E303*D303 + D304*E304 + D305*E305 + D306*E306 + D308*E308</f>
        <v>0</v>
      </c>
      <c r="F309" s="35" t="s">
        <v>25</v>
      </c>
      <c r="G309" s="55">
        <f>G303*F303 + F304*G304 + F305*G305 + F306*G306 + F308*G308</f>
        <v>2490</v>
      </c>
      <c r="H309" s="35" t="s">
        <v>25</v>
      </c>
      <c r="I309" s="56">
        <f>I303*H303 + H304*I304 + H305*I305 + H306*I306 + H308*I308</f>
        <v>0</v>
      </c>
      <c r="J309" s="35" t="s">
        <v>25</v>
      </c>
      <c r="K309" s="36">
        <f>K303*J303 + J304*K304 + J305*K305 + J306*K306 + J308*K308</f>
        <v>1882.5</v>
      </c>
      <c r="L309" s="35" t="s">
        <v>25</v>
      </c>
      <c r="M309" s="36">
        <f>M303*L303 + L304*M304 + L305*M305 + L306*M306 + L308*M308</f>
        <v>0</v>
      </c>
    </row>
    <row r="310" ht="14.25" customHeight="1">
      <c r="A310" s="28"/>
      <c r="B310" s="39" t="s">
        <v>26</v>
      </c>
      <c r="C310" s="77">
        <f>(B303*C303 + B304*C304 + B305*C305 + B306*C306 + B308*C308)/SUM(C303:C308)</f>
        <v>205.625</v>
      </c>
      <c r="D310" s="39" t="s">
        <v>26</v>
      </c>
      <c r="E310" s="77" t="str">
        <f>(D303*E303 + D304*E304 + D305*E305 + D306*E306 + D308*E308)/SUM(E303:E308)</f>
        <v>#DIV/0!</v>
      </c>
      <c r="F310" s="39" t="s">
        <v>26</v>
      </c>
      <c r="G310" s="77">
        <f>(F303*G303 + F304*G304 + F305*G305 + F306*G306 + F308*G308)/SUM(G303:G308)</f>
        <v>207.5</v>
      </c>
      <c r="H310" s="39" t="s">
        <v>26</v>
      </c>
      <c r="I310" s="77" t="str">
        <f>(H303*I303 + H304*I304 + H305*I305 + H306*I306 + H308*I308)/SUM(I303:I308)</f>
        <v>#DIV/0!</v>
      </c>
      <c r="J310" s="39" t="s">
        <v>26</v>
      </c>
      <c r="K310" s="40">
        <f>(J303*K303 + J304*K304 + J305*K305 + J306*K306 + J308*K308)/SUM(K303:K308)</f>
        <v>209.1666667</v>
      </c>
      <c r="L310" s="39" t="s">
        <v>26</v>
      </c>
      <c r="M310" s="40" t="str">
        <f>(L303*M303 + L304*M304 + L305*M305 + L306*M306 + L308*M308)/SUM(M303:M308)</f>
        <v>#DIV/0!</v>
      </c>
    </row>
    <row r="311" ht="14.25" customHeight="1">
      <c r="A311" s="13"/>
      <c r="B311" s="49" t="s">
        <v>461</v>
      </c>
      <c r="C311" s="146"/>
      <c r="D311" s="49" t="s">
        <v>249</v>
      </c>
      <c r="E311" s="146"/>
      <c r="F311" s="49" t="s">
        <v>245</v>
      </c>
      <c r="G311" s="146"/>
      <c r="H311" s="49" t="s">
        <v>33</v>
      </c>
      <c r="I311" s="146"/>
      <c r="J311" s="49" t="s">
        <v>461</v>
      </c>
      <c r="K311" s="146"/>
      <c r="L311" s="49" t="s">
        <v>105</v>
      </c>
      <c r="M311" s="118" t="s">
        <v>49</v>
      </c>
    </row>
    <row r="312" ht="14.25" customHeight="1">
      <c r="A312" s="13"/>
      <c r="B312" s="27" t="s">
        <v>235</v>
      </c>
      <c r="C312" s="79">
        <v>8.0</v>
      </c>
      <c r="D312" s="27"/>
      <c r="E312" s="79">
        <v>6.0</v>
      </c>
      <c r="F312" s="27">
        <v>45.0</v>
      </c>
      <c r="G312" s="79">
        <v>6.0</v>
      </c>
      <c r="H312" s="28"/>
      <c r="I312" s="34"/>
      <c r="J312" s="27" t="s">
        <v>235</v>
      </c>
      <c r="K312" s="54">
        <v>8.0</v>
      </c>
      <c r="L312" s="152"/>
      <c r="M312" s="24"/>
    </row>
    <row r="313" ht="14.25" customHeight="1">
      <c r="A313" s="28"/>
      <c r="B313" s="28" t="s">
        <v>235</v>
      </c>
      <c r="C313" s="79">
        <v>8.0</v>
      </c>
      <c r="D313" s="28"/>
      <c r="E313" s="79">
        <v>6.0</v>
      </c>
      <c r="F313" s="28">
        <v>50.0</v>
      </c>
      <c r="G313" s="79">
        <v>6.0</v>
      </c>
      <c r="H313" s="28"/>
      <c r="I313" s="34"/>
      <c r="J313" s="28" t="s">
        <v>235</v>
      </c>
      <c r="K313" s="54">
        <v>8.0</v>
      </c>
      <c r="L313" s="1"/>
      <c r="M313" s="54"/>
    </row>
    <row r="314" ht="14.25" customHeight="1">
      <c r="A314" s="28"/>
      <c r="B314" s="27" t="s">
        <v>235</v>
      </c>
      <c r="C314" s="79">
        <v>8.0</v>
      </c>
      <c r="D314" s="28"/>
      <c r="E314" s="79">
        <v>6.0</v>
      </c>
      <c r="F314" s="27">
        <v>60.0</v>
      </c>
      <c r="G314" s="79">
        <v>6.0</v>
      </c>
      <c r="H314" s="28"/>
      <c r="I314" s="34"/>
      <c r="J314" s="28" t="s">
        <v>235</v>
      </c>
      <c r="K314" s="54">
        <v>8.0</v>
      </c>
      <c r="L314" s="1"/>
      <c r="M314" s="24"/>
    </row>
    <row r="315" ht="14.25" customHeight="1">
      <c r="A315" s="37"/>
      <c r="B315" s="28" t="s">
        <v>469</v>
      </c>
      <c r="C315" s="79"/>
      <c r="D315" s="28"/>
      <c r="E315" s="79"/>
      <c r="F315" s="28"/>
      <c r="G315" s="34"/>
      <c r="H315" s="28"/>
      <c r="I315" s="34"/>
      <c r="J315" s="28" t="s">
        <v>469</v>
      </c>
      <c r="K315" s="54"/>
      <c r="L315" s="1"/>
      <c r="M315" s="24"/>
    </row>
    <row r="316" ht="14.25" customHeight="1">
      <c r="A316" s="13"/>
      <c r="B316" s="13"/>
      <c r="C316" s="34"/>
      <c r="D316" s="28"/>
      <c r="E316" s="34"/>
      <c r="F316" s="13"/>
      <c r="G316" s="34"/>
      <c r="H316" s="28"/>
      <c r="I316" s="34"/>
      <c r="J316" s="13"/>
      <c r="K316" s="24"/>
      <c r="L316" s="31"/>
      <c r="M316" s="24"/>
    </row>
    <row r="317" ht="14.25" customHeight="1">
      <c r="A317" s="13"/>
      <c r="B317" s="35" t="s">
        <v>25</v>
      </c>
      <c r="C317" s="55" t="str">
        <f>C312*B312 + B313*C313 + B314*C314 + B315*C315 + B316*C316</f>
        <v>#VALUE!</v>
      </c>
      <c r="D317" s="35" t="s">
        <v>25</v>
      </c>
      <c r="E317" s="55">
        <f>E312*D312 + D313*E313 + D314*E314 + D315*E315 + D316*E316</f>
        <v>0</v>
      </c>
      <c r="F317" s="35" t="s">
        <v>25</v>
      </c>
      <c r="G317" s="55">
        <f>G312*F312 + F313*G313 + F314*G314 + F315*G315 + F316*G316</f>
        <v>930</v>
      </c>
      <c r="H317" s="35" t="s">
        <v>25</v>
      </c>
      <c r="I317" s="56">
        <f>I312*H312 + H313*I313 + H314*I314 + H315*I315 + H316*I316</f>
        <v>0</v>
      </c>
      <c r="J317" s="35" t="s">
        <v>25</v>
      </c>
      <c r="K317" s="36" t="str">
        <f>K312*J312 + J313*K313 + #REF!*K314 + J314*K315 + J316*K316</f>
        <v>#VALUE!</v>
      </c>
      <c r="L317" s="57" t="s">
        <v>25</v>
      </c>
      <c r="M317" s="58">
        <f>M312*L312 + L313*M313 + L314*M314 + L315*M315 + L316*M316</f>
        <v>0</v>
      </c>
    </row>
    <row r="318" ht="14.25" customHeight="1">
      <c r="A318" s="13"/>
      <c r="B318" s="39" t="s">
        <v>26</v>
      </c>
      <c r="C318" s="40" t="str">
        <f>(B312*C312 + B313*C313 + B314*C314 + B315*C315 + B316*C316)/SUM(C312:C316)</f>
        <v>#VALUE!</v>
      </c>
      <c r="D318" s="59" t="s">
        <v>26</v>
      </c>
      <c r="E318" s="40">
        <f>(D312*E312 + D313*E313 + D314*E314 + D315*E315 + D316*E316)/SUM(E312:E316)</f>
        <v>0</v>
      </c>
      <c r="F318" s="31" t="s">
        <v>26</v>
      </c>
      <c r="G318" s="75">
        <f>(F312*G312 + F313*G313 + F314*G314 + F315*G315 + F316*G316)/SUM(G312:G316)</f>
        <v>51.66666667</v>
      </c>
      <c r="H318" s="59" t="s">
        <v>26</v>
      </c>
      <c r="I318" s="40" t="str">
        <f>(H312*I312 + H313*I313 + H314*I314 + H315*I315 + H316*I316)/SUM(I312:I316)</f>
        <v>#DIV/0!</v>
      </c>
      <c r="J318" s="39" t="s">
        <v>26</v>
      </c>
      <c r="K318" s="40" t="str">
        <f>(J312*K312 + J313*K313 + #REF!*K314 + J314*K315 + J316*K316)/SUM(K312:K316)</f>
        <v>#VALUE!</v>
      </c>
      <c r="L318" s="59" t="s">
        <v>26</v>
      </c>
      <c r="M318" s="40" t="str">
        <f>(L312*M312 + L313*M313 + L314*M314 + L315*M315 + L316*M316)/SUM(M312:M316)</f>
        <v>#DIV/0!</v>
      </c>
    </row>
    <row r="319" ht="14.25" customHeight="1">
      <c r="A319" s="28"/>
      <c r="B319" s="28" t="s">
        <v>91</v>
      </c>
      <c r="C319" s="30" t="s">
        <v>49</v>
      </c>
      <c r="D319" s="37"/>
      <c r="E319" s="30" t="s">
        <v>49</v>
      </c>
      <c r="F319" s="120" t="s">
        <v>88</v>
      </c>
      <c r="G319" s="121" t="s">
        <v>49</v>
      </c>
      <c r="H319" s="1"/>
      <c r="I319" s="30"/>
      <c r="J319" s="28" t="s">
        <v>88</v>
      </c>
      <c r="K319" s="60" t="s">
        <v>49</v>
      </c>
      <c r="L319" s="30"/>
      <c r="M319" s="60" t="s">
        <v>49</v>
      </c>
    </row>
    <row r="320" ht="14.25" customHeight="1">
      <c r="A320" s="37"/>
      <c r="B320" s="46">
        <v>20.0</v>
      </c>
      <c r="C320" s="30"/>
      <c r="D320" s="41"/>
      <c r="E320" s="63"/>
      <c r="F320" s="104"/>
      <c r="G320" s="63"/>
      <c r="H320" s="30"/>
      <c r="I320" s="30"/>
      <c r="J320" s="104"/>
      <c r="K320" s="60"/>
      <c r="L320" s="62"/>
      <c r="M320" s="60"/>
    </row>
    <row r="321" ht="14.25" customHeight="1">
      <c r="A321" s="37"/>
      <c r="B321" s="46">
        <v>60.0</v>
      </c>
      <c r="C321" s="1"/>
      <c r="D321" s="28"/>
      <c r="E321" s="30"/>
      <c r="F321" s="28"/>
      <c r="G321" s="60"/>
      <c r="H321" s="30"/>
      <c r="I321" s="30"/>
      <c r="J321" s="28"/>
      <c r="K321" s="60"/>
      <c r="L321" s="30"/>
      <c r="M321" s="60"/>
    </row>
    <row r="322" ht="14.25" customHeight="1">
      <c r="A322" s="37"/>
      <c r="B322" s="46">
        <v>30.0</v>
      </c>
      <c r="C322" s="1"/>
      <c r="D322" s="28"/>
      <c r="E322" s="1"/>
      <c r="F322" s="28"/>
      <c r="G322" s="60"/>
      <c r="H322" s="30"/>
      <c r="I322" s="30"/>
      <c r="J322" s="37"/>
      <c r="K322" s="60"/>
      <c r="L322" s="30"/>
      <c r="M322" s="60"/>
    </row>
    <row r="323" ht="14.25" customHeight="1">
      <c r="A323" s="37"/>
      <c r="B323" s="46">
        <v>20.0</v>
      </c>
      <c r="C323" s="1"/>
      <c r="D323" s="28"/>
      <c r="E323" s="1"/>
      <c r="F323" s="28"/>
      <c r="G323" s="60"/>
      <c r="H323" s="30"/>
      <c r="I323" s="30"/>
      <c r="J323" s="37"/>
      <c r="K323" s="60"/>
      <c r="L323" s="30"/>
      <c r="M323" s="60"/>
    </row>
    <row r="324" ht="14.25" customHeight="1">
      <c r="A324" s="37"/>
      <c r="B324" s="28"/>
      <c r="C324" s="1"/>
      <c r="D324" s="28"/>
      <c r="E324" s="1"/>
      <c r="F324" s="28"/>
      <c r="G324" s="60"/>
      <c r="H324" s="30"/>
      <c r="I324" s="30"/>
      <c r="J324" s="37"/>
      <c r="K324" s="60"/>
      <c r="L324" s="30"/>
      <c r="M324" s="60"/>
    </row>
    <row r="325" ht="14.25" customHeight="1">
      <c r="A325" s="64"/>
      <c r="B325" s="65"/>
      <c r="C325" s="66"/>
      <c r="D325" s="64"/>
      <c r="E325" s="66"/>
      <c r="F325" s="64"/>
      <c r="G325" s="67"/>
      <c r="H325" s="66"/>
      <c r="I325" s="66"/>
      <c r="J325" s="64"/>
      <c r="K325" s="67"/>
      <c r="L325" s="66"/>
      <c r="M325" s="67"/>
    </row>
    <row r="326" ht="14.25" customHeight="1">
      <c r="A326" s="30"/>
      <c r="B326" s="1"/>
      <c r="C326" s="1"/>
      <c r="D326" s="30"/>
      <c r="E326" s="30"/>
      <c r="F326" s="1"/>
      <c r="G326" s="30"/>
      <c r="H326" s="30"/>
      <c r="I326" s="30"/>
      <c r="J326" s="1"/>
      <c r="K326" s="30"/>
      <c r="L326" s="30"/>
      <c r="M326" s="30"/>
    </row>
    <row r="327" ht="14.25" customHeight="1">
      <c r="A327" s="2" t="s">
        <v>2</v>
      </c>
      <c r="B327" s="3" t="s">
        <v>3</v>
      </c>
      <c r="C327" s="4">
        <f>M291+2</f>
        <v>45215</v>
      </c>
      <c r="D327" s="5" t="s">
        <v>4</v>
      </c>
      <c r="E327" s="6">
        <f>C327+1</f>
        <v>45216</v>
      </c>
      <c r="F327" s="3" t="s">
        <v>5</v>
      </c>
      <c r="G327" s="6">
        <f>E327+1</f>
        <v>45217</v>
      </c>
      <c r="H327" s="3" t="s">
        <v>6</v>
      </c>
      <c r="I327" s="6">
        <f>G327+1</f>
        <v>45218</v>
      </c>
      <c r="J327" s="3" t="s">
        <v>7</v>
      </c>
      <c r="K327" s="6">
        <f>I327+1</f>
        <v>45219</v>
      </c>
      <c r="L327" s="7" t="s">
        <v>8</v>
      </c>
      <c r="M327" s="8">
        <f>K327+1</f>
        <v>45220</v>
      </c>
    </row>
    <row r="328" ht="14.25" customHeight="1">
      <c r="A328" s="10">
        <f>A292+1</f>
        <v>10</v>
      </c>
      <c r="B328" s="129" t="s">
        <v>421</v>
      </c>
      <c r="C328" s="130" t="s">
        <v>422</v>
      </c>
      <c r="D328" s="131" t="s">
        <v>421</v>
      </c>
      <c r="E328" s="131" t="s">
        <v>422</v>
      </c>
      <c r="F328" s="129" t="s">
        <v>421</v>
      </c>
      <c r="G328" s="131" t="s">
        <v>422</v>
      </c>
      <c r="H328" s="129" t="s">
        <v>421</v>
      </c>
      <c r="I328" s="131" t="s">
        <v>422</v>
      </c>
      <c r="J328" s="129" t="s">
        <v>421</v>
      </c>
      <c r="K328" s="130" t="s">
        <v>422</v>
      </c>
      <c r="L328" s="131" t="s">
        <v>421</v>
      </c>
      <c r="M328" s="130" t="s">
        <v>422</v>
      </c>
    </row>
    <row r="329" ht="14.25" customHeight="1">
      <c r="A329" s="13" t="s">
        <v>12</v>
      </c>
      <c r="B329" s="20" t="s">
        <v>473</v>
      </c>
      <c r="C329" s="76" t="s">
        <v>465</v>
      </c>
      <c r="D329" s="18" t="s">
        <v>14</v>
      </c>
      <c r="E329" s="18"/>
      <c r="F329" s="20" t="s">
        <v>229</v>
      </c>
      <c r="G329" s="17"/>
      <c r="H329" s="70" t="s">
        <v>446</v>
      </c>
      <c r="I329" s="18"/>
      <c r="J329" s="20" t="s">
        <v>473</v>
      </c>
      <c r="K329" s="76" t="s">
        <v>465</v>
      </c>
      <c r="L329" s="132" t="s">
        <v>14</v>
      </c>
      <c r="M329" s="17"/>
    </row>
    <row r="330" ht="14.25" customHeight="1">
      <c r="A330" s="13"/>
      <c r="B330" s="46">
        <v>110.0</v>
      </c>
      <c r="C330" s="133">
        <v>6.0</v>
      </c>
      <c r="D330" s="134" t="s">
        <v>426</v>
      </c>
      <c r="E330" s="134" t="s">
        <v>466</v>
      </c>
      <c r="F330" s="46">
        <v>75.0</v>
      </c>
      <c r="G330" s="133">
        <v>3.0</v>
      </c>
      <c r="H330" s="120" t="s">
        <v>15</v>
      </c>
      <c r="I330" s="137"/>
      <c r="J330" s="46">
        <v>115.0</v>
      </c>
      <c r="K330" s="133">
        <v>6.0</v>
      </c>
      <c r="L330" s="120" t="s">
        <v>290</v>
      </c>
      <c r="M330" s="150" t="s">
        <v>476</v>
      </c>
    </row>
    <row r="331" ht="14.25" customHeight="1">
      <c r="A331" s="13"/>
      <c r="B331" s="46">
        <v>112.5</v>
      </c>
      <c r="C331" s="48">
        <v>6.0</v>
      </c>
      <c r="D331" s="134" t="s">
        <v>427</v>
      </c>
      <c r="E331" s="134" t="s">
        <v>428</v>
      </c>
      <c r="F331" s="46">
        <v>80.0</v>
      </c>
      <c r="G331" s="48">
        <v>3.0</v>
      </c>
      <c r="H331" s="28"/>
      <c r="I331" s="79"/>
      <c r="J331" s="46">
        <v>117.5</v>
      </c>
      <c r="K331" s="48">
        <v>6.0</v>
      </c>
      <c r="L331" s="28"/>
      <c r="M331" s="24"/>
    </row>
    <row r="332" ht="14.25" customHeight="1">
      <c r="A332" s="29" t="s">
        <v>22</v>
      </c>
      <c r="B332" s="46">
        <v>115.0</v>
      </c>
      <c r="C332" s="48">
        <v>6.0</v>
      </c>
      <c r="D332" s="123" t="s">
        <v>467</v>
      </c>
      <c r="E332" s="134"/>
      <c r="F332" s="46">
        <v>82.5</v>
      </c>
      <c r="G332" s="48">
        <v>3.0</v>
      </c>
      <c r="H332" s="28" t="s">
        <v>250</v>
      </c>
      <c r="I332" s="79"/>
      <c r="J332" s="46">
        <v>120.0</v>
      </c>
      <c r="K332" s="48">
        <v>6.0</v>
      </c>
      <c r="L332" s="28"/>
      <c r="M332" s="24"/>
    </row>
    <row r="333" ht="14.25" customHeight="1">
      <c r="A333" s="28" t="s">
        <v>23</v>
      </c>
      <c r="B333" s="46">
        <v>117.5</v>
      </c>
      <c r="C333" s="48">
        <v>6.0</v>
      </c>
      <c r="D333" s="33" t="s">
        <v>210</v>
      </c>
      <c r="E333" s="134"/>
      <c r="F333" s="46">
        <v>85.0</v>
      </c>
      <c r="G333" s="48">
        <v>3.0</v>
      </c>
      <c r="H333" s="13"/>
      <c r="I333" s="34"/>
      <c r="J333" s="46"/>
      <c r="K333" s="48"/>
      <c r="L333" s="28" t="s">
        <v>431</v>
      </c>
      <c r="M333" s="54" t="s">
        <v>458</v>
      </c>
    </row>
    <row r="334" ht="14.25" customHeight="1">
      <c r="A334" s="13"/>
      <c r="B334" s="13"/>
      <c r="C334" s="24"/>
      <c r="D334" s="33" t="s">
        <v>299</v>
      </c>
      <c r="E334" s="135"/>
      <c r="F334" s="13"/>
      <c r="G334" s="34"/>
      <c r="H334" s="13"/>
      <c r="I334" s="34"/>
      <c r="J334" s="13"/>
      <c r="K334" s="24"/>
      <c r="L334" s="28" t="s">
        <v>98</v>
      </c>
      <c r="M334" s="24"/>
    </row>
    <row r="335" ht="14.25" customHeight="1">
      <c r="A335" s="28" t="s">
        <v>433</v>
      </c>
      <c r="B335" s="35" t="s">
        <v>25</v>
      </c>
      <c r="C335" s="58">
        <f>C330*B330 + B331*C331 + B332*C332 + B333*C333 + B334*C334</f>
        <v>2730</v>
      </c>
      <c r="D335" s="57" t="s">
        <v>25</v>
      </c>
      <c r="E335" s="55" t="str">
        <f>E330*D330 + D331*#REF! + E331*E332 + D333*E333 + D334*E334</f>
        <v>#VALUE!</v>
      </c>
      <c r="F335" s="35" t="s">
        <v>25</v>
      </c>
      <c r="G335" s="56">
        <f>G330*F330 + F331*G331 + F332*G332 + F333*G333 + F334*G334</f>
        <v>967.5</v>
      </c>
      <c r="H335" s="35" t="s">
        <v>25</v>
      </c>
      <c r="I335" s="56" t="str">
        <f>I330*H330 + H331*I331 + H332*I332 + H333*I333 + H334*I334</f>
        <v>#VALUE!</v>
      </c>
      <c r="J335" s="35" t="s">
        <v>25</v>
      </c>
      <c r="K335" s="58">
        <f>K330*J330 + J331*K331 + J332*K332 + J333*K333 + J334*K334</f>
        <v>2115</v>
      </c>
      <c r="L335" s="35" t="s">
        <v>25</v>
      </c>
      <c r="M335" s="36" t="str">
        <f>M330*L330 + L331*M331 + L332*M332 + L333*M333 + L334*M334</f>
        <v>#VALUE!</v>
      </c>
    </row>
    <row r="336" ht="14.25" customHeight="1">
      <c r="A336" s="37"/>
      <c r="B336" s="39" t="s">
        <v>26</v>
      </c>
      <c r="C336" s="116">
        <f>(B330*C330 + B331*C331 + B332*C332 + B333*C333 + B334*C334)/SUM(C330:C334)</f>
        <v>113.75</v>
      </c>
      <c r="D336" s="31" t="s">
        <v>26</v>
      </c>
      <c r="E336" s="74" t="str">
        <f>(D330*E330 + D331*#REF! + E331*E332 + D333*E333 + D334*E334)/SUM(E330:E334)</f>
        <v>#VALUE!</v>
      </c>
      <c r="F336" s="13" t="s">
        <v>26</v>
      </c>
      <c r="G336" s="117">
        <f>(F330*G330 + F331*G331 + F332*G332 + F333*G333 + F334*G334)/SUM(G330:G334)</f>
        <v>80.625</v>
      </c>
      <c r="H336" s="13" t="s">
        <v>26</v>
      </c>
      <c r="I336" s="74" t="str">
        <f>(H330*I330 + H331*I331 + H332*I332 + H333*I333 + H334*I334)/SUM(I330:I334)</f>
        <v>#VALUE!</v>
      </c>
      <c r="J336" s="39" t="s">
        <v>26</v>
      </c>
      <c r="K336" s="116">
        <f>(J330*K330 + J331*K331 + J332*K332 + J333*K333 + J334*K334)/SUM(K330:K334)</f>
        <v>117.5</v>
      </c>
      <c r="L336" s="13" t="s">
        <v>26</v>
      </c>
      <c r="M336" s="75" t="str">
        <f>(L330*M330 + L331*M331 + L332*M332 + L333*M333 + L334*M334)/SUM(M330:M334)</f>
        <v>#VALUE!</v>
      </c>
    </row>
    <row r="337" ht="14.25" customHeight="1">
      <c r="A337" s="28" t="s">
        <v>472</v>
      </c>
      <c r="B337" s="140" t="s">
        <v>421</v>
      </c>
      <c r="C337" s="141" t="s">
        <v>422</v>
      </c>
      <c r="D337" s="142" t="s">
        <v>421</v>
      </c>
      <c r="E337" s="143" t="s">
        <v>422</v>
      </c>
      <c r="F337" s="142" t="s">
        <v>421</v>
      </c>
      <c r="G337" s="143" t="s">
        <v>422</v>
      </c>
      <c r="H337" s="142" t="s">
        <v>421</v>
      </c>
      <c r="I337" s="143" t="s">
        <v>422</v>
      </c>
      <c r="J337" s="140" t="s">
        <v>421</v>
      </c>
      <c r="K337" s="144" t="s">
        <v>422</v>
      </c>
      <c r="L337" s="142" t="s">
        <v>421</v>
      </c>
      <c r="M337" s="145" t="s">
        <v>422</v>
      </c>
    </row>
    <row r="338" ht="14.25" customHeight="1">
      <c r="A338" s="41"/>
      <c r="B338" s="49" t="s">
        <v>304</v>
      </c>
      <c r="C338" s="146"/>
      <c r="D338" s="49" t="s">
        <v>91</v>
      </c>
      <c r="E338" s="147" t="s">
        <v>49</v>
      </c>
      <c r="F338" s="49" t="s">
        <v>304</v>
      </c>
      <c r="G338" s="146"/>
      <c r="H338" s="148" t="s">
        <v>91</v>
      </c>
      <c r="I338" s="147" t="s">
        <v>90</v>
      </c>
      <c r="J338" s="49" t="s">
        <v>304</v>
      </c>
      <c r="K338" s="125"/>
      <c r="L338" s="49" t="s">
        <v>91</v>
      </c>
      <c r="M338" s="118" t="s">
        <v>90</v>
      </c>
    </row>
    <row r="339" ht="14.25" customHeight="1">
      <c r="A339" s="41" t="s">
        <v>474</v>
      </c>
      <c r="B339" s="27">
        <v>210.0</v>
      </c>
      <c r="C339" s="79">
        <v>3.0</v>
      </c>
      <c r="D339" s="46">
        <v>30.0</v>
      </c>
      <c r="E339" s="34"/>
      <c r="F339" s="27">
        <v>212.5</v>
      </c>
      <c r="G339" s="79">
        <v>3.0</v>
      </c>
      <c r="H339" s="28"/>
      <c r="I339" s="34"/>
      <c r="J339" s="27">
        <v>215.0</v>
      </c>
      <c r="K339" s="54">
        <v>3.0</v>
      </c>
      <c r="L339" s="46">
        <v>40.0</v>
      </c>
      <c r="M339" s="54"/>
    </row>
    <row r="340" ht="14.25" customHeight="1">
      <c r="A340" s="28" t="s">
        <v>475</v>
      </c>
      <c r="B340" s="28">
        <v>212.5</v>
      </c>
      <c r="C340" s="79">
        <v>3.0</v>
      </c>
      <c r="D340" s="46">
        <v>60.0</v>
      </c>
      <c r="E340" s="79"/>
      <c r="F340" s="28">
        <v>215.0</v>
      </c>
      <c r="G340" s="79">
        <v>3.0</v>
      </c>
      <c r="H340" s="28"/>
      <c r="I340" s="34"/>
      <c r="J340" s="28">
        <v>217.5</v>
      </c>
      <c r="K340" s="54">
        <v>3.0</v>
      </c>
      <c r="L340" s="46">
        <v>30.0</v>
      </c>
      <c r="M340" s="24"/>
    </row>
    <row r="341" ht="14.25" customHeight="1">
      <c r="A341" s="28"/>
      <c r="B341" s="27">
        <v>215.0</v>
      </c>
      <c r="C341" s="79">
        <v>3.0</v>
      </c>
      <c r="D341" s="46">
        <v>30.0</v>
      </c>
      <c r="E341" s="34"/>
      <c r="F341" s="27">
        <v>217.5</v>
      </c>
      <c r="G341" s="79">
        <v>3.0</v>
      </c>
      <c r="H341" s="28"/>
      <c r="I341" s="34"/>
      <c r="J341" s="27">
        <v>220.0</v>
      </c>
      <c r="K341" s="54">
        <v>3.0</v>
      </c>
      <c r="L341" s="46">
        <v>20.0</v>
      </c>
      <c r="M341" s="24"/>
    </row>
    <row r="342" ht="14.25" customHeight="1">
      <c r="A342" s="28"/>
      <c r="B342" s="28">
        <v>217.5</v>
      </c>
      <c r="C342" s="79">
        <v>3.0</v>
      </c>
      <c r="D342" s="46">
        <v>20.0</v>
      </c>
      <c r="E342" s="79"/>
      <c r="F342" s="28"/>
      <c r="G342" s="79"/>
      <c r="H342" s="28"/>
      <c r="I342" s="34"/>
      <c r="J342" s="28"/>
      <c r="K342" s="54"/>
      <c r="L342" s="46">
        <v>20.0</v>
      </c>
      <c r="M342" s="54"/>
    </row>
    <row r="343" ht="14.25" customHeight="1">
      <c r="A343" s="28"/>
      <c r="B343" s="13"/>
      <c r="C343" s="34"/>
      <c r="D343" s="46"/>
      <c r="E343" s="34"/>
      <c r="F343" s="13"/>
      <c r="G343" s="34"/>
      <c r="H343" s="28"/>
      <c r="I343" s="34"/>
      <c r="J343" s="13"/>
      <c r="K343" s="24"/>
      <c r="L343" s="46"/>
      <c r="M343" s="24"/>
    </row>
    <row r="344" ht="14.25" customHeight="1">
      <c r="A344" s="28"/>
      <c r="B344" s="13"/>
      <c r="C344" s="34"/>
      <c r="D344" s="28"/>
      <c r="E344" s="34"/>
      <c r="F344" s="13"/>
      <c r="G344" s="34"/>
      <c r="H344" s="28"/>
      <c r="I344" s="34"/>
      <c r="J344" s="13"/>
      <c r="K344" s="24"/>
      <c r="L344" s="28"/>
      <c r="M344" s="24"/>
    </row>
    <row r="345" ht="14.25" customHeight="1">
      <c r="A345" s="28"/>
      <c r="B345" s="35" t="s">
        <v>25</v>
      </c>
      <c r="C345" s="55">
        <f>C339*B339 + B340*C340 + B341*C341 + B342*C342 + B344*C344</f>
        <v>2565</v>
      </c>
      <c r="D345" s="35" t="s">
        <v>25</v>
      </c>
      <c r="E345" s="55">
        <f>E339*D339 + D340*E340 + D341*E341 + D342*E342 + D344*E344</f>
        <v>0</v>
      </c>
      <c r="F345" s="35" t="s">
        <v>25</v>
      </c>
      <c r="G345" s="55">
        <f>G339*F339 + F340*G340 + F341*G341 + F342*G342 + F344*G344</f>
        <v>1935</v>
      </c>
      <c r="H345" s="35" t="s">
        <v>25</v>
      </c>
      <c r="I345" s="56">
        <f>I339*H339 + H340*I340 + H341*I341 + H342*I342 + H344*I344</f>
        <v>0</v>
      </c>
      <c r="J345" s="35" t="s">
        <v>25</v>
      </c>
      <c r="K345" s="36">
        <f>K339*J339 + J340*K340 + J341*K341 + J342*K342 + J344*K344</f>
        <v>1957.5</v>
      </c>
      <c r="L345" s="35" t="s">
        <v>25</v>
      </c>
      <c r="M345" s="36">
        <f>M339*L339 + L340*M340 + L341*M341 + L342*M342 + L344*M344</f>
        <v>0</v>
      </c>
    </row>
    <row r="346" ht="14.25" customHeight="1">
      <c r="A346" s="28"/>
      <c r="B346" s="39" t="s">
        <v>26</v>
      </c>
      <c r="C346" s="77">
        <f>(B339*C339 + B340*C340 + B341*C341 + B342*C342 + B344*C344)/SUM(C339:C344)</f>
        <v>213.75</v>
      </c>
      <c r="D346" s="39" t="s">
        <v>26</v>
      </c>
      <c r="E346" s="77" t="str">
        <f>(D339*E339 + D340*E340 + D341*E341 + D342*E342 + D344*E344)/SUM(E339:E344)</f>
        <v>#DIV/0!</v>
      </c>
      <c r="F346" s="39" t="s">
        <v>26</v>
      </c>
      <c r="G346" s="77">
        <f>(F339*G339 + F340*G340 + F341*G341 + F342*G342 + F344*G344)/SUM(G339:G344)</f>
        <v>215</v>
      </c>
      <c r="H346" s="39" t="s">
        <v>26</v>
      </c>
      <c r="I346" s="77" t="str">
        <f>(H339*I339 + H340*I340 + H341*I341 + H342*I342 + H344*I344)/SUM(I339:I344)</f>
        <v>#DIV/0!</v>
      </c>
      <c r="J346" s="39" t="s">
        <v>26</v>
      </c>
      <c r="K346" s="40">
        <f>(J339*K339 + J340*K340 + J341*K341 + J342*K342 + J344*K344)/SUM(K339:K344)</f>
        <v>217.5</v>
      </c>
      <c r="L346" s="39" t="s">
        <v>26</v>
      </c>
      <c r="M346" s="40" t="str">
        <f>(L339*M339 + L340*M340 + L341*M341 + L342*M342 + L344*M344)/SUM(M339:M344)</f>
        <v>#DIV/0!</v>
      </c>
    </row>
    <row r="347" ht="14.25" customHeight="1">
      <c r="A347" s="13"/>
      <c r="B347" s="49" t="s">
        <v>461</v>
      </c>
      <c r="C347" s="146"/>
      <c r="D347" s="49" t="s">
        <v>249</v>
      </c>
      <c r="E347" s="146"/>
      <c r="F347" s="49" t="s">
        <v>245</v>
      </c>
      <c r="G347" s="146"/>
      <c r="H347" s="49" t="s">
        <v>33</v>
      </c>
      <c r="I347" s="146"/>
      <c r="J347" s="49" t="s">
        <v>461</v>
      </c>
      <c r="K347" s="146"/>
      <c r="L347" s="49" t="s">
        <v>105</v>
      </c>
      <c r="M347" s="118" t="s">
        <v>49</v>
      </c>
    </row>
    <row r="348" ht="14.25" customHeight="1">
      <c r="A348" s="13"/>
      <c r="B348" s="27" t="s">
        <v>235</v>
      </c>
      <c r="C348" s="79">
        <v>8.0</v>
      </c>
      <c r="D348" s="27"/>
      <c r="E348" s="79">
        <v>6.0</v>
      </c>
      <c r="F348" s="27">
        <v>45.0</v>
      </c>
      <c r="G348" s="79">
        <v>6.0</v>
      </c>
      <c r="H348" s="28"/>
      <c r="I348" s="34"/>
      <c r="J348" s="27" t="s">
        <v>235</v>
      </c>
      <c r="K348" s="54">
        <v>8.0</v>
      </c>
      <c r="L348" s="152"/>
      <c r="M348" s="24"/>
    </row>
    <row r="349" ht="14.25" customHeight="1">
      <c r="A349" s="28"/>
      <c r="B349" s="28" t="s">
        <v>235</v>
      </c>
      <c r="C349" s="79">
        <v>8.0</v>
      </c>
      <c r="D349" s="28"/>
      <c r="E349" s="79">
        <v>6.0</v>
      </c>
      <c r="F349" s="28">
        <v>50.0</v>
      </c>
      <c r="G349" s="79">
        <v>6.0</v>
      </c>
      <c r="H349" s="28"/>
      <c r="I349" s="34"/>
      <c r="J349" s="28" t="s">
        <v>235</v>
      </c>
      <c r="K349" s="54">
        <v>8.0</v>
      </c>
      <c r="L349" s="1"/>
      <c r="M349" s="54"/>
    </row>
    <row r="350" ht="14.25" customHeight="1">
      <c r="A350" s="28"/>
      <c r="B350" s="27" t="s">
        <v>235</v>
      </c>
      <c r="C350" s="79">
        <v>8.0</v>
      </c>
      <c r="D350" s="28"/>
      <c r="E350" s="79">
        <v>6.0</v>
      </c>
      <c r="F350" s="27">
        <v>60.0</v>
      </c>
      <c r="G350" s="79">
        <v>6.0</v>
      </c>
      <c r="H350" s="28"/>
      <c r="I350" s="34"/>
      <c r="J350" s="28" t="s">
        <v>235</v>
      </c>
      <c r="K350" s="54">
        <v>8.0</v>
      </c>
      <c r="L350" s="1"/>
      <c r="M350" s="24"/>
    </row>
    <row r="351" ht="14.25" customHeight="1">
      <c r="A351" s="37"/>
      <c r="B351" s="28" t="s">
        <v>469</v>
      </c>
      <c r="C351" s="79"/>
      <c r="D351" s="28"/>
      <c r="E351" s="79"/>
      <c r="F351" s="28"/>
      <c r="G351" s="34"/>
      <c r="H351" s="28"/>
      <c r="I351" s="34"/>
      <c r="J351" s="28" t="s">
        <v>469</v>
      </c>
      <c r="K351" s="54"/>
      <c r="L351" s="1"/>
      <c r="M351" s="24"/>
    </row>
    <row r="352" ht="14.25" customHeight="1">
      <c r="A352" s="13"/>
      <c r="B352" s="13"/>
      <c r="C352" s="34"/>
      <c r="D352" s="28"/>
      <c r="E352" s="34"/>
      <c r="F352" s="13"/>
      <c r="G352" s="34"/>
      <c r="H352" s="28"/>
      <c r="I352" s="34"/>
      <c r="J352" s="13"/>
      <c r="K352" s="24"/>
      <c r="L352" s="31"/>
      <c r="M352" s="24"/>
    </row>
    <row r="353" ht="14.25" customHeight="1">
      <c r="A353" s="13"/>
      <c r="B353" s="35" t="s">
        <v>25</v>
      </c>
      <c r="C353" s="55" t="str">
        <f>C348*B348 + B349*C349 + B350*C350 + B351*C351 + B352*C352</f>
        <v>#VALUE!</v>
      </c>
      <c r="D353" s="35" t="s">
        <v>25</v>
      </c>
      <c r="E353" s="55">
        <f>E348*D348 + D349*E349 + D350*E350 + D351*E351 + D352*E352</f>
        <v>0</v>
      </c>
      <c r="F353" s="35" t="s">
        <v>25</v>
      </c>
      <c r="G353" s="55">
        <f>G348*F348 + F349*G349 + F350*G350 + F351*G351 + F352*G352</f>
        <v>930</v>
      </c>
      <c r="H353" s="35" t="s">
        <v>25</v>
      </c>
      <c r="I353" s="56">
        <f>I348*H348 + H349*I349 + H350*I350 + H351*I351 + H352*I352</f>
        <v>0</v>
      </c>
      <c r="J353" s="35" t="s">
        <v>25</v>
      </c>
      <c r="K353" s="36" t="str">
        <f>K348*J348 + J349*K349 + #REF!*K350 + J350*K351 + J352*K352</f>
        <v>#VALUE!</v>
      </c>
      <c r="L353" s="57" t="s">
        <v>25</v>
      </c>
      <c r="M353" s="58">
        <f>M348*L348 + L349*M349 + L350*M350 + L351*M351 + L352*M352</f>
        <v>0</v>
      </c>
    </row>
    <row r="354" ht="14.25" customHeight="1">
      <c r="A354" s="13"/>
      <c r="B354" s="39" t="s">
        <v>26</v>
      </c>
      <c r="C354" s="40" t="str">
        <f>(B348*C348 + B349*C349 + B350*C350 + B351*C351 + B352*C352)/SUM(C348:C352)</f>
        <v>#VALUE!</v>
      </c>
      <c r="D354" s="59" t="s">
        <v>26</v>
      </c>
      <c r="E354" s="40">
        <f>(D348*E348 + D349*E349 + D350*E350 + D351*E351 + D352*E352)/SUM(E348:E352)</f>
        <v>0</v>
      </c>
      <c r="F354" s="31" t="s">
        <v>26</v>
      </c>
      <c r="G354" s="75">
        <f>(F348*G348 + F349*G349 + F350*G350 + F351*G351 + F352*G352)/SUM(G348:G352)</f>
        <v>51.66666667</v>
      </c>
      <c r="H354" s="59" t="s">
        <v>26</v>
      </c>
      <c r="I354" s="40" t="str">
        <f>(H348*I348 + H349*I349 + H350*I350 + H351*I351 + H352*I352)/SUM(I348:I352)</f>
        <v>#DIV/0!</v>
      </c>
      <c r="J354" s="39" t="s">
        <v>26</v>
      </c>
      <c r="K354" s="40" t="str">
        <f>(J348*K348 + J349*K349 + #REF!*K350 + J350*K351 + J352*K352)/SUM(K348:K352)</f>
        <v>#VALUE!</v>
      </c>
      <c r="L354" s="59" t="s">
        <v>26</v>
      </c>
      <c r="M354" s="40" t="str">
        <f>(L348*M348 + L349*M349 + L350*M350 + L351*M351 + L352*M352)/SUM(M348:M352)</f>
        <v>#DIV/0!</v>
      </c>
    </row>
    <row r="355" ht="14.25" customHeight="1">
      <c r="A355" s="28"/>
      <c r="B355" s="28" t="s">
        <v>91</v>
      </c>
      <c r="C355" s="30" t="s">
        <v>49</v>
      </c>
      <c r="D355" s="37"/>
      <c r="E355" s="30" t="s">
        <v>49</v>
      </c>
      <c r="F355" s="120" t="s">
        <v>88</v>
      </c>
      <c r="G355" s="121" t="s">
        <v>49</v>
      </c>
      <c r="H355" s="1"/>
      <c r="I355" s="30"/>
      <c r="J355" s="28" t="s">
        <v>88</v>
      </c>
      <c r="K355" s="60" t="s">
        <v>49</v>
      </c>
      <c r="L355" s="30"/>
      <c r="M355" s="60" t="s">
        <v>49</v>
      </c>
    </row>
    <row r="356" ht="14.25" customHeight="1">
      <c r="A356" s="37"/>
      <c r="B356" s="46">
        <v>20.0</v>
      </c>
      <c r="C356" s="30"/>
      <c r="D356" s="41"/>
      <c r="E356" s="63"/>
      <c r="F356" s="104"/>
      <c r="G356" s="63"/>
      <c r="H356" s="30"/>
      <c r="I356" s="30"/>
      <c r="J356" s="104"/>
      <c r="K356" s="60"/>
      <c r="L356" s="62"/>
      <c r="M356" s="60"/>
    </row>
    <row r="357" ht="14.25" customHeight="1">
      <c r="A357" s="37"/>
      <c r="B357" s="46">
        <v>30.0</v>
      </c>
      <c r="C357" s="1"/>
      <c r="D357" s="28"/>
      <c r="E357" s="30"/>
      <c r="F357" s="28"/>
      <c r="G357" s="60"/>
      <c r="H357" s="30"/>
      <c r="I357" s="30"/>
      <c r="J357" s="28"/>
      <c r="K357" s="60"/>
      <c r="L357" s="30"/>
      <c r="M357" s="60"/>
    </row>
    <row r="358" ht="14.25" customHeight="1">
      <c r="A358" s="37"/>
      <c r="B358" s="46">
        <v>60.0</v>
      </c>
      <c r="C358" s="1"/>
      <c r="D358" s="28"/>
      <c r="E358" s="1"/>
      <c r="F358" s="28"/>
      <c r="G358" s="60"/>
      <c r="H358" s="30"/>
      <c r="I358" s="30"/>
      <c r="J358" s="37"/>
      <c r="K358" s="60"/>
      <c r="L358" s="30"/>
      <c r="M358" s="60"/>
    </row>
    <row r="359" ht="14.25" customHeight="1">
      <c r="A359" s="37"/>
      <c r="B359" s="46">
        <v>20.0</v>
      </c>
      <c r="C359" s="1"/>
      <c r="D359" s="28"/>
      <c r="E359" s="1"/>
      <c r="F359" s="28"/>
      <c r="G359" s="60"/>
      <c r="H359" s="30"/>
      <c r="I359" s="30"/>
      <c r="J359" s="37"/>
      <c r="K359" s="60"/>
      <c r="L359" s="30"/>
      <c r="M359" s="60"/>
    </row>
    <row r="360" ht="14.25" customHeight="1">
      <c r="A360" s="37"/>
      <c r="B360" s="28"/>
      <c r="C360" s="1"/>
      <c r="D360" s="28"/>
      <c r="E360" s="1"/>
      <c r="F360" s="28"/>
      <c r="G360" s="60"/>
      <c r="H360" s="30"/>
      <c r="I360" s="30"/>
      <c r="J360" s="37"/>
      <c r="K360" s="60"/>
      <c r="L360" s="30"/>
      <c r="M360" s="60"/>
    </row>
    <row r="361" ht="14.25" customHeight="1">
      <c r="A361" s="64"/>
      <c r="B361" s="65"/>
      <c r="C361" s="66"/>
      <c r="D361" s="64"/>
      <c r="E361" s="66"/>
      <c r="F361" s="64"/>
      <c r="G361" s="67"/>
      <c r="H361" s="66"/>
      <c r="I361" s="66"/>
      <c r="J361" s="64"/>
      <c r="K361" s="67"/>
      <c r="L361" s="66"/>
      <c r="M361" s="67"/>
    </row>
    <row r="362" ht="14.25" customHeight="1">
      <c r="A362" s="30"/>
      <c r="B362" s="1"/>
      <c r="C362" s="1"/>
      <c r="D362" s="30"/>
      <c r="E362" s="30"/>
      <c r="F362" s="1"/>
      <c r="G362" s="30"/>
      <c r="H362" s="30"/>
      <c r="I362" s="30"/>
      <c r="J362" s="1"/>
      <c r="K362" s="30"/>
      <c r="L362" s="30"/>
      <c r="M362" s="30"/>
    </row>
    <row r="363" ht="14.25" customHeight="1">
      <c r="A363" s="2" t="s">
        <v>2</v>
      </c>
      <c r="B363" s="3" t="s">
        <v>3</v>
      </c>
      <c r="C363" s="4">
        <f>M327+2</f>
        <v>45222</v>
      </c>
      <c r="D363" s="5" t="s">
        <v>4</v>
      </c>
      <c r="E363" s="6">
        <f>C363+1</f>
        <v>45223</v>
      </c>
      <c r="F363" s="3" t="s">
        <v>5</v>
      </c>
      <c r="G363" s="6">
        <f>E363+1</f>
        <v>45224</v>
      </c>
      <c r="H363" s="3" t="s">
        <v>6</v>
      </c>
      <c r="I363" s="6">
        <f>G363+1</f>
        <v>45225</v>
      </c>
      <c r="J363" s="3" t="s">
        <v>7</v>
      </c>
      <c r="K363" s="6">
        <f>I363+1</f>
        <v>45226</v>
      </c>
      <c r="L363" s="7" t="s">
        <v>8</v>
      </c>
      <c r="M363" s="8">
        <f>K363+1</f>
        <v>45227</v>
      </c>
    </row>
    <row r="364" ht="14.25" customHeight="1">
      <c r="A364" s="10">
        <f>A328+1</f>
        <v>11</v>
      </c>
      <c r="B364" s="129" t="s">
        <v>421</v>
      </c>
      <c r="C364" s="130" t="s">
        <v>422</v>
      </c>
      <c r="D364" s="131" t="s">
        <v>421</v>
      </c>
      <c r="E364" s="131" t="s">
        <v>422</v>
      </c>
      <c r="F364" s="129" t="s">
        <v>421</v>
      </c>
      <c r="G364" s="131" t="s">
        <v>422</v>
      </c>
      <c r="H364" s="129" t="s">
        <v>421</v>
      </c>
      <c r="I364" s="131" t="s">
        <v>422</v>
      </c>
      <c r="J364" s="129" t="s">
        <v>421</v>
      </c>
      <c r="K364" s="130" t="s">
        <v>422</v>
      </c>
      <c r="L364" s="131" t="s">
        <v>421</v>
      </c>
      <c r="M364" s="130" t="s">
        <v>422</v>
      </c>
    </row>
    <row r="365" ht="14.25" customHeight="1">
      <c r="A365" s="13" t="s">
        <v>12</v>
      </c>
      <c r="B365" s="20" t="s">
        <v>477</v>
      </c>
      <c r="C365" s="76"/>
      <c r="D365" s="18" t="s">
        <v>14</v>
      </c>
      <c r="E365" s="18"/>
      <c r="F365" s="20" t="s">
        <v>478</v>
      </c>
      <c r="G365" s="17"/>
      <c r="H365" s="70" t="s">
        <v>446</v>
      </c>
      <c r="I365" s="18"/>
      <c r="J365" s="20" t="s">
        <v>477</v>
      </c>
      <c r="K365" s="76"/>
      <c r="L365" s="132" t="s">
        <v>14</v>
      </c>
      <c r="M365" s="17"/>
    </row>
    <row r="366" ht="14.25" customHeight="1">
      <c r="A366" s="13"/>
      <c r="B366" s="46">
        <v>80.0</v>
      </c>
      <c r="C366" s="133">
        <v>4.0</v>
      </c>
      <c r="D366" s="134" t="s">
        <v>15</v>
      </c>
      <c r="E366" s="134"/>
      <c r="F366" s="46">
        <v>120.0</v>
      </c>
      <c r="G366" s="133">
        <v>3.0</v>
      </c>
      <c r="H366" s="120" t="s">
        <v>15</v>
      </c>
      <c r="I366" s="137"/>
      <c r="J366" s="46">
        <v>85.0</v>
      </c>
      <c r="K366" s="133">
        <v>4.0</v>
      </c>
      <c r="L366" s="120" t="s">
        <v>290</v>
      </c>
      <c r="M366" s="150" t="s">
        <v>476</v>
      </c>
    </row>
    <row r="367" ht="14.25" customHeight="1">
      <c r="A367" s="13"/>
      <c r="B367" s="46">
        <v>85.0</v>
      </c>
      <c r="C367" s="48">
        <v>3.0</v>
      </c>
      <c r="D367" s="134" t="s">
        <v>479</v>
      </c>
      <c r="E367" s="134"/>
      <c r="F367" s="46">
        <v>130.0</v>
      </c>
      <c r="G367" s="48">
        <v>3.0</v>
      </c>
      <c r="H367" s="28"/>
      <c r="I367" s="79"/>
      <c r="J367" s="46">
        <v>87.5</v>
      </c>
      <c r="K367" s="48">
        <v>3.0</v>
      </c>
      <c r="L367" s="28"/>
      <c r="M367" s="24"/>
    </row>
    <row r="368" ht="14.25" customHeight="1">
      <c r="A368" s="29" t="s">
        <v>22</v>
      </c>
      <c r="B368" s="46">
        <v>90.0</v>
      </c>
      <c r="C368" s="48">
        <v>2.0</v>
      </c>
      <c r="D368" s="123" t="s">
        <v>430</v>
      </c>
      <c r="E368" s="134"/>
      <c r="F368" s="46">
        <v>140.0</v>
      </c>
      <c r="G368" s="48">
        <v>3.0</v>
      </c>
      <c r="H368" s="28" t="s">
        <v>250</v>
      </c>
      <c r="I368" s="79"/>
      <c r="J368" s="46">
        <v>90.0</v>
      </c>
      <c r="K368" s="48">
        <v>2.0</v>
      </c>
      <c r="L368" s="28"/>
      <c r="M368" s="24"/>
    </row>
    <row r="369" ht="14.25" customHeight="1">
      <c r="A369" s="28" t="s">
        <v>23</v>
      </c>
      <c r="B369" s="46"/>
      <c r="C369" s="48"/>
      <c r="D369" s="33"/>
      <c r="E369" s="134"/>
      <c r="F369" s="46"/>
      <c r="G369" s="48"/>
      <c r="H369" s="13"/>
      <c r="I369" s="34"/>
      <c r="J369" s="46"/>
      <c r="K369" s="48"/>
      <c r="L369" s="28" t="s">
        <v>431</v>
      </c>
      <c r="M369" s="54" t="s">
        <v>458</v>
      </c>
    </row>
    <row r="370" ht="14.25" customHeight="1">
      <c r="A370" s="13"/>
      <c r="B370" s="13"/>
      <c r="C370" s="24"/>
      <c r="D370" s="33"/>
      <c r="E370" s="135"/>
      <c r="F370" s="13"/>
      <c r="G370" s="34"/>
      <c r="H370" s="13"/>
      <c r="I370" s="34"/>
      <c r="J370" s="13"/>
      <c r="K370" s="24"/>
      <c r="L370" s="28" t="s">
        <v>98</v>
      </c>
      <c r="M370" s="24"/>
    </row>
    <row r="371" ht="14.25" customHeight="1">
      <c r="A371" s="28" t="s">
        <v>433</v>
      </c>
      <c r="B371" s="35" t="s">
        <v>25</v>
      </c>
      <c r="C371" s="58">
        <f>C366*B366 + B367*C367 + B368*C368 + B369*C369 + B370*C370</f>
        <v>755</v>
      </c>
      <c r="D371" s="57" t="s">
        <v>25</v>
      </c>
      <c r="E371" s="55" t="str">
        <f>E366*D366 + D367*#REF! + E367*E368 + D369*E369 + D370*E370</f>
        <v>#VALUE!</v>
      </c>
      <c r="F371" s="35" t="s">
        <v>25</v>
      </c>
      <c r="G371" s="56">
        <f>G366*F366 + F367*G367 + F368*G368 + F369*G369 + F370*G370</f>
        <v>1170</v>
      </c>
      <c r="H371" s="35" t="s">
        <v>25</v>
      </c>
      <c r="I371" s="56" t="str">
        <f>I366*H366 + H367*I367 + H368*I368 + H369*I369 + H370*I370</f>
        <v>#VALUE!</v>
      </c>
      <c r="J371" s="35" t="s">
        <v>25</v>
      </c>
      <c r="K371" s="58">
        <f>K366*J366 + J367*K367 + J368*K368 + J369*K369 + J370*K370</f>
        <v>782.5</v>
      </c>
      <c r="L371" s="35" t="s">
        <v>25</v>
      </c>
      <c r="M371" s="36" t="str">
        <f>M366*L366 + L367*M367 + L368*M368 + L369*M369 + L370*M370</f>
        <v>#VALUE!</v>
      </c>
    </row>
    <row r="372" ht="14.25" customHeight="1">
      <c r="A372" s="37"/>
      <c r="B372" s="39" t="s">
        <v>26</v>
      </c>
      <c r="C372" s="116">
        <f>(B366*C366 + B367*C367 + B368*C368 + B369*C369 + B370*C370)/SUM(C366:C370)</f>
        <v>83.88888889</v>
      </c>
      <c r="D372" s="31" t="s">
        <v>26</v>
      </c>
      <c r="E372" s="74" t="str">
        <f>(D366*E366 + D367*#REF! + E367*E368 + D369*E369 + D370*E370)/SUM(E366:E370)</f>
        <v>#VALUE!</v>
      </c>
      <c r="F372" s="13" t="s">
        <v>26</v>
      </c>
      <c r="G372" s="117">
        <f>(F366*G366 + F367*G367 + F368*G368 + F369*G369 + F370*G370)/SUM(G366:G370)</f>
        <v>130</v>
      </c>
      <c r="H372" s="13" t="s">
        <v>26</v>
      </c>
      <c r="I372" s="74" t="str">
        <f>(H366*I366 + H367*I367 + H368*I368 + H369*I369 + H370*I370)/SUM(I366:I370)</f>
        <v>#VALUE!</v>
      </c>
      <c r="J372" s="39" t="s">
        <v>26</v>
      </c>
      <c r="K372" s="116">
        <f>(J366*K366 + J367*K367 + J368*K368 + J369*K369 + J370*K370)/SUM(K366:K370)</f>
        <v>86.94444444</v>
      </c>
      <c r="L372" s="13" t="s">
        <v>26</v>
      </c>
      <c r="M372" s="75" t="str">
        <f>(L366*M366 + L367*M367 + L368*M368 + L369*M369 + L370*M370)/SUM(M366:M370)</f>
        <v>#VALUE!</v>
      </c>
    </row>
    <row r="373" ht="14.25" customHeight="1">
      <c r="A373" s="28" t="s">
        <v>472</v>
      </c>
      <c r="B373" s="140" t="s">
        <v>421</v>
      </c>
      <c r="C373" s="141" t="s">
        <v>422</v>
      </c>
      <c r="D373" s="142" t="s">
        <v>421</v>
      </c>
      <c r="E373" s="143" t="s">
        <v>422</v>
      </c>
      <c r="F373" s="142" t="s">
        <v>421</v>
      </c>
      <c r="G373" s="143" t="s">
        <v>422</v>
      </c>
      <c r="H373" s="142" t="s">
        <v>421</v>
      </c>
      <c r="I373" s="143" t="s">
        <v>422</v>
      </c>
      <c r="J373" s="140" t="s">
        <v>421</v>
      </c>
      <c r="K373" s="144" t="s">
        <v>422</v>
      </c>
      <c r="L373" s="142" t="s">
        <v>421</v>
      </c>
      <c r="M373" s="145" t="s">
        <v>422</v>
      </c>
    </row>
    <row r="374" ht="14.25" customHeight="1">
      <c r="A374" s="41"/>
      <c r="B374" s="49" t="s">
        <v>304</v>
      </c>
      <c r="C374" s="146"/>
      <c r="D374" s="49" t="s">
        <v>91</v>
      </c>
      <c r="E374" s="147" t="s">
        <v>49</v>
      </c>
      <c r="F374" s="49" t="s">
        <v>304</v>
      </c>
      <c r="G374" s="146"/>
      <c r="H374" s="148" t="s">
        <v>91</v>
      </c>
      <c r="I374" s="147" t="s">
        <v>90</v>
      </c>
      <c r="J374" s="49" t="s">
        <v>304</v>
      </c>
      <c r="K374" s="125"/>
      <c r="L374" s="49" t="s">
        <v>91</v>
      </c>
      <c r="M374" s="118" t="s">
        <v>90</v>
      </c>
    </row>
    <row r="375" ht="14.25" customHeight="1">
      <c r="A375" s="41" t="s">
        <v>474</v>
      </c>
      <c r="B375" s="27">
        <v>215.0</v>
      </c>
      <c r="C375" s="79">
        <v>3.0</v>
      </c>
      <c r="D375" s="46">
        <v>30.0</v>
      </c>
      <c r="E375" s="34"/>
      <c r="F375" s="27">
        <v>200.0</v>
      </c>
      <c r="G375" s="79">
        <v>3.0</v>
      </c>
      <c r="H375" s="28"/>
      <c r="I375" s="34"/>
      <c r="J375" s="27">
        <v>190.0</v>
      </c>
      <c r="K375" s="54">
        <v>3.0</v>
      </c>
      <c r="L375" s="46">
        <v>30.0</v>
      </c>
      <c r="M375" s="54"/>
    </row>
    <row r="376" ht="14.25" customHeight="1">
      <c r="A376" s="28" t="s">
        <v>475</v>
      </c>
      <c r="B376" s="28">
        <v>220.0</v>
      </c>
      <c r="C376" s="79">
        <v>3.0</v>
      </c>
      <c r="D376" s="46">
        <v>60.0</v>
      </c>
      <c r="E376" s="79"/>
      <c r="F376" s="28">
        <v>205.0</v>
      </c>
      <c r="G376" s="79">
        <v>3.0</v>
      </c>
      <c r="H376" s="28"/>
      <c r="I376" s="34"/>
      <c r="J376" s="28">
        <v>200.0</v>
      </c>
      <c r="K376" s="54">
        <v>3.0</v>
      </c>
      <c r="L376" s="46">
        <v>40.0</v>
      </c>
      <c r="M376" s="24"/>
    </row>
    <row r="377" ht="14.25" customHeight="1">
      <c r="A377" s="28"/>
      <c r="B377" s="27">
        <v>222.5</v>
      </c>
      <c r="C377" s="79">
        <v>3.0</v>
      </c>
      <c r="D377" s="46">
        <v>30.0</v>
      </c>
      <c r="E377" s="34"/>
      <c r="F377" s="27">
        <v>210.0</v>
      </c>
      <c r="G377" s="79">
        <v>3.0</v>
      </c>
      <c r="H377" s="28"/>
      <c r="I377" s="34"/>
      <c r="J377" s="27">
        <v>210.0</v>
      </c>
      <c r="K377" s="54">
        <v>3.0</v>
      </c>
      <c r="L377" s="46">
        <v>30.0</v>
      </c>
      <c r="M377" s="24"/>
    </row>
    <row r="378" ht="14.25" customHeight="1">
      <c r="A378" s="28"/>
      <c r="B378" s="28"/>
      <c r="C378" s="79"/>
      <c r="D378" s="46">
        <v>20.0</v>
      </c>
      <c r="E378" s="79"/>
      <c r="F378" s="28"/>
      <c r="G378" s="79"/>
      <c r="H378" s="28"/>
      <c r="I378" s="34"/>
      <c r="J378" s="28"/>
      <c r="K378" s="54"/>
      <c r="L378" s="46"/>
      <c r="M378" s="54"/>
    </row>
    <row r="379" ht="14.25" customHeight="1">
      <c r="A379" s="28"/>
      <c r="B379" s="13"/>
      <c r="C379" s="34"/>
      <c r="D379" s="46"/>
      <c r="E379" s="34"/>
      <c r="F379" s="13"/>
      <c r="G379" s="34"/>
      <c r="H379" s="28"/>
      <c r="I379" s="34"/>
      <c r="J379" s="13"/>
      <c r="K379" s="24"/>
      <c r="L379" s="46"/>
      <c r="M379" s="24"/>
    </row>
    <row r="380" ht="14.25" customHeight="1">
      <c r="A380" s="28"/>
      <c r="B380" s="13"/>
      <c r="C380" s="34"/>
      <c r="D380" s="28"/>
      <c r="E380" s="34"/>
      <c r="F380" s="13"/>
      <c r="G380" s="34"/>
      <c r="H380" s="28"/>
      <c r="I380" s="34"/>
      <c r="J380" s="13"/>
      <c r="K380" s="24"/>
      <c r="L380" s="28"/>
      <c r="M380" s="24"/>
    </row>
    <row r="381" ht="14.25" customHeight="1">
      <c r="A381" s="28"/>
      <c r="B381" s="35" t="s">
        <v>25</v>
      </c>
      <c r="C381" s="55">
        <f>C375*B375 + B376*C376 + B377*C377 + B378*C378 + B380*C380</f>
        <v>1972.5</v>
      </c>
      <c r="D381" s="35" t="s">
        <v>25</v>
      </c>
      <c r="E381" s="55">
        <f>E375*D375 + D376*E376 + D377*E377 + D378*E378 + D380*E380</f>
        <v>0</v>
      </c>
      <c r="F381" s="35" t="s">
        <v>25</v>
      </c>
      <c r="G381" s="55">
        <f>G375*F375 + F376*G376 + F377*G377 + F378*G378 + F380*G380</f>
        <v>1845</v>
      </c>
      <c r="H381" s="35" t="s">
        <v>25</v>
      </c>
      <c r="I381" s="56">
        <f>I375*H375 + H376*I376 + H377*I377 + H378*I378 + H380*I380</f>
        <v>0</v>
      </c>
      <c r="J381" s="35" t="s">
        <v>25</v>
      </c>
      <c r="K381" s="36">
        <f>K375*J375 + J376*K376 + J377*K377 + J378*K378 + J380*K380</f>
        <v>1800</v>
      </c>
      <c r="L381" s="35" t="s">
        <v>25</v>
      </c>
      <c r="M381" s="36">
        <f>M375*L375 + L376*M376 + L377*M377 + L378*M378 + L380*M380</f>
        <v>0</v>
      </c>
    </row>
    <row r="382" ht="14.25" customHeight="1">
      <c r="A382" s="28"/>
      <c r="B382" s="39" t="s">
        <v>26</v>
      </c>
      <c r="C382" s="77">
        <f>(B375*C375 + B376*C376 + B377*C377 + B378*C378 + B380*C380)/SUM(C375:C380)</f>
        <v>219.1666667</v>
      </c>
      <c r="D382" s="39" t="s">
        <v>26</v>
      </c>
      <c r="E382" s="77" t="str">
        <f>(D375*E375 + D376*E376 + D377*E377 + D378*E378 + D380*E380)/SUM(E375:E380)</f>
        <v>#DIV/0!</v>
      </c>
      <c r="F382" s="39" t="s">
        <v>26</v>
      </c>
      <c r="G382" s="77">
        <f>(F375*G375 + F376*G376 + F377*G377 + F378*G378 + F380*G380)/SUM(G375:G380)</f>
        <v>205</v>
      </c>
      <c r="H382" s="39" t="s">
        <v>26</v>
      </c>
      <c r="I382" s="77" t="str">
        <f>(H375*I375 + H376*I376 + H377*I377 + H378*I378 + H380*I380)/SUM(I375:I380)</f>
        <v>#DIV/0!</v>
      </c>
      <c r="J382" s="39" t="s">
        <v>26</v>
      </c>
      <c r="K382" s="40">
        <f>(J375*K375 + J376*K376 + J377*K377 + J378*K378 + J380*K380)/SUM(K375:K380)</f>
        <v>200</v>
      </c>
      <c r="L382" s="39" t="s">
        <v>26</v>
      </c>
      <c r="M382" s="40" t="str">
        <f>(L375*M375 + L376*M376 + L377*M377 + L378*M378 + L380*M380)/SUM(M375:M380)</f>
        <v>#DIV/0!</v>
      </c>
    </row>
    <row r="383" ht="14.25" customHeight="1">
      <c r="A383" s="13"/>
      <c r="B383" s="49" t="s">
        <v>461</v>
      </c>
      <c r="C383" s="146"/>
      <c r="D383" s="49" t="s">
        <v>292</v>
      </c>
      <c r="E383" s="146"/>
      <c r="F383" s="49" t="s">
        <v>245</v>
      </c>
      <c r="G383" s="146"/>
      <c r="H383" s="49" t="s">
        <v>33</v>
      </c>
      <c r="I383" s="146"/>
      <c r="J383" s="49" t="s">
        <v>461</v>
      </c>
      <c r="K383" s="146"/>
      <c r="L383" s="49" t="s">
        <v>249</v>
      </c>
      <c r="M383" s="146"/>
    </row>
    <row r="384" ht="14.25" customHeight="1">
      <c r="A384" s="13"/>
      <c r="B384" s="27" t="s">
        <v>235</v>
      </c>
      <c r="C384" s="79">
        <v>8.0</v>
      </c>
      <c r="D384" s="27" t="s">
        <v>210</v>
      </c>
      <c r="E384" s="79"/>
      <c r="F384" s="27">
        <v>45.0</v>
      </c>
      <c r="G384" s="79">
        <v>6.0</v>
      </c>
      <c r="H384" s="28"/>
      <c r="I384" s="34"/>
      <c r="J384" s="27" t="s">
        <v>235</v>
      </c>
      <c r="K384" s="54">
        <v>8.0</v>
      </c>
      <c r="L384" s="27"/>
      <c r="M384" s="79">
        <v>6.0</v>
      </c>
    </row>
    <row r="385" ht="14.25" customHeight="1">
      <c r="A385" s="28"/>
      <c r="B385" s="28" t="s">
        <v>235</v>
      </c>
      <c r="C385" s="79">
        <v>8.0</v>
      </c>
      <c r="D385" s="28" t="s">
        <v>299</v>
      </c>
      <c r="E385" s="79"/>
      <c r="F385" s="28">
        <v>50.0</v>
      </c>
      <c r="G385" s="79">
        <v>6.0</v>
      </c>
      <c r="H385" s="28"/>
      <c r="I385" s="34"/>
      <c r="J385" s="28" t="s">
        <v>235</v>
      </c>
      <c r="K385" s="54">
        <v>8.0</v>
      </c>
      <c r="L385" s="28"/>
      <c r="M385" s="79">
        <v>6.0</v>
      </c>
    </row>
    <row r="386" ht="14.25" customHeight="1">
      <c r="A386" s="28"/>
      <c r="B386" s="27" t="s">
        <v>235</v>
      </c>
      <c r="C386" s="79">
        <v>8.0</v>
      </c>
      <c r="D386" s="28" t="s">
        <v>295</v>
      </c>
      <c r="E386" s="79"/>
      <c r="F386" s="27">
        <v>60.0</v>
      </c>
      <c r="G386" s="79">
        <v>6.0</v>
      </c>
      <c r="H386" s="28"/>
      <c r="I386" s="34"/>
      <c r="J386" s="28" t="s">
        <v>235</v>
      </c>
      <c r="K386" s="54">
        <v>8.0</v>
      </c>
      <c r="L386" s="28"/>
      <c r="M386" s="79">
        <v>6.0</v>
      </c>
    </row>
    <row r="387" ht="14.25" customHeight="1">
      <c r="A387" s="37"/>
      <c r="B387" s="28" t="s">
        <v>469</v>
      </c>
      <c r="C387" s="79"/>
      <c r="D387" s="28"/>
      <c r="E387" s="79"/>
      <c r="F387" s="28"/>
      <c r="G387" s="34"/>
      <c r="H387" s="28"/>
      <c r="I387" s="34"/>
      <c r="J387" s="28" t="s">
        <v>469</v>
      </c>
      <c r="K387" s="54"/>
      <c r="L387" s="1"/>
      <c r="M387" s="24"/>
    </row>
    <row r="388" ht="14.25" customHeight="1">
      <c r="A388" s="13"/>
      <c r="B388" s="13"/>
      <c r="C388" s="34"/>
      <c r="D388" s="28"/>
      <c r="E388" s="34"/>
      <c r="F388" s="13"/>
      <c r="G388" s="34"/>
      <c r="H388" s="28"/>
      <c r="I388" s="34"/>
      <c r="J388" s="13"/>
      <c r="K388" s="24"/>
      <c r="L388" s="31"/>
      <c r="M388" s="24"/>
    </row>
    <row r="389" ht="14.25" customHeight="1">
      <c r="A389" s="13"/>
      <c r="B389" s="35" t="s">
        <v>25</v>
      </c>
      <c r="C389" s="55" t="str">
        <f>C384*B384 + B385*C385 + B386*C386 + B387*C387 + B388*C388</f>
        <v>#VALUE!</v>
      </c>
      <c r="D389" s="35" t="s">
        <v>25</v>
      </c>
      <c r="E389" s="55" t="str">
        <f>E384*D384 + D385*E385 + D386*E386 + D387*E387 + D388*E388</f>
        <v>#VALUE!</v>
      </c>
      <c r="F389" s="35" t="s">
        <v>25</v>
      </c>
      <c r="G389" s="55">
        <f>G384*F384 + F385*G385 + F386*G386 + F387*G387 + F388*G388</f>
        <v>930</v>
      </c>
      <c r="H389" s="35" t="s">
        <v>25</v>
      </c>
      <c r="I389" s="56">
        <f>I384*H384 + H385*I385 + H386*I386 + H387*I387 + H388*I388</f>
        <v>0</v>
      </c>
      <c r="J389" s="35" t="s">
        <v>25</v>
      </c>
      <c r="K389" s="36" t="str">
        <f>K384*J384 + J385*K385 + #REF!*K386 + J386*K387 + J388*K388</f>
        <v>#VALUE!</v>
      </c>
      <c r="L389" s="57" t="s">
        <v>25</v>
      </c>
      <c r="M389" s="58">
        <f>M384*L384 + L385*M385 + L386*M386 + L387*M387 + L388*M388</f>
        <v>0</v>
      </c>
    </row>
    <row r="390" ht="14.25" customHeight="1">
      <c r="A390" s="13"/>
      <c r="B390" s="39" t="s">
        <v>26</v>
      </c>
      <c r="C390" s="40" t="str">
        <f>(B384*C384 + B385*C385 + B386*C386 + B387*C387 + B388*C388)/SUM(C384:C388)</f>
        <v>#VALUE!</v>
      </c>
      <c r="D390" s="59" t="s">
        <v>26</v>
      </c>
      <c r="E390" s="40" t="str">
        <f>(D384*E384 + D385*E385 + D386*E386 + D387*E387 + D388*E388)/SUM(E384:E388)</f>
        <v>#VALUE!</v>
      </c>
      <c r="F390" s="31" t="s">
        <v>26</v>
      </c>
      <c r="G390" s="75">
        <f>(F384*G384 + F385*G385 + F386*G386 + F387*G387 + F388*G388)/SUM(G384:G388)</f>
        <v>51.66666667</v>
      </c>
      <c r="H390" s="59" t="s">
        <v>26</v>
      </c>
      <c r="I390" s="40" t="str">
        <f>(H384*I384 + H385*I385 + H386*I386 + H387*I387 + H388*I388)/SUM(I384:I388)</f>
        <v>#DIV/0!</v>
      </c>
      <c r="J390" s="39" t="s">
        <v>26</v>
      </c>
      <c r="K390" s="40" t="str">
        <f>(J384*K384 + J385*K385 + #REF!*K386 + J386*K387 + J388*K388)/SUM(K384:K388)</f>
        <v>#VALUE!</v>
      </c>
      <c r="L390" s="59" t="s">
        <v>26</v>
      </c>
      <c r="M390" s="40">
        <f>(L384*M384 + L385*M385 + L386*M386 + L387*M387 + L388*M388)/SUM(M384:M388)</f>
        <v>0</v>
      </c>
    </row>
    <row r="391" ht="14.25" customHeight="1">
      <c r="A391" s="28"/>
      <c r="B391" s="28" t="s">
        <v>91</v>
      </c>
      <c r="C391" s="30" t="s">
        <v>49</v>
      </c>
      <c r="D391" s="37"/>
      <c r="E391" s="30" t="s">
        <v>49</v>
      </c>
      <c r="F391" s="120" t="s">
        <v>88</v>
      </c>
      <c r="G391" s="121" t="s">
        <v>49</v>
      </c>
      <c r="H391" s="1"/>
      <c r="I391" s="30"/>
      <c r="J391" s="28" t="s">
        <v>88</v>
      </c>
      <c r="K391" s="60" t="s">
        <v>49</v>
      </c>
      <c r="L391" s="30"/>
      <c r="M391" s="60" t="s">
        <v>49</v>
      </c>
    </row>
    <row r="392" ht="14.25" customHeight="1">
      <c r="A392" s="37"/>
      <c r="B392" s="46">
        <v>30.0</v>
      </c>
      <c r="C392" s="30"/>
      <c r="D392" s="41"/>
      <c r="E392" s="63"/>
      <c r="F392" s="104"/>
      <c r="G392" s="63"/>
      <c r="H392" s="30"/>
      <c r="I392" s="30"/>
      <c r="J392" s="104"/>
      <c r="K392" s="60"/>
      <c r="L392" s="62"/>
      <c r="M392" s="60"/>
    </row>
    <row r="393" ht="14.25" customHeight="1">
      <c r="A393" s="37"/>
      <c r="B393" s="46">
        <v>60.0</v>
      </c>
      <c r="C393" s="1"/>
      <c r="D393" s="28"/>
      <c r="E393" s="30"/>
      <c r="F393" s="28"/>
      <c r="G393" s="60"/>
      <c r="H393" s="30"/>
      <c r="I393" s="30"/>
      <c r="J393" s="28"/>
      <c r="K393" s="60"/>
      <c r="L393" s="30"/>
      <c r="M393" s="60"/>
    </row>
    <row r="394" ht="14.25" customHeight="1">
      <c r="A394" s="37"/>
      <c r="B394" s="46">
        <v>30.0</v>
      </c>
      <c r="C394" s="1"/>
      <c r="D394" s="28"/>
      <c r="E394" s="1"/>
      <c r="F394" s="28"/>
      <c r="G394" s="60"/>
      <c r="H394" s="30"/>
      <c r="I394" s="30"/>
      <c r="J394" s="37"/>
      <c r="K394" s="60"/>
      <c r="L394" s="30"/>
      <c r="M394" s="60"/>
    </row>
    <row r="395" ht="14.25" customHeight="1">
      <c r="A395" s="37"/>
      <c r="B395" s="46"/>
      <c r="C395" s="1"/>
      <c r="D395" s="28"/>
      <c r="E395" s="1"/>
      <c r="F395" s="28"/>
      <c r="G395" s="60"/>
      <c r="H395" s="30"/>
      <c r="I395" s="30"/>
      <c r="J395" s="37"/>
      <c r="K395" s="60"/>
      <c r="L395" s="30"/>
      <c r="M395" s="60"/>
    </row>
    <row r="396" ht="14.25" customHeight="1">
      <c r="A396" s="37"/>
      <c r="B396" s="28"/>
      <c r="C396" s="1"/>
      <c r="D396" s="28"/>
      <c r="E396" s="1"/>
      <c r="F396" s="28"/>
      <c r="G396" s="60"/>
      <c r="H396" s="30"/>
      <c r="I396" s="30"/>
      <c r="J396" s="37"/>
      <c r="K396" s="60"/>
      <c r="L396" s="30"/>
      <c r="M396" s="60"/>
    </row>
    <row r="397" ht="14.25" customHeight="1">
      <c r="A397" s="64"/>
      <c r="B397" s="65"/>
      <c r="C397" s="66"/>
      <c r="D397" s="64"/>
      <c r="E397" s="66"/>
      <c r="F397" s="64"/>
      <c r="G397" s="67"/>
      <c r="H397" s="66"/>
      <c r="I397" s="66"/>
      <c r="J397" s="64"/>
      <c r="K397" s="67"/>
      <c r="L397" s="66"/>
      <c r="M397" s="67"/>
    </row>
    <row r="398" ht="14.25" customHeight="1">
      <c r="A398" s="30"/>
      <c r="B398" s="1"/>
      <c r="C398" s="1"/>
      <c r="D398" s="30"/>
      <c r="E398" s="30"/>
      <c r="F398" s="1"/>
      <c r="G398" s="30"/>
      <c r="H398" s="30"/>
      <c r="I398" s="30"/>
      <c r="J398" s="1"/>
      <c r="K398" s="30"/>
      <c r="L398" s="30"/>
      <c r="M398" s="30"/>
    </row>
    <row r="399" ht="14.25" customHeight="1">
      <c r="A399" s="2" t="s">
        <v>2</v>
      </c>
      <c r="B399" s="3" t="s">
        <v>3</v>
      </c>
      <c r="C399" s="4">
        <f>M363+2</f>
        <v>45229</v>
      </c>
      <c r="D399" s="5" t="s">
        <v>4</v>
      </c>
      <c r="E399" s="6">
        <f>C399+1</f>
        <v>45230</v>
      </c>
      <c r="F399" s="3" t="s">
        <v>5</v>
      </c>
      <c r="G399" s="6">
        <f>E399+1</f>
        <v>45231</v>
      </c>
      <c r="H399" s="3" t="s">
        <v>6</v>
      </c>
      <c r="I399" s="6">
        <f>G399+1</f>
        <v>45232</v>
      </c>
      <c r="J399" s="3" t="s">
        <v>7</v>
      </c>
      <c r="K399" s="6">
        <f>I399+1</f>
        <v>45233</v>
      </c>
      <c r="L399" s="7" t="s">
        <v>8</v>
      </c>
      <c r="M399" s="8">
        <f>K399+1</f>
        <v>45234</v>
      </c>
    </row>
    <row r="400" ht="14.25" customHeight="1">
      <c r="A400" s="10">
        <f>A364+1</f>
        <v>12</v>
      </c>
      <c r="B400" s="129" t="s">
        <v>421</v>
      </c>
      <c r="C400" s="130" t="s">
        <v>422</v>
      </c>
      <c r="D400" s="131" t="s">
        <v>421</v>
      </c>
      <c r="E400" s="131" t="s">
        <v>422</v>
      </c>
      <c r="F400" s="129" t="s">
        <v>421</v>
      </c>
      <c r="G400" s="131" t="s">
        <v>422</v>
      </c>
      <c r="H400" s="129" t="s">
        <v>421</v>
      </c>
      <c r="I400" s="131" t="s">
        <v>422</v>
      </c>
      <c r="J400" s="129" t="s">
        <v>421</v>
      </c>
      <c r="K400" s="130" t="s">
        <v>422</v>
      </c>
      <c r="L400" s="131" t="s">
        <v>421</v>
      </c>
      <c r="M400" s="130" t="s">
        <v>422</v>
      </c>
    </row>
    <row r="401" ht="14.25" customHeight="1">
      <c r="A401" s="13" t="s">
        <v>12</v>
      </c>
      <c r="B401" s="20"/>
      <c r="C401" s="76"/>
      <c r="D401" s="18"/>
      <c r="E401" s="18"/>
      <c r="F401" s="20"/>
      <c r="G401" s="17"/>
      <c r="H401" s="70"/>
      <c r="I401" s="18"/>
      <c r="J401" s="20"/>
      <c r="K401" s="76"/>
      <c r="L401" s="132"/>
      <c r="M401" s="17"/>
    </row>
    <row r="402" ht="14.25" customHeight="1">
      <c r="A402" s="13"/>
      <c r="B402" s="46"/>
      <c r="C402" s="133"/>
      <c r="D402" s="134"/>
      <c r="E402" s="134"/>
      <c r="F402" s="46"/>
      <c r="G402" s="133"/>
      <c r="H402" s="120"/>
      <c r="I402" s="137"/>
      <c r="J402" s="46"/>
      <c r="K402" s="133"/>
      <c r="L402" s="120"/>
      <c r="M402" s="150"/>
    </row>
    <row r="403" ht="14.25" customHeight="1">
      <c r="A403" s="13"/>
      <c r="B403" s="46" t="s">
        <v>480</v>
      </c>
      <c r="C403" s="48"/>
      <c r="D403" s="134"/>
      <c r="E403" s="46" t="s">
        <v>480</v>
      </c>
      <c r="F403" s="46"/>
      <c r="G403" s="46" t="s">
        <v>480</v>
      </c>
      <c r="H403" s="28"/>
      <c r="I403" s="46" t="s">
        <v>480</v>
      </c>
      <c r="J403" s="46"/>
      <c r="K403" s="46" t="s">
        <v>480</v>
      </c>
      <c r="L403" s="28"/>
      <c r="M403" s="54" t="s">
        <v>480</v>
      </c>
    </row>
    <row r="404" ht="14.25" customHeight="1">
      <c r="A404" s="29" t="s">
        <v>22</v>
      </c>
      <c r="B404" s="46"/>
      <c r="C404" s="48"/>
      <c r="E404" s="134"/>
      <c r="F404" s="46"/>
      <c r="G404" s="48"/>
      <c r="H404" s="28"/>
      <c r="I404" s="79"/>
      <c r="J404" s="46"/>
      <c r="K404" s="48"/>
      <c r="L404" s="28"/>
      <c r="M404" s="24"/>
    </row>
    <row r="405" ht="14.25" customHeight="1">
      <c r="A405" s="28" t="s">
        <v>23</v>
      </c>
      <c r="B405" s="46"/>
      <c r="C405" s="48"/>
      <c r="D405" s="33"/>
      <c r="E405" s="134"/>
      <c r="F405" s="46"/>
      <c r="G405" s="48"/>
      <c r="H405" s="13"/>
      <c r="I405" s="34"/>
      <c r="J405" s="46"/>
      <c r="K405" s="48"/>
      <c r="L405" s="28"/>
      <c r="M405" s="54"/>
    </row>
    <row r="406" ht="14.25" customHeight="1">
      <c r="A406" s="13"/>
      <c r="B406" s="13"/>
      <c r="C406" s="24"/>
      <c r="D406" s="33"/>
      <c r="E406" s="135"/>
      <c r="F406" s="13"/>
      <c r="G406" s="34"/>
      <c r="H406" s="13"/>
      <c r="I406" s="34"/>
      <c r="J406" s="13"/>
      <c r="K406" s="24"/>
      <c r="L406" s="28"/>
      <c r="M406" s="24"/>
    </row>
    <row r="407" ht="14.25" customHeight="1">
      <c r="A407" s="28" t="s">
        <v>433</v>
      </c>
      <c r="B407" s="35" t="s">
        <v>25</v>
      </c>
      <c r="C407" s="58" t="str">
        <f>C402*B402 + B403*C403 + B404*C404 + B405*C405 + B406*C406</f>
        <v>#VALUE!</v>
      </c>
      <c r="D407" s="57" t="s">
        <v>25</v>
      </c>
      <c r="E407" s="55" t="str">
        <f>E402*D402 + D403*#REF! + E403*E404 + D405*E405 + D406*E406</f>
        <v>#REF!</v>
      </c>
      <c r="F407" s="35" t="s">
        <v>25</v>
      </c>
      <c r="G407" s="56" t="str">
        <f>G402*F402 + F403*G403 + F404*G404 + F405*G405 + F406*G406</f>
        <v>#VALUE!</v>
      </c>
      <c r="H407" s="35" t="s">
        <v>25</v>
      </c>
      <c r="I407" s="56" t="str">
        <f>I402*H402 + H403*I403 + H404*I404 + H405*I405 + H406*I406</f>
        <v>#VALUE!</v>
      </c>
      <c r="J407" s="35" t="s">
        <v>25</v>
      </c>
      <c r="K407" s="58" t="str">
        <f>K402*J402 + J403*K403 + J404*K404 + J405*K405 + J406*K406</f>
        <v>#VALUE!</v>
      </c>
      <c r="L407" s="35" t="s">
        <v>25</v>
      </c>
      <c r="M407" s="36" t="str">
        <f>M402*L402 + L403*M403 + L404*M404 + L405*M405 + L406*M406</f>
        <v>#VALUE!</v>
      </c>
    </row>
    <row r="408" ht="14.25" customHeight="1">
      <c r="A408" s="37"/>
      <c r="B408" s="39" t="s">
        <v>26</v>
      </c>
      <c r="C408" s="116" t="str">
        <f>(B402*C402 + B403*C403 + B404*C404 + B405*C405 + B406*C406)/SUM(C402:C406)</f>
        <v>#VALUE!</v>
      </c>
      <c r="D408" s="31" t="s">
        <v>26</v>
      </c>
      <c r="E408" s="74" t="str">
        <f>(D402*E402 + D403*#REF! + E403*E404 + D405*E405 + D406*E406)/SUM(E402:E406)</f>
        <v>#REF!</v>
      </c>
      <c r="F408" s="13" t="s">
        <v>26</v>
      </c>
      <c r="G408" s="117" t="str">
        <f>(F402*G402 + F403*G403 + F404*G404 + F405*G405 + F406*G406)/SUM(G402:G406)</f>
        <v>#VALUE!</v>
      </c>
      <c r="H408" s="13" t="s">
        <v>26</v>
      </c>
      <c r="I408" s="74" t="str">
        <f>(H402*I402 + H403*I403 + H404*I404 + H405*I405 + H406*I406)/SUM(I402:I406)</f>
        <v>#VALUE!</v>
      </c>
      <c r="J408" s="39" t="s">
        <v>26</v>
      </c>
      <c r="K408" s="116" t="str">
        <f>(J402*K402 + J403*K403 + J404*K404 + J405*K405 + J406*K406)/SUM(K402:K406)</f>
        <v>#VALUE!</v>
      </c>
      <c r="L408" s="13" t="s">
        <v>26</v>
      </c>
      <c r="M408" s="75" t="str">
        <f>(L402*M402 + L403*M403 + L404*M404 + L405*M405 + L406*M406)/SUM(M402:M406)</f>
        <v>#VALUE!</v>
      </c>
    </row>
    <row r="409" ht="14.25" customHeight="1">
      <c r="A409" s="28" t="s">
        <v>472</v>
      </c>
      <c r="B409" s="140" t="s">
        <v>421</v>
      </c>
      <c r="C409" s="141" t="s">
        <v>422</v>
      </c>
      <c r="D409" s="142" t="s">
        <v>421</v>
      </c>
      <c r="E409" s="143" t="s">
        <v>422</v>
      </c>
      <c r="F409" s="142" t="s">
        <v>421</v>
      </c>
      <c r="G409" s="143" t="s">
        <v>422</v>
      </c>
      <c r="H409" s="142" t="s">
        <v>421</v>
      </c>
      <c r="I409" s="143" t="s">
        <v>422</v>
      </c>
      <c r="J409" s="140" t="s">
        <v>421</v>
      </c>
      <c r="K409" s="144" t="s">
        <v>422</v>
      </c>
      <c r="L409" s="142" t="s">
        <v>421</v>
      </c>
      <c r="M409" s="145" t="s">
        <v>422</v>
      </c>
    </row>
    <row r="410" ht="14.25" customHeight="1">
      <c r="A410" s="41"/>
      <c r="B410" s="49"/>
      <c r="C410" s="146"/>
      <c r="D410" s="49"/>
      <c r="E410" s="147"/>
      <c r="F410" s="49"/>
      <c r="G410" s="146"/>
      <c r="H410" s="148"/>
      <c r="I410" s="147"/>
      <c r="J410" s="49"/>
      <c r="K410" s="125"/>
      <c r="L410" s="49"/>
      <c r="M410" s="118"/>
    </row>
    <row r="411" ht="14.25" customHeight="1">
      <c r="A411" s="41" t="s">
        <v>474</v>
      </c>
      <c r="B411" s="27"/>
      <c r="C411" s="79"/>
      <c r="D411" s="46"/>
      <c r="E411" s="34"/>
      <c r="F411" s="27"/>
      <c r="G411" s="79"/>
      <c r="H411" s="28"/>
      <c r="I411" s="34"/>
      <c r="J411" s="27"/>
      <c r="K411" s="54"/>
      <c r="L411" s="46"/>
      <c r="M411" s="54"/>
    </row>
    <row r="412" ht="14.25" customHeight="1">
      <c r="A412" s="28" t="s">
        <v>475</v>
      </c>
      <c r="B412" s="28"/>
      <c r="C412" s="79"/>
      <c r="D412" s="46"/>
      <c r="E412" s="79"/>
      <c r="F412" s="28"/>
      <c r="G412" s="79"/>
      <c r="H412" s="28"/>
      <c r="I412" s="34"/>
      <c r="J412" s="28"/>
      <c r="K412" s="54"/>
      <c r="L412" s="46"/>
      <c r="M412" s="24"/>
    </row>
    <row r="413" ht="14.25" customHeight="1">
      <c r="A413" s="28"/>
      <c r="B413" s="27"/>
      <c r="C413" s="79"/>
      <c r="D413" s="46"/>
      <c r="E413" s="34"/>
      <c r="F413" s="27"/>
      <c r="G413" s="79"/>
      <c r="H413" s="28"/>
      <c r="I413" s="34"/>
      <c r="J413" s="27"/>
      <c r="K413" s="54"/>
      <c r="L413" s="46"/>
      <c r="M413" s="24"/>
    </row>
    <row r="414" ht="14.25" customHeight="1">
      <c r="A414" s="28"/>
      <c r="B414" s="28"/>
      <c r="C414" s="79"/>
      <c r="D414" s="46"/>
      <c r="E414" s="79"/>
      <c r="F414" s="28"/>
      <c r="G414" s="79"/>
      <c r="H414" s="28"/>
      <c r="I414" s="34"/>
      <c r="J414" s="28"/>
      <c r="K414" s="54"/>
      <c r="L414" s="46"/>
      <c r="M414" s="54"/>
    </row>
    <row r="415" ht="14.25" customHeight="1">
      <c r="A415" s="28"/>
      <c r="B415" s="13"/>
      <c r="C415" s="34"/>
      <c r="D415" s="46"/>
      <c r="E415" s="34"/>
      <c r="F415" s="13"/>
      <c r="G415" s="34"/>
      <c r="H415" s="28"/>
      <c r="I415" s="34"/>
      <c r="J415" s="13"/>
      <c r="K415" s="24"/>
      <c r="L415" s="46"/>
      <c r="M415" s="24"/>
    </row>
    <row r="416" ht="14.25" customHeight="1">
      <c r="A416" s="28"/>
      <c r="B416" s="13"/>
      <c r="C416" s="34"/>
      <c r="D416" s="28"/>
      <c r="E416" s="34"/>
      <c r="F416" s="13"/>
      <c r="G416" s="34"/>
      <c r="H416" s="28"/>
      <c r="I416" s="34"/>
      <c r="J416" s="13"/>
      <c r="K416" s="24"/>
      <c r="L416" s="28"/>
      <c r="M416" s="24"/>
    </row>
    <row r="417" ht="14.25" customHeight="1">
      <c r="A417" s="28"/>
      <c r="B417" s="35" t="s">
        <v>25</v>
      </c>
      <c r="C417" s="55">
        <f>C411*B411 + B412*C412 + B413*C413 + B414*C414 + B416*C416</f>
        <v>0</v>
      </c>
      <c r="D417" s="35" t="s">
        <v>25</v>
      </c>
      <c r="E417" s="55">
        <f>E411*D411 + D412*E412 + D413*E413 + D414*E414 + D416*E416</f>
        <v>0</v>
      </c>
      <c r="F417" s="35" t="s">
        <v>25</v>
      </c>
      <c r="G417" s="55">
        <f>G411*F411 + F412*G412 + F413*G413 + F414*G414 + F416*G416</f>
        <v>0</v>
      </c>
      <c r="H417" s="35" t="s">
        <v>25</v>
      </c>
      <c r="I417" s="56">
        <f>I411*H411 + H412*I412 + H413*I413 + H414*I414 + H416*I416</f>
        <v>0</v>
      </c>
      <c r="J417" s="35" t="s">
        <v>25</v>
      </c>
      <c r="K417" s="36">
        <f>K411*J411 + J412*K412 + J413*K413 + J414*K414 + J416*K416</f>
        <v>0</v>
      </c>
      <c r="L417" s="35" t="s">
        <v>25</v>
      </c>
      <c r="M417" s="36">
        <f>M411*L411 + L412*M412 + L413*M413 + L414*M414 + L416*M416</f>
        <v>0</v>
      </c>
    </row>
    <row r="418" ht="14.25" customHeight="1">
      <c r="A418" s="28"/>
      <c r="B418" s="39" t="s">
        <v>26</v>
      </c>
      <c r="C418" s="77" t="str">
        <f>(B411*C411 + B412*C412 + B413*C413 + B414*C414 + B416*C416)/SUM(C411:C416)</f>
        <v>#DIV/0!</v>
      </c>
      <c r="D418" s="39" t="s">
        <v>26</v>
      </c>
      <c r="E418" s="77" t="str">
        <f>(D411*E411 + D412*E412 + D413*E413 + D414*E414 + D416*E416)/SUM(E411:E416)</f>
        <v>#DIV/0!</v>
      </c>
      <c r="F418" s="39" t="s">
        <v>26</v>
      </c>
      <c r="G418" s="77" t="str">
        <f>(F411*G411 + F412*G412 + F413*G413 + F414*G414 + F416*G416)/SUM(G411:G416)</f>
        <v>#DIV/0!</v>
      </c>
      <c r="H418" s="39" t="s">
        <v>26</v>
      </c>
      <c r="I418" s="77" t="str">
        <f>(H411*I411 + H412*I412 + H413*I413 + H414*I414 + H416*I416)/SUM(I411:I416)</f>
        <v>#DIV/0!</v>
      </c>
      <c r="J418" s="39" t="s">
        <v>26</v>
      </c>
      <c r="K418" s="40" t="str">
        <f>(J411*K411 + J412*K412 + J413*K413 + J414*K414 + J416*K416)/SUM(K411:K416)</f>
        <v>#DIV/0!</v>
      </c>
      <c r="L418" s="39" t="s">
        <v>26</v>
      </c>
      <c r="M418" s="40" t="str">
        <f>(L411*M411 + L412*M412 + L413*M413 + L414*M414 + L416*M416)/SUM(M411:M416)</f>
        <v>#DIV/0!</v>
      </c>
    </row>
    <row r="419" ht="14.25" customHeight="1">
      <c r="A419" s="13"/>
      <c r="B419" s="49"/>
      <c r="C419" s="146"/>
      <c r="D419" s="49"/>
      <c r="E419" s="146"/>
      <c r="F419" s="49"/>
      <c r="G419" s="146"/>
      <c r="H419" s="49"/>
      <c r="I419" s="146"/>
      <c r="J419" s="49"/>
      <c r="K419" s="146"/>
      <c r="L419" s="49"/>
      <c r="M419" s="146"/>
    </row>
    <row r="420" ht="14.25" customHeight="1">
      <c r="A420" s="13"/>
      <c r="B420" s="27"/>
      <c r="C420" s="79"/>
      <c r="D420" s="27"/>
      <c r="E420" s="79"/>
      <c r="F420" s="27"/>
      <c r="G420" s="79"/>
      <c r="H420" s="28"/>
      <c r="I420" s="34"/>
      <c r="J420" s="27"/>
      <c r="K420" s="54"/>
      <c r="L420" s="27"/>
      <c r="M420" s="79"/>
    </row>
    <row r="421" ht="14.25" customHeight="1">
      <c r="A421" s="28"/>
      <c r="B421" s="28"/>
      <c r="C421" s="79"/>
      <c r="D421" s="28"/>
      <c r="E421" s="79"/>
      <c r="F421" s="28"/>
      <c r="G421" s="79"/>
      <c r="H421" s="28"/>
      <c r="I421" s="34"/>
      <c r="J421" s="28"/>
      <c r="K421" s="54"/>
      <c r="L421" s="28"/>
      <c r="M421" s="79"/>
    </row>
    <row r="422" ht="14.25" customHeight="1">
      <c r="A422" s="28"/>
      <c r="B422" s="27"/>
      <c r="C422" s="79"/>
      <c r="D422" s="28"/>
      <c r="E422" s="79"/>
      <c r="F422" s="27"/>
      <c r="G422" s="79"/>
      <c r="H422" s="28"/>
      <c r="I422" s="34"/>
      <c r="J422" s="28"/>
      <c r="K422" s="54"/>
      <c r="L422" s="28"/>
      <c r="M422" s="79"/>
    </row>
    <row r="423" ht="14.25" customHeight="1">
      <c r="A423" s="37"/>
      <c r="B423" s="28"/>
      <c r="C423" s="79"/>
      <c r="D423" s="28"/>
      <c r="E423" s="79"/>
      <c r="F423" s="28"/>
      <c r="G423" s="34"/>
      <c r="H423" s="28"/>
      <c r="I423" s="34"/>
      <c r="J423" s="28"/>
      <c r="K423" s="54"/>
      <c r="L423" s="1"/>
      <c r="M423" s="24"/>
    </row>
    <row r="424" ht="14.25" customHeight="1">
      <c r="A424" s="13"/>
      <c r="B424" s="13"/>
      <c r="C424" s="34"/>
      <c r="D424" s="28"/>
      <c r="E424" s="34"/>
      <c r="F424" s="13"/>
      <c r="G424" s="34"/>
      <c r="H424" s="28"/>
      <c r="I424" s="34"/>
      <c r="J424" s="13"/>
      <c r="K424" s="24"/>
      <c r="L424" s="31"/>
      <c r="M424" s="24"/>
    </row>
    <row r="425" ht="14.25" customHeight="1">
      <c r="A425" s="13"/>
      <c r="B425" s="35" t="s">
        <v>25</v>
      </c>
      <c r="C425" s="55">
        <f>C420*B420 + B421*C421 + B422*C422 + B423*C423 + B424*C424</f>
        <v>0</v>
      </c>
      <c r="D425" s="35" t="s">
        <v>25</v>
      </c>
      <c r="E425" s="55">
        <f>E420*D420 + D421*E421 + D422*E422 + D423*E423 + D424*E424</f>
        <v>0</v>
      </c>
      <c r="F425" s="35" t="s">
        <v>25</v>
      </c>
      <c r="G425" s="55">
        <f>G420*F420 + F421*G421 + F422*G422 + F423*G423 + F424*G424</f>
        <v>0</v>
      </c>
      <c r="H425" s="35" t="s">
        <v>25</v>
      </c>
      <c r="I425" s="56">
        <f>I420*H420 + H421*I421 + H422*I422 + H423*I423 + H424*I424</f>
        <v>0</v>
      </c>
      <c r="J425" s="35" t="s">
        <v>25</v>
      </c>
      <c r="K425" s="36" t="str">
        <f>K420*J420 + J421*K421 + #REF!*K422 + J422*K423 + J424*K424</f>
        <v>#REF!</v>
      </c>
      <c r="L425" s="57" t="s">
        <v>25</v>
      </c>
      <c r="M425" s="58">
        <f>M420*L420 + L421*M421 + L422*M422 + L423*M423 + L424*M424</f>
        <v>0</v>
      </c>
    </row>
    <row r="426" ht="14.25" customHeight="1">
      <c r="A426" s="13"/>
      <c r="B426" s="39" t="s">
        <v>26</v>
      </c>
      <c r="C426" s="40" t="str">
        <f>(B420*C420 + B421*C421 + B422*C422 + B423*C423 + B424*C424)/SUM(C420:C424)</f>
        <v>#DIV/0!</v>
      </c>
      <c r="D426" s="59" t="s">
        <v>26</v>
      </c>
      <c r="E426" s="40" t="str">
        <f>(D420*E420 + D421*E421 + D422*E422 + D423*E423 + D424*E424)/SUM(E420:E424)</f>
        <v>#DIV/0!</v>
      </c>
      <c r="F426" s="31" t="s">
        <v>26</v>
      </c>
      <c r="G426" s="75" t="str">
        <f>(F420*G420 + F421*G421 + F422*G422 + F423*G423 + F424*G424)/SUM(G420:G424)</f>
        <v>#DIV/0!</v>
      </c>
      <c r="H426" s="59" t="s">
        <v>26</v>
      </c>
      <c r="I426" s="40" t="str">
        <f>(H420*I420 + H421*I421 + H422*I422 + H423*I423 + H424*I424)/SUM(I420:I424)</f>
        <v>#DIV/0!</v>
      </c>
      <c r="J426" s="39" t="s">
        <v>26</v>
      </c>
      <c r="K426" s="40" t="str">
        <f>(J420*K420 + J421*K421 + #REF!*K422 + J422*K423 + J424*K424)/SUM(K420:K424)</f>
        <v>#REF!</v>
      </c>
      <c r="L426" s="59" t="s">
        <v>26</v>
      </c>
      <c r="M426" s="40" t="str">
        <f>(L420*M420 + L421*M421 + L422*M422 + L423*M423 + L424*M424)/SUM(M420:M424)</f>
        <v>#DIV/0!</v>
      </c>
    </row>
    <row r="427" ht="14.25" customHeight="1">
      <c r="A427" s="28"/>
      <c r="B427" s="28" t="s">
        <v>91</v>
      </c>
      <c r="C427" s="30" t="s">
        <v>49</v>
      </c>
      <c r="D427" s="37"/>
      <c r="E427" s="30" t="s">
        <v>49</v>
      </c>
      <c r="F427" s="120" t="s">
        <v>88</v>
      </c>
      <c r="G427" s="121" t="s">
        <v>49</v>
      </c>
      <c r="H427" s="1"/>
      <c r="I427" s="30"/>
      <c r="J427" s="28" t="s">
        <v>88</v>
      </c>
      <c r="K427" s="60" t="s">
        <v>49</v>
      </c>
      <c r="L427" s="30"/>
      <c r="M427" s="60" t="s">
        <v>49</v>
      </c>
    </row>
    <row r="428" ht="14.25" customHeight="1">
      <c r="A428" s="37"/>
      <c r="B428" s="46"/>
      <c r="C428" s="30"/>
      <c r="D428" s="41"/>
      <c r="E428" s="63"/>
      <c r="F428" s="104"/>
      <c r="G428" s="63"/>
      <c r="H428" s="30"/>
      <c r="I428" s="30"/>
      <c r="J428" s="104"/>
      <c r="K428" s="60"/>
      <c r="L428" s="62"/>
      <c r="M428" s="60"/>
    </row>
    <row r="429" ht="14.25" customHeight="1">
      <c r="A429" s="37"/>
      <c r="B429" s="46"/>
      <c r="C429" s="1"/>
      <c r="D429" s="28"/>
      <c r="E429" s="30"/>
      <c r="F429" s="28"/>
      <c r="G429" s="60"/>
      <c r="H429" s="30"/>
      <c r="I429" s="30"/>
      <c r="J429" s="28"/>
      <c r="K429" s="60"/>
      <c r="L429" s="30"/>
      <c r="M429" s="60"/>
    </row>
    <row r="430" ht="14.25" customHeight="1">
      <c r="A430" s="37"/>
      <c r="B430" s="46"/>
      <c r="C430" s="1"/>
      <c r="D430" s="28"/>
      <c r="E430" s="1"/>
      <c r="F430" s="28"/>
      <c r="G430" s="60"/>
      <c r="H430" s="30"/>
      <c r="I430" s="30"/>
      <c r="J430" s="37"/>
      <c r="K430" s="60"/>
      <c r="L430" s="30"/>
      <c r="M430" s="60"/>
    </row>
    <row r="431" ht="14.25" customHeight="1">
      <c r="A431" s="37"/>
      <c r="B431" s="46"/>
      <c r="C431" s="1"/>
      <c r="D431" s="28"/>
      <c r="E431" s="1"/>
      <c r="F431" s="28"/>
      <c r="G431" s="60"/>
      <c r="H431" s="30"/>
      <c r="I431" s="30"/>
      <c r="J431" s="37"/>
      <c r="K431" s="60"/>
      <c r="L431" s="30"/>
      <c r="M431" s="60"/>
    </row>
    <row r="432" ht="14.25" customHeight="1">
      <c r="A432" s="37"/>
      <c r="B432" s="28"/>
      <c r="C432" s="1"/>
      <c r="D432" s="28"/>
      <c r="E432" s="1"/>
      <c r="F432" s="28"/>
      <c r="G432" s="60"/>
      <c r="H432" s="30"/>
      <c r="I432" s="30"/>
      <c r="J432" s="37"/>
      <c r="K432" s="60"/>
      <c r="L432" s="30"/>
      <c r="M432" s="60"/>
    </row>
    <row r="433" ht="14.25" customHeight="1">
      <c r="A433" s="64"/>
      <c r="B433" s="65"/>
      <c r="C433" s="66"/>
      <c r="D433" s="64"/>
      <c r="E433" s="66"/>
      <c r="F433" s="64"/>
      <c r="G433" s="67"/>
      <c r="H433" s="66"/>
      <c r="I433" s="66"/>
      <c r="J433" s="64"/>
      <c r="K433" s="67"/>
      <c r="L433" s="66"/>
      <c r="M433" s="67"/>
    </row>
    <row r="434" ht="14.25" customHeight="1">
      <c r="A434" s="30"/>
      <c r="B434" s="1"/>
      <c r="C434" s="1"/>
      <c r="D434" s="30"/>
      <c r="E434" s="30"/>
      <c r="F434" s="1"/>
      <c r="G434" s="30"/>
      <c r="H434" s="30"/>
      <c r="I434" s="30"/>
      <c r="J434" s="1"/>
      <c r="K434" s="30"/>
      <c r="L434" s="30"/>
      <c r="M434" s="30"/>
    </row>
    <row r="435" ht="14.25" customHeight="1">
      <c r="A435" s="2" t="s">
        <v>2</v>
      </c>
      <c r="B435" s="3" t="s">
        <v>3</v>
      </c>
      <c r="C435" s="4">
        <f>M399+2</f>
        <v>45236</v>
      </c>
      <c r="D435" s="5" t="s">
        <v>4</v>
      </c>
      <c r="E435" s="6">
        <f>C435+1</f>
        <v>45237</v>
      </c>
      <c r="F435" s="3" t="s">
        <v>5</v>
      </c>
      <c r="G435" s="6">
        <f>E435+1</f>
        <v>45238</v>
      </c>
      <c r="H435" s="3" t="s">
        <v>6</v>
      </c>
      <c r="I435" s="6">
        <f>G435+1</f>
        <v>45239</v>
      </c>
      <c r="J435" s="3" t="s">
        <v>7</v>
      </c>
      <c r="K435" s="6">
        <f>I435+1</f>
        <v>45240</v>
      </c>
      <c r="L435" s="7" t="s">
        <v>8</v>
      </c>
      <c r="M435" s="8">
        <f>K435+1</f>
        <v>45241</v>
      </c>
      <c r="N435" s="9" t="s">
        <v>9</v>
      </c>
      <c r="O435" s="8">
        <f>M435+1</f>
        <v>45242</v>
      </c>
    </row>
    <row r="436" ht="14.25" customHeight="1">
      <c r="A436" s="10">
        <f>A400+1</f>
        <v>13</v>
      </c>
      <c r="B436" s="129" t="s">
        <v>421</v>
      </c>
      <c r="C436" s="130" t="s">
        <v>422</v>
      </c>
      <c r="D436" s="131" t="s">
        <v>421</v>
      </c>
      <c r="E436" s="131" t="s">
        <v>422</v>
      </c>
      <c r="F436" s="129" t="s">
        <v>421</v>
      </c>
      <c r="G436" s="131" t="s">
        <v>422</v>
      </c>
      <c r="H436" s="129" t="s">
        <v>421</v>
      </c>
      <c r="I436" s="131" t="s">
        <v>422</v>
      </c>
      <c r="J436" s="129" t="s">
        <v>421</v>
      </c>
      <c r="K436" s="130" t="s">
        <v>422</v>
      </c>
      <c r="L436" s="131" t="s">
        <v>421</v>
      </c>
      <c r="M436" s="130" t="s">
        <v>422</v>
      </c>
      <c r="N436" s="131" t="s">
        <v>421</v>
      </c>
      <c r="O436" s="130" t="s">
        <v>422</v>
      </c>
    </row>
    <row r="437" ht="14.25" customHeight="1">
      <c r="A437" s="153"/>
      <c r="B437" s="154" t="s">
        <v>306</v>
      </c>
      <c r="C437" s="15"/>
      <c r="D437" s="155" t="s">
        <v>481</v>
      </c>
      <c r="E437" s="156"/>
      <c r="F437" s="154" t="s">
        <v>306</v>
      </c>
      <c r="G437" s="15"/>
      <c r="H437" s="154" t="s">
        <v>306</v>
      </c>
      <c r="I437" s="15"/>
      <c r="J437" s="154" t="s">
        <v>306</v>
      </c>
      <c r="K437" s="15"/>
      <c r="L437" s="154" t="s">
        <v>306</v>
      </c>
      <c r="M437" s="15"/>
      <c r="N437" s="154" t="s">
        <v>306</v>
      </c>
      <c r="O437" s="15"/>
    </row>
    <row r="438" ht="14.25" customHeight="1">
      <c r="A438" s="13" t="s">
        <v>12</v>
      </c>
      <c r="B438" s="20" t="s">
        <v>477</v>
      </c>
      <c r="C438" s="76"/>
      <c r="D438" s="18" t="s">
        <v>14</v>
      </c>
      <c r="E438" s="18"/>
      <c r="F438" s="20" t="s">
        <v>478</v>
      </c>
      <c r="G438" s="17"/>
      <c r="H438" s="20" t="s">
        <v>477</v>
      </c>
      <c r="I438" s="76"/>
      <c r="J438" s="20" t="s">
        <v>478</v>
      </c>
      <c r="K438" s="17"/>
      <c r="L438" s="132" t="s">
        <v>14</v>
      </c>
      <c r="M438" s="17"/>
      <c r="N438" s="20" t="s">
        <v>482</v>
      </c>
      <c r="O438" s="76"/>
    </row>
    <row r="439" ht="14.25" customHeight="1">
      <c r="A439" s="13"/>
      <c r="B439" s="46">
        <v>80.0</v>
      </c>
      <c r="C439" s="133">
        <v>4.0</v>
      </c>
      <c r="D439" s="134" t="s">
        <v>15</v>
      </c>
      <c r="E439" s="134"/>
      <c r="F439" s="46">
        <v>120.0</v>
      </c>
      <c r="G439" s="133">
        <v>3.0</v>
      </c>
      <c r="H439" s="46">
        <v>80.0</v>
      </c>
      <c r="I439" s="133">
        <v>3.0</v>
      </c>
      <c r="J439" s="46">
        <v>120.0</v>
      </c>
      <c r="K439" s="133">
        <v>3.0</v>
      </c>
      <c r="L439" s="120" t="s">
        <v>290</v>
      </c>
      <c r="M439" s="150" t="s">
        <v>476</v>
      </c>
      <c r="N439" s="46">
        <v>70.0</v>
      </c>
      <c r="O439" s="133">
        <v>3.0</v>
      </c>
    </row>
    <row r="440" ht="14.25" customHeight="1">
      <c r="A440" s="13"/>
      <c r="B440" s="46">
        <v>85.0</v>
      </c>
      <c r="C440" s="48">
        <v>3.0</v>
      </c>
      <c r="D440" s="134" t="s">
        <v>479</v>
      </c>
      <c r="E440" s="134"/>
      <c r="F440" s="46">
        <v>130.0</v>
      </c>
      <c r="G440" s="48">
        <v>3.0</v>
      </c>
      <c r="H440" s="46">
        <v>85.0</v>
      </c>
      <c r="I440" s="48">
        <v>3.0</v>
      </c>
      <c r="J440" s="46">
        <v>130.0</v>
      </c>
      <c r="K440" s="48">
        <v>3.0</v>
      </c>
      <c r="L440" s="28" t="s">
        <v>483</v>
      </c>
      <c r="M440" s="24"/>
      <c r="N440" s="46">
        <v>75.0</v>
      </c>
      <c r="O440" s="48">
        <v>3.0</v>
      </c>
    </row>
    <row r="441" ht="14.25" customHeight="1">
      <c r="A441" s="29" t="s">
        <v>22</v>
      </c>
      <c r="B441" s="46">
        <v>90.0</v>
      </c>
      <c r="C441" s="48">
        <v>2.0</v>
      </c>
      <c r="D441" s="123" t="s">
        <v>430</v>
      </c>
      <c r="E441" s="134"/>
      <c r="F441" s="46">
        <v>140.0</v>
      </c>
      <c r="G441" s="48">
        <v>3.0</v>
      </c>
      <c r="H441" s="46">
        <v>90.0</v>
      </c>
      <c r="I441" s="48">
        <v>2.0</v>
      </c>
      <c r="J441" s="46">
        <v>140.0</v>
      </c>
      <c r="K441" s="48">
        <v>3.0</v>
      </c>
      <c r="L441" s="28"/>
      <c r="M441" s="24"/>
      <c r="N441" s="46">
        <v>80.0</v>
      </c>
      <c r="O441" s="48">
        <v>2.0</v>
      </c>
    </row>
    <row r="442" ht="14.25" customHeight="1">
      <c r="A442" s="28" t="s">
        <v>23</v>
      </c>
      <c r="B442" s="46"/>
      <c r="C442" s="48"/>
      <c r="D442" s="33"/>
      <c r="E442" s="134"/>
      <c r="F442" s="46"/>
      <c r="G442" s="48"/>
      <c r="H442" s="46"/>
      <c r="I442" s="48"/>
      <c r="J442" s="46"/>
      <c r="K442" s="48"/>
      <c r="L442" s="28" t="s">
        <v>431</v>
      </c>
      <c r="M442" s="54" t="s">
        <v>458</v>
      </c>
      <c r="N442" s="28"/>
      <c r="O442" s="54"/>
    </row>
    <row r="443" ht="14.25" customHeight="1">
      <c r="A443" s="13"/>
      <c r="B443" s="13"/>
      <c r="C443" s="24"/>
      <c r="D443" s="33"/>
      <c r="E443" s="135"/>
      <c r="F443" s="13"/>
      <c r="G443" s="34"/>
      <c r="H443" s="13"/>
      <c r="I443" s="24"/>
      <c r="J443" s="13"/>
      <c r="K443" s="24"/>
      <c r="L443" s="28" t="s">
        <v>98</v>
      </c>
      <c r="M443" s="24"/>
      <c r="N443" s="28"/>
      <c r="O443" s="24"/>
    </row>
    <row r="444" ht="14.25" customHeight="1">
      <c r="A444" s="28" t="s">
        <v>433</v>
      </c>
      <c r="B444" s="35" t="s">
        <v>25</v>
      </c>
      <c r="C444" s="58">
        <f>C439*B439 + B440*C440 + B441*C441 + B442*C442 + B443*C443</f>
        <v>755</v>
      </c>
      <c r="D444" s="57" t="s">
        <v>25</v>
      </c>
      <c r="E444" s="55" t="str">
        <f>E439*D439 + D440*#REF! + E440*E441 + D442*E442 + D443*E443</f>
        <v>#VALUE!</v>
      </c>
      <c r="F444" s="35" t="s">
        <v>25</v>
      </c>
      <c r="G444" s="56">
        <f>G439*F439 + F440*G440 + F441*G441 + F442*G442 + F443*G443</f>
        <v>1170</v>
      </c>
      <c r="H444" s="35" t="s">
        <v>25</v>
      </c>
      <c r="I444" s="58">
        <f>I439*H439 + H440*I440 + H441*I441 + H442*I442 + H443*I443</f>
        <v>675</v>
      </c>
      <c r="J444" s="35" t="s">
        <v>25</v>
      </c>
      <c r="K444" s="58">
        <f>K439*J439 + J440*K440 + J441*K441 + J442*K442 + J443*K443</f>
        <v>1170</v>
      </c>
      <c r="L444" s="35" t="s">
        <v>25</v>
      </c>
      <c r="M444" s="36" t="str">
        <f>M439*L439 + L440*M440 + L441*M441 + L442*M442 + L443*M443</f>
        <v>#VALUE!</v>
      </c>
      <c r="N444" s="35" t="s">
        <v>25</v>
      </c>
      <c r="O444" s="36">
        <f>O439*N439 + N440*O440 + N441*O441 + N442*O442 + N443*O443</f>
        <v>595</v>
      </c>
    </row>
    <row r="445" ht="14.25" customHeight="1">
      <c r="A445" s="37"/>
      <c r="B445" s="39" t="s">
        <v>26</v>
      </c>
      <c r="C445" s="116">
        <f>(B439*C439 + B440*C440 + B441*C441 + B442*C442 + B443*C443)/SUM(C439:C443)</f>
        <v>83.88888889</v>
      </c>
      <c r="D445" s="31" t="s">
        <v>26</v>
      </c>
      <c r="E445" s="74" t="str">
        <f>(D439*E439 + D440*#REF! + E440*E441 + D442*E442 + D443*E443)/SUM(E439:E443)</f>
        <v>#VALUE!</v>
      </c>
      <c r="F445" s="13" t="s">
        <v>26</v>
      </c>
      <c r="G445" s="117">
        <f>(F439*G439 + F440*G440 + F441*G441 + F442*G442 + F443*G443)/SUM(G439:G443)</f>
        <v>130</v>
      </c>
      <c r="H445" s="39" t="s">
        <v>26</v>
      </c>
      <c r="I445" s="116">
        <f>(H439*I439 + H440*I440 + H441*I441 + H442*I442 + H443*I443)/SUM(I439:I443)</f>
        <v>84.375</v>
      </c>
      <c r="J445" s="39" t="s">
        <v>26</v>
      </c>
      <c r="K445" s="116">
        <f>(J439*K439 + J440*K440 + J441*K441 + J442*K442 + J443*K443)/SUM(K439:K443)</f>
        <v>130</v>
      </c>
      <c r="L445" s="13" t="s">
        <v>26</v>
      </c>
      <c r="M445" s="75" t="str">
        <f>(L439*M439 + L440*M440 + L441*M441 + L442*M442 + L443*M443)/SUM(M439:M443)</f>
        <v>#VALUE!</v>
      </c>
      <c r="N445" s="13" t="s">
        <v>26</v>
      </c>
      <c r="O445" s="75">
        <f>(N439*O439 + N440*O440 + N441*O441 + N442*O442 + N443*O443)/SUM(O439:O443)</f>
        <v>74.375</v>
      </c>
    </row>
    <row r="446" ht="14.25" customHeight="1">
      <c r="A446" s="28" t="s">
        <v>472</v>
      </c>
      <c r="B446" s="140" t="s">
        <v>421</v>
      </c>
      <c r="C446" s="141" t="s">
        <v>422</v>
      </c>
      <c r="D446" s="142" t="s">
        <v>421</v>
      </c>
      <c r="E446" s="143" t="s">
        <v>422</v>
      </c>
      <c r="F446" s="142" t="s">
        <v>421</v>
      </c>
      <c r="G446" s="143" t="s">
        <v>422</v>
      </c>
      <c r="H446" s="140" t="s">
        <v>421</v>
      </c>
      <c r="I446" s="141" t="s">
        <v>422</v>
      </c>
      <c r="J446" s="140" t="s">
        <v>421</v>
      </c>
      <c r="K446" s="144" t="s">
        <v>422</v>
      </c>
      <c r="L446" s="142" t="s">
        <v>421</v>
      </c>
      <c r="M446" s="145" t="s">
        <v>422</v>
      </c>
      <c r="N446" s="142" t="s">
        <v>421</v>
      </c>
      <c r="O446" s="145" t="s">
        <v>422</v>
      </c>
    </row>
    <row r="447" ht="14.25" customHeight="1">
      <c r="A447" s="41"/>
      <c r="B447" s="49" t="s">
        <v>304</v>
      </c>
      <c r="C447" s="146"/>
      <c r="D447" s="49" t="s">
        <v>91</v>
      </c>
      <c r="E447" s="147" t="s">
        <v>49</v>
      </c>
      <c r="F447" s="49" t="s">
        <v>304</v>
      </c>
      <c r="G447" s="146"/>
      <c r="H447" s="49" t="s">
        <v>304</v>
      </c>
      <c r="I447" s="146"/>
      <c r="J447" s="49" t="s">
        <v>245</v>
      </c>
      <c r="K447" s="146"/>
      <c r="L447" s="49" t="s">
        <v>91</v>
      </c>
      <c r="M447" s="118" t="s">
        <v>90</v>
      </c>
      <c r="N447" s="49" t="s">
        <v>91</v>
      </c>
      <c r="O447" s="118" t="s">
        <v>90</v>
      </c>
    </row>
    <row r="448" ht="14.25" customHeight="1">
      <c r="A448" s="41" t="s">
        <v>474</v>
      </c>
      <c r="B448" s="27">
        <v>215.0</v>
      </c>
      <c r="C448" s="79">
        <v>3.0</v>
      </c>
      <c r="D448" s="46">
        <v>30.0</v>
      </c>
      <c r="E448" s="34"/>
      <c r="F448" s="27">
        <v>200.0</v>
      </c>
      <c r="G448" s="79">
        <v>3.0</v>
      </c>
      <c r="H448" s="27" t="s">
        <v>235</v>
      </c>
      <c r="I448" s="79">
        <v>3.0</v>
      </c>
      <c r="J448" s="27">
        <v>45.0</v>
      </c>
      <c r="K448" s="79">
        <v>6.0</v>
      </c>
      <c r="L448" s="46">
        <v>30.0</v>
      </c>
      <c r="M448" s="54"/>
      <c r="N448" s="46">
        <v>30.0</v>
      </c>
      <c r="O448" s="54"/>
    </row>
    <row r="449" ht="14.25" customHeight="1">
      <c r="A449" s="28" t="s">
        <v>475</v>
      </c>
      <c r="B449" s="28">
        <v>220.0</v>
      </c>
      <c r="C449" s="79">
        <v>3.0</v>
      </c>
      <c r="D449" s="46">
        <v>60.0</v>
      </c>
      <c r="E449" s="79"/>
      <c r="F449" s="28">
        <v>205.0</v>
      </c>
      <c r="G449" s="79">
        <v>3.0</v>
      </c>
      <c r="H449" s="28" t="s">
        <v>235</v>
      </c>
      <c r="I449" s="79">
        <v>3.0</v>
      </c>
      <c r="J449" s="28">
        <v>50.0</v>
      </c>
      <c r="K449" s="79">
        <v>6.0</v>
      </c>
      <c r="L449" s="46">
        <v>40.0</v>
      </c>
      <c r="M449" s="24"/>
      <c r="N449" s="46">
        <v>40.0</v>
      </c>
      <c r="O449" s="24"/>
    </row>
    <row r="450" ht="14.25" customHeight="1">
      <c r="A450" s="28"/>
      <c r="B450" s="27">
        <v>222.5</v>
      </c>
      <c r="C450" s="79">
        <v>3.0</v>
      </c>
      <c r="D450" s="46">
        <v>30.0</v>
      </c>
      <c r="E450" s="34"/>
      <c r="F450" s="27">
        <v>210.0</v>
      </c>
      <c r="G450" s="79">
        <v>3.0</v>
      </c>
      <c r="H450" s="27" t="s">
        <v>235</v>
      </c>
      <c r="I450" s="79">
        <v>3.0</v>
      </c>
      <c r="J450" s="27">
        <v>60.0</v>
      </c>
      <c r="K450" s="79">
        <v>6.0</v>
      </c>
      <c r="L450" s="46">
        <v>30.0</v>
      </c>
      <c r="M450" s="24"/>
      <c r="N450" s="46">
        <v>30.0</v>
      </c>
      <c r="O450" s="24"/>
    </row>
    <row r="451" ht="14.25" customHeight="1">
      <c r="A451" s="28"/>
      <c r="B451" s="28"/>
      <c r="C451" s="79"/>
      <c r="D451" s="46">
        <v>20.0</v>
      </c>
      <c r="E451" s="79"/>
      <c r="F451" s="28"/>
      <c r="G451" s="79"/>
      <c r="H451" s="28"/>
      <c r="I451" s="34"/>
      <c r="J451" s="28"/>
      <c r="K451" s="54"/>
      <c r="L451" s="46"/>
      <c r="M451" s="54"/>
      <c r="N451" s="46"/>
      <c r="O451" s="54"/>
    </row>
    <row r="452" ht="14.25" customHeight="1">
      <c r="A452" s="28"/>
      <c r="B452" s="13"/>
      <c r="C452" s="34"/>
      <c r="D452" s="46"/>
      <c r="E452" s="34"/>
      <c r="F452" s="13"/>
      <c r="G452" s="34"/>
      <c r="H452" s="28"/>
      <c r="I452" s="34"/>
      <c r="J452" s="13"/>
      <c r="K452" s="24"/>
      <c r="L452" s="46"/>
      <c r="M452" s="24"/>
      <c r="N452" s="46"/>
      <c r="O452" s="24"/>
    </row>
    <row r="453" ht="14.25" customHeight="1">
      <c r="A453" s="28"/>
      <c r="B453" s="13"/>
      <c r="C453" s="34"/>
      <c r="D453" s="28"/>
      <c r="E453" s="34"/>
      <c r="F453" s="13"/>
      <c r="G453" s="34"/>
      <c r="H453" s="28"/>
      <c r="I453" s="34"/>
      <c r="J453" s="13"/>
      <c r="K453" s="24"/>
      <c r="L453" s="28"/>
      <c r="M453" s="24"/>
      <c r="N453" s="28"/>
      <c r="O453" s="24"/>
    </row>
    <row r="454" ht="14.25" customHeight="1">
      <c r="A454" s="28"/>
      <c r="B454" s="35" t="s">
        <v>25</v>
      </c>
      <c r="C454" s="55">
        <f>C448*B448 + B449*C449 + B450*C450 + B451*C451 + B453*C453</f>
        <v>1972.5</v>
      </c>
      <c r="D454" s="35" t="s">
        <v>25</v>
      </c>
      <c r="E454" s="55">
        <f>E448*D448 + D449*E449 + D450*E450 + D451*E451 + D453*E453</f>
        <v>0</v>
      </c>
      <c r="F454" s="35" t="s">
        <v>25</v>
      </c>
      <c r="G454" s="55">
        <f>G448*F448 + F449*G449 + F450*G450 + F451*G451 + F453*G453</f>
        <v>1845</v>
      </c>
      <c r="H454" s="35" t="s">
        <v>25</v>
      </c>
      <c r="I454" s="56" t="str">
        <f>I448*H448 + H449*I449 + H450*I450 + H451*I451 + H453*I453</f>
        <v>#VALUE!</v>
      </c>
      <c r="J454" s="35" t="s">
        <v>25</v>
      </c>
      <c r="K454" s="36">
        <f>K448*J448 + J449*K449 + J450*K450 + J451*K451 + J453*K453</f>
        <v>930</v>
      </c>
      <c r="L454" s="35" t="s">
        <v>25</v>
      </c>
      <c r="M454" s="36">
        <f>M448*L448 + L449*M449 + L450*M450 + L451*M451 + L453*M453</f>
        <v>0</v>
      </c>
      <c r="N454" s="35" t="s">
        <v>25</v>
      </c>
      <c r="O454" s="36">
        <f>O448*N448 + N449*O449 + N450*O450 + N451*O451 + N453*O453</f>
        <v>0</v>
      </c>
    </row>
    <row r="455" ht="14.25" customHeight="1">
      <c r="A455" s="28"/>
      <c r="B455" s="39" t="s">
        <v>26</v>
      </c>
      <c r="C455" s="77">
        <f>(B448*C448 + B449*C449 + B450*C450 + B451*C451 + B453*C453)/SUM(C448:C453)</f>
        <v>219.1666667</v>
      </c>
      <c r="D455" s="39" t="s">
        <v>26</v>
      </c>
      <c r="E455" s="77" t="str">
        <f>(D448*E448 + D449*E449 + D450*E450 + D451*E451 + D453*E453)/SUM(E448:E453)</f>
        <v>#DIV/0!</v>
      </c>
      <c r="F455" s="39" t="s">
        <v>26</v>
      </c>
      <c r="G455" s="77">
        <f>(F448*G448 + F449*G449 + F450*G450 + F451*G451 + F453*G453)/SUM(G448:G453)</f>
        <v>205</v>
      </c>
      <c r="H455" s="39" t="s">
        <v>26</v>
      </c>
      <c r="I455" s="77" t="str">
        <f>(H448*I448 + H449*I449 + H450*I450 + H451*I451 + H453*I453)/SUM(I448:I453)</f>
        <v>#VALUE!</v>
      </c>
      <c r="J455" s="39" t="s">
        <v>26</v>
      </c>
      <c r="K455" s="40">
        <f>(J448*K448 + J449*K449 + J450*K450 + J451*K451 + J453*K453)/SUM(K448:K453)</f>
        <v>51.66666667</v>
      </c>
      <c r="L455" s="39" t="s">
        <v>26</v>
      </c>
      <c r="M455" s="40" t="str">
        <f>(L448*M448 + L449*M449 + L450*M450 + L451*M451 + L453*M453)/SUM(M448:M453)</f>
        <v>#DIV/0!</v>
      </c>
      <c r="N455" s="39" t="s">
        <v>26</v>
      </c>
      <c r="O455" s="40" t="str">
        <f>(N448*O448 + N449*O449 + N450*O450 + N451*O451 + N453*O453)/SUM(O448:O453)</f>
        <v>#DIV/0!</v>
      </c>
    </row>
    <row r="456" ht="14.25" customHeight="1">
      <c r="A456" s="13"/>
      <c r="B456" s="49"/>
      <c r="C456" s="146"/>
      <c r="D456" s="49" t="s">
        <v>292</v>
      </c>
      <c r="E456" s="146"/>
      <c r="F456" s="49" t="s">
        <v>306</v>
      </c>
      <c r="G456" s="146"/>
      <c r="H456" s="49"/>
      <c r="I456" s="146"/>
      <c r="J456" s="49" t="s">
        <v>484</v>
      </c>
      <c r="K456" s="146"/>
      <c r="L456" s="49" t="s">
        <v>250</v>
      </c>
      <c r="M456" s="50"/>
      <c r="N456" s="49" t="s">
        <v>249</v>
      </c>
      <c r="O456" s="146"/>
    </row>
    <row r="457" ht="14.25" customHeight="1">
      <c r="A457" s="13"/>
      <c r="B457" s="27"/>
      <c r="C457" s="79"/>
      <c r="D457" s="27" t="s">
        <v>210</v>
      </c>
      <c r="E457" s="79"/>
      <c r="F457" s="27"/>
      <c r="G457" s="79"/>
      <c r="H457" s="28"/>
      <c r="I457" s="34"/>
      <c r="J457" s="27" t="s">
        <v>485</v>
      </c>
      <c r="K457" s="79"/>
      <c r="L457" s="157">
        <v>6.0</v>
      </c>
      <c r="M457" s="54" t="s">
        <v>486</v>
      </c>
      <c r="N457" s="27"/>
      <c r="O457" s="54">
        <v>6.0</v>
      </c>
    </row>
    <row r="458" ht="14.25" customHeight="1">
      <c r="A458" s="28"/>
      <c r="B458" s="28"/>
      <c r="C458" s="79"/>
      <c r="D458" s="28" t="s">
        <v>299</v>
      </c>
      <c r="E458" s="79"/>
      <c r="F458" s="28"/>
      <c r="G458" s="79"/>
      <c r="H458" s="28"/>
      <c r="I458" s="34"/>
      <c r="J458" s="28" t="s">
        <v>487</v>
      </c>
      <c r="K458" s="79"/>
      <c r="L458" s="28">
        <v>6.0</v>
      </c>
      <c r="M458" s="54" t="s">
        <v>486</v>
      </c>
      <c r="N458" s="28"/>
      <c r="O458" s="54">
        <v>6.0</v>
      </c>
    </row>
    <row r="459" ht="14.25" customHeight="1">
      <c r="A459" s="28"/>
      <c r="B459" s="27"/>
      <c r="C459" s="79"/>
      <c r="D459" s="28" t="s">
        <v>295</v>
      </c>
      <c r="E459" s="79"/>
      <c r="F459" s="27"/>
      <c r="G459" s="79"/>
      <c r="H459" s="28"/>
      <c r="I459" s="34"/>
      <c r="J459" s="27" t="s">
        <v>488</v>
      </c>
      <c r="K459" s="79"/>
      <c r="L459" s="157">
        <v>6.0</v>
      </c>
      <c r="M459" s="54" t="s">
        <v>486</v>
      </c>
      <c r="N459" s="28"/>
      <c r="O459" s="54">
        <v>6.0</v>
      </c>
    </row>
    <row r="460" ht="14.25" customHeight="1">
      <c r="A460" s="37"/>
      <c r="B460" s="28"/>
      <c r="C460" s="79"/>
      <c r="D460" s="28"/>
      <c r="E460" s="79"/>
      <c r="F460" s="28"/>
      <c r="G460" s="34"/>
      <c r="H460" s="28"/>
      <c r="I460" s="34"/>
      <c r="J460" s="28"/>
      <c r="K460" s="54"/>
      <c r="L460" s="28"/>
      <c r="M460" s="24"/>
      <c r="N460" s="1"/>
      <c r="O460" s="24"/>
    </row>
    <row r="461" ht="14.25" customHeight="1">
      <c r="A461" s="13"/>
      <c r="B461" s="13"/>
      <c r="C461" s="34"/>
      <c r="D461" s="28"/>
      <c r="E461" s="34"/>
      <c r="F461" s="13"/>
      <c r="G461" s="34"/>
      <c r="H461" s="28"/>
      <c r="I461" s="34"/>
      <c r="J461" s="13"/>
      <c r="K461" s="24"/>
      <c r="L461" s="31"/>
      <c r="M461" s="24"/>
      <c r="N461" s="31"/>
      <c r="O461" s="24"/>
    </row>
    <row r="462" ht="14.25" customHeight="1">
      <c r="A462" s="13"/>
      <c r="B462" s="35" t="s">
        <v>25</v>
      </c>
      <c r="C462" s="55">
        <f>C457*B457 + B458*C458 + B459*C459 + B460*C460 + B461*C461</f>
        <v>0</v>
      </c>
      <c r="D462" s="35" t="s">
        <v>25</v>
      </c>
      <c r="E462" s="55" t="str">
        <f>E457*D457 + D458*E458 + D459*E459 + D460*E460 + D461*E461</f>
        <v>#VALUE!</v>
      </c>
      <c r="F462" s="35" t="s">
        <v>25</v>
      </c>
      <c r="G462" s="55">
        <f>G457*F457 + F458*G458 + F459*G459 + F460*G460 + F461*G461</f>
        <v>0</v>
      </c>
      <c r="H462" s="35" t="s">
        <v>25</v>
      </c>
      <c r="I462" s="56">
        <f>I457*H457 + H458*I458 + H459*I459 + H460*I460 + H461*I461</f>
        <v>0</v>
      </c>
      <c r="J462" s="35" t="s">
        <v>25</v>
      </c>
      <c r="K462" s="36" t="str">
        <f>K457*J457 + J458*K458 + #REF!*K459 + J459*K460 + J461*K461</f>
        <v>#VALUE!</v>
      </c>
      <c r="L462" s="57" t="s">
        <v>25</v>
      </c>
      <c r="M462" s="58" t="str">
        <f>M457*L457 + L458*M458 + L459*M459 + L460*M460 + L461*M461</f>
        <v>#VALUE!</v>
      </c>
      <c r="N462" s="57" t="s">
        <v>25</v>
      </c>
      <c r="O462" s="58">
        <f>O457*N457 + N458*O458 + N459*O459 + N460*O460 + N461*O461</f>
        <v>0</v>
      </c>
    </row>
    <row r="463" ht="14.25" customHeight="1">
      <c r="A463" s="13"/>
      <c r="B463" s="39" t="s">
        <v>26</v>
      </c>
      <c r="C463" s="40" t="str">
        <f>(B457*C457 + B458*C458 + B459*C459 + B460*C460 + B461*C461)/SUM(C457:C461)</f>
        <v>#DIV/0!</v>
      </c>
      <c r="D463" s="59" t="s">
        <v>26</v>
      </c>
      <c r="E463" s="40" t="str">
        <f>(D457*E457 + D458*E458 + D459*E459 + D460*E460 + D461*E461)/SUM(E457:E461)</f>
        <v>#VALUE!</v>
      </c>
      <c r="F463" s="31" t="s">
        <v>26</v>
      </c>
      <c r="G463" s="75" t="str">
        <f>(F457*G457 + F458*G458 + F459*G459 + F460*G460 + F461*G461)/SUM(G457:G461)</f>
        <v>#DIV/0!</v>
      </c>
      <c r="H463" s="59" t="s">
        <v>26</v>
      </c>
      <c r="I463" s="40" t="str">
        <f>(H457*I457 + H458*I458 + H459*I459 + H460*I460 + H461*I461)/SUM(I457:I461)</f>
        <v>#DIV/0!</v>
      </c>
      <c r="J463" s="39" t="s">
        <v>26</v>
      </c>
      <c r="K463" s="40" t="str">
        <f>(J457*K457 + J458*K458 + #REF!*K459 + J459*K460 + J461*K461)/SUM(K457:K461)</f>
        <v>#VALUE!</v>
      </c>
      <c r="L463" s="59" t="s">
        <v>26</v>
      </c>
      <c r="M463" s="40" t="str">
        <f>(L457*M457 + L458*M458 + L459*M459 + L460*M460 + L461*M461)/SUM(M457:M461)</f>
        <v>#VALUE!</v>
      </c>
      <c r="N463" s="59" t="s">
        <v>26</v>
      </c>
      <c r="O463" s="40">
        <f>(N457*O457 + N458*O458 + N459*O459 + N460*O460 + N461*O461)/SUM(O457:O461)</f>
        <v>0</v>
      </c>
    </row>
    <row r="464" ht="14.25" customHeight="1">
      <c r="A464" s="28"/>
      <c r="B464" s="28" t="s">
        <v>91</v>
      </c>
      <c r="C464" s="30" t="s">
        <v>49</v>
      </c>
      <c r="D464" s="37"/>
      <c r="E464" s="30" t="s">
        <v>49</v>
      </c>
      <c r="F464" s="120" t="s">
        <v>88</v>
      </c>
      <c r="G464" s="121" t="s">
        <v>49</v>
      </c>
      <c r="H464" s="1" t="s">
        <v>489</v>
      </c>
      <c r="I464" s="30"/>
      <c r="J464" s="28" t="s">
        <v>489</v>
      </c>
      <c r="K464" s="60"/>
      <c r="L464" s="1" t="s">
        <v>489</v>
      </c>
      <c r="M464" s="60"/>
      <c r="N464" s="1" t="s">
        <v>489</v>
      </c>
      <c r="O464" s="60"/>
    </row>
    <row r="465" ht="14.25" customHeight="1">
      <c r="A465" s="37"/>
      <c r="B465" s="46">
        <v>30.0</v>
      </c>
      <c r="C465" s="30"/>
      <c r="D465" s="41"/>
      <c r="E465" s="63"/>
      <c r="F465" s="104"/>
      <c r="G465" s="63"/>
      <c r="H465" s="1" t="s">
        <v>490</v>
      </c>
      <c r="I465" s="30"/>
      <c r="J465" s="41" t="s">
        <v>491</v>
      </c>
      <c r="K465" s="60"/>
      <c r="L465" s="69" t="s">
        <v>492</v>
      </c>
      <c r="M465" s="60"/>
      <c r="N465" s="69" t="s">
        <v>493</v>
      </c>
      <c r="O465" s="60"/>
    </row>
    <row r="466" ht="14.25" customHeight="1">
      <c r="A466" s="37"/>
      <c r="B466" s="46">
        <v>60.0</v>
      </c>
      <c r="C466" s="1"/>
      <c r="D466" s="28"/>
      <c r="E466" s="30"/>
      <c r="F466" s="28"/>
      <c r="G466" s="60"/>
      <c r="H466" s="1" t="s">
        <v>490</v>
      </c>
      <c r="I466" s="30"/>
      <c r="J466" s="28" t="s">
        <v>494</v>
      </c>
      <c r="K466" s="60"/>
      <c r="L466" s="1" t="s">
        <v>495</v>
      </c>
      <c r="M466" s="60"/>
      <c r="N466" s="1" t="s">
        <v>496</v>
      </c>
      <c r="O466" s="60"/>
    </row>
    <row r="467" ht="14.25" customHeight="1">
      <c r="A467" s="37"/>
      <c r="B467" s="46">
        <v>30.0</v>
      </c>
      <c r="C467" s="1"/>
      <c r="D467" s="28"/>
      <c r="E467" s="1"/>
      <c r="F467" s="28"/>
      <c r="G467" s="60"/>
      <c r="H467" s="30"/>
      <c r="I467" s="30"/>
      <c r="J467" s="37"/>
      <c r="K467" s="60"/>
      <c r="L467" s="1" t="s">
        <v>141</v>
      </c>
      <c r="M467" s="60"/>
      <c r="N467" s="30"/>
      <c r="O467" s="60"/>
    </row>
    <row r="468" ht="14.25" customHeight="1">
      <c r="A468" s="37"/>
      <c r="B468" s="46"/>
      <c r="C468" s="1"/>
      <c r="D468" s="28"/>
      <c r="E468" s="1"/>
      <c r="F468" s="28"/>
      <c r="G468" s="60"/>
      <c r="H468" s="30"/>
      <c r="I468" s="30"/>
      <c r="J468" s="37"/>
      <c r="K468" s="60"/>
      <c r="L468" s="30"/>
      <c r="M468" s="60"/>
      <c r="N468" s="30"/>
      <c r="O468" s="60"/>
    </row>
    <row r="469" ht="14.25" customHeight="1">
      <c r="A469" s="37"/>
      <c r="B469" s="28"/>
      <c r="C469" s="1"/>
      <c r="D469" s="28"/>
      <c r="E469" s="1"/>
      <c r="F469" s="28"/>
      <c r="G469" s="60"/>
      <c r="H469" s="30"/>
      <c r="I469" s="30"/>
      <c r="J469" s="37"/>
      <c r="K469" s="60"/>
      <c r="L469" s="30"/>
      <c r="M469" s="60"/>
      <c r="N469" s="30"/>
      <c r="O469" s="60"/>
    </row>
    <row r="470" ht="14.25" customHeight="1">
      <c r="A470" s="64"/>
      <c r="B470" s="65"/>
      <c r="C470" s="66"/>
      <c r="D470" s="64"/>
      <c r="E470" s="66"/>
      <c r="F470" s="64"/>
      <c r="G470" s="67"/>
      <c r="H470" s="66"/>
      <c r="I470" s="66"/>
      <c r="J470" s="64"/>
      <c r="K470" s="67"/>
      <c r="L470" s="66"/>
      <c r="M470" s="67"/>
      <c r="N470" s="66"/>
      <c r="O470" s="67"/>
    </row>
    <row r="471" ht="14.25" customHeight="1">
      <c r="A471" s="30"/>
      <c r="B471" s="1"/>
      <c r="C471" s="1"/>
      <c r="D471" s="30"/>
      <c r="E471" s="30"/>
      <c r="F471" s="1"/>
      <c r="G471" s="30"/>
      <c r="H471" s="30"/>
      <c r="I471" s="30"/>
      <c r="J471" s="1"/>
      <c r="K471" s="30"/>
      <c r="L471" s="30"/>
      <c r="M471" s="30"/>
    </row>
    <row r="472" ht="14.25" customHeight="1">
      <c r="A472" s="2" t="s">
        <v>2</v>
      </c>
      <c r="B472" s="3" t="s">
        <v>3</v>
      </c>
      <c r="C472" s="4">
        <f>O435+1</f>
        <v>45243</v>
      </c>
      <c r="D472" s="5" t="s">
        <v>4</v>
      </c>
      <c r="E472" s="6">
        <f>C472+1</f>
        <v>45244</v>
      </c>
      <c r="F472" s="3" t="s">
        <v>5</v>
      </c>
      <c r="G472" s="6">
        <f>E472+1</f>
        <v>45245</v>
      </c>
      <c r="H472" s="3" t="s">
        <v>6</v>
      </c>
      <c r="I472" s="6">
        <f>G472+1</f>
        <v>45246</v>
      </c>
      <c r="J472" s="3" t="s">
        <v>7</v>
      </c>
      <c r="K472" s="6">
        <f>I472+1</f>
        <v>45247</v>
      </c>
      <c r="L472" s="7" t="s">
        <v>8</v>
      </c>
      <c r="M472" s="8">
        <f>K472+1</f>
        <v>45248</v>
      </c>
      <c r="N472" s="9" t="s">
        <v>9</v>
      </c>
      <c r="O472" s="8">
        <f>M472+1</f>
        <v>45249</v>
      </c>
    </row>
    <row r="473" ht="14.25" customHeight="1">
      <c r="A473" s="10">
        <f>A436+1</f>
        <v>14</v>
      </c>
      <c r="B473" s="129" t="s">
        <v>421</v>
      </c>
      <c r="C473" s="130" t="s">
        <v>422</v>
      </c>
      <c r="D473" s="131" t="s">
        <v>421</v>
      </c>
      <c r="E473" s="131" t="s">
        <v>422</v>
      </c>
      <c r="F473" s="129" t="s">
        <v>421</v>
      </c>
      <c r="G473" s="131" t="s">
        <v>422</v>
      </c>
      <c r="H473" s="129" t="s">
        <v>421</v>
      </c>
      <c r="I473" s="131" t="s">
        <v>422</v>
      </c>
      <c r="J473" s="129" t="s">
        <v>421</v>
      </c>
      <c r="K473" s="130" t="s">
        <v>422</v>
      </c>
      <c r="L473" s="131" t="s">
        <v>421</v>
      </c>
      <c r="M473" s="130" t="s">
        <v>422</v>
      </c>
      <c r="N473" s="131" t="s">
        <v>421</v>
      </c>
      <c r="O473" s="130" t="s">
        <v>422</v>
      </c>
    </row>
    <row r="474" ht="14.25" customHeight="1">
      <c r="A474" s="153"/>
      <c r="B474" s="154" t="s">
        <v>278</v>
      </c>
      <c r="C474" s="15"/>
      <c r="D474" s="154" t="s">
        <v>306</v>
      </c>
      <c r="E474" s="15"/>
      <c r="F474" s="154" t="s">
        <v>306</v>
      </c>
      <c r="G474" s="15"/>
      <c r="H474" s="154" t="s">
        <v>306</v>
      </c>
      <c r="I474" s="15"/>
      <c r="J474" s="154" t="s">
        <v>306</v>
      </c>
      <c r="K474" s="15"/>
      <c r="L474" s="154" t="s">
        <v>352</v>
      </c>
      <c r="M474" s="15"/>
      <c r="N474" s="154" t="s">
        <v>306</v>
      </c>
      <c r="O474" s="15"/>
    </row>
    <row r="475" ht="14.25" customHeight="1">
      <c r="A475" s="13" t="s">
        <v>12</v>
      </c>
      <c r="B475" s="20"/>
      <c r="C475" s="76"/>
      <c r="D475" s="20" t="s">
        <v>477</v>
      </c>
      <c r="E475" s="76"/>
      <c r="F475" s="20" t="s">
        <v>478</v>
      </c>
      <c r="G475" s="17"/>
      <c r="H475" s="20" t="s">
        <v>482</v>
      </c>
      <c r="I475" s="76"/>
      <c r="J475" s="20" t="s">
        <v>245</v>
      </c>
      <c r="K475" s="17"/>
      <c r="L475" s="132"/>
      <c r="M475" s="17"/>
      <c r="N475" s="20" t="s">
        <v>482</v>
      </c>
      <c r="O475" s="76"/>
    </row>
    <row r="476" ht="14.25" customHeight="1">
      <c r="A476" s="13"/>
      <c r="B476" s="46"/>
      <c r="C476" s="133"/>
      <c r="D476" s="46">
        <v>85.0</v>
      </c>
      <c r="E476" s="133">
        <v>3.0</v>
      </c>
      <c r="F476" s="46">
        <v>125.0</v>
      </c>
      <c r="G476" s="133">
        <v>3.0</v>
      </c>
      <c r="H476" s="46">
        <v>72.5</v>
      </c>
      <c r="I476" s="133">
        <v>3.0</v>
      </c>
      <c r="J476" s="46">
        <v>45.0</v>
      </c>
      <c r="K476" s="133">
        <v>6.0</v>
      </c>
      <c r="L476" s="120"/>
      <c r="M476" s="150"/>
      <c r="N476" s="46">
        <v>70.0</v>
      </c>
      <c r="O476" s="133">
        <v>3.0</v>
      </c>
    </row>
    <row r="477" ht="14.25" customHeight="1">
      <c r="A477" s="13"/>
      <c r="B477" s="46"/>
      <c r="C477" s="48"/>
      <c r="D477" s="46">
        <v>87.5</v>
      </c>
      <c r="E477" s="48">
        <v>3.0</v>
      </c>
      <c r="F477" s="46">
        <v>132.5</v>
      </c>
      <c r="G477" s="48">
        <v>3.0</v>
      </c>
      <c r="H477" s="46">
        <v>77.5</v>
      </c>
      <c r="I477" s="48">
        <v>3.0</v>
      </c>
      <c r="J477" s="46">
        <v>50.0</v>
      </c>
      <c r="K477" s="48">
        <v>6.0</v>
      </c>
      <c r="L477" s="28"/>
      <c r="M477" s="24"/>
      <c r="N477" s="46">
        <v>75.0</v>
      </c>
      <c r="O477" s="48">
        <v>3.0</v>
      </c>
    </row>
    <row r="478" ht="14.25" customHeight="1">
      <c r="A478" s="29" t="s">
        <v>22</v>
      </c>
      <c r="B478" s="46"/>
      <c r="C478" s="48"/>
      <c r="D478" s="46">
        <v>90.0</v>
      </c>
      <c r="E478" s="48">
        <v>2.0</v>
      </c>
      <c r="F478" s="46">
        <v>140.0</v>
      </c>
      <c r="G478" s="48">
        <v>3.0</v>
      </c>
      <c r="H478" s="46">
        <v>80.0</v>
      </c>
      <c r="I478" s="48">
        <v>2.0</v>
      </c>
      <c r="J478" s="46">
        <v>60.0</v>
      </c>
      <c r="K478" s="48">
        <v>6.0</v>
      </c>
      <c r="L478" s="28"/>
      <c r="M478" s="24"/>
      <c r="N478" s="46">
        <v>80.0</v>
      </c>
      <c r="O478" s="48">
        <v>2.0</v>
      </c>
    </row>
    <row r="479" ht="14.25" customHeight="1">
      <c r="A479" s="28" t="s">
        <v>23</v>
      </c>
      <c r="B479" s="46"/>
      <c r="C479" s="48"/>
      <c r="D479" s="33"/>
      <c r="E479" s="48"/>
      <c r="F479" s="46"/>
      <c r="G479" s="48"/>
      <c r="H479" s="46"/>
      <c r="I479" s="48"/>
      <c r="J479" s="46"/>
      <c r="K479" s="48"/>
      <c r="L479" s="28"/>
      <c r="M479" s="54"/>
      <c r="N479" s="28"/>
      <c r="O479" s="54"/>
    </row>
    <row r="480" ht="14.25" customHeight="1">
      <c r="A480" s="13"/>
      <c r="B480" s="13"/>
      <c r="C480" s="24"/>
      <c r="D480" s="33"/>
      <c r="E480" s="24"/>
      <c r="F480" s="13"/>
      <c r="G480" s="34"/>
      <c r="H480" s="13"/>
      <c r="I480" s="24"/>
      <c r="J480" s="13"/>
      <c r="K480" s="24"/>
      <c r="L480" s="28"/>
      <c r="M480" s="24"/>
      <c r="N480" s="28"/>
      <c r="O480" s="24"/>
    </row>
    <row r="481" ht="14.25" customHeight="1">
      <c r="A481" s="28" t="s">
        <v>433</v>
      </c>
      <c r="B481" s="35" t="s">
        <v>25</v>
      </c>
      <c r="C481" s="58">
        <f>C476*B476 + B477*C477 + B478*C478 + B479*C479 + B480*C480</f>
        <v>0</v>
      </c>
      <c r="D481" s="57" t="s">
        <v>25</v>
      </c>
      <c r="E481" s="55" t="str">
        <f>E476*D476 + D477*#REF! + E477*E478 + D479*E479 + D480*E480</f>
        <v>#REF!</v>
      </c>
      <c r="F481" s="35" t="s">
        <v>25</v>
      </c>
      <c r="G481" s="56">
        <f>G476*F476 + F477*G477 + F478*G478 + F479*G479 + F480*G480</f>
        <v>1192.5</v>
      </c>
      <c r="H481" s="35" t="s">
        <v>25</v>
      </c>
      <c r="I481" s="58">
        <f>I476*H476 + H477*I477 + H478*I478 + H479*I479 + H480*I480</f>
        <v>610</v>
      </c>
      <c r="J481" s="35" t="s">
        <v>25</v>
      </c>
      <c r="K481" s="58">
        <f>K476*J476 + J477*K477 + J478*K478 + J479*K479 + J480*K480</f>
        <v>930</v>
      </c>
      <c r="L481" s="35" t="s">
        <v>25</v>
      </c>
      <c r="M481" s="36">
        <f>M476*L476 + L477*M477 + L478*M478 + L479*M479 + L480*M480</f>
        <v>0</v>
      </c>
      <c r="N481" s="35" t="s">
        <v>25</v>
      </c>
      <c r="O481" s="36">
        <f>O476*N476 + N477*O477 + N478*O478 + N479*O479 + N480*O480</f>
        <v>595</v>
      </c>
    </row>
    <row r="482" ht="14.25" customHeight="1">
      <c r="A482" s="37"/>
      <c r="B482" s="39" t="s">
        <v>26</v>
      </c>
      <c r="C482" s="116" t="str">
        <f>(B476*C476 + B477*C477 + B478*C478 + B479*C479 + B480*C480)/SUM(C476:C480)</f>
        <v>#DIV/0!</v>
      </c>
      <c r="D482" s="31" t="s">
        <v>26</v>
      </c>
      <c r="E482" s="74" t="str">
        <f>(D476*E476 + D477*#REF! + E477*E478 + D479*E479 + D480*E480)/SUM(E476:E480)</f>
        <v>#REF!</v>
      </c>
      <c r="F482" s="13" t="s">
        <v>26</v>
      </c>
      <c r="G482" s="117">
        <f>(F476*G476 + F477*G477 + F478*G478 + F479*G479 + F480*G480)/SUM(G476:G480)</f>
        <v>132.5</v>
      </c>
      <c r="H482" s="39" t="s">
        <v>26</v>
      </c>
      <c r="I482" s="116">
        <f>(H476*I476 + H477*I477 + H478*I478 + H479*I479 + H480*I480)/SUM(I476:I480)</f>
        <v>76.25</v>
      </c>
      <c r="J482" s="39" t="s">
        <v>26</v>
      </c>
      <c r="K482" s="116">
        <f>(J476*K476 + J477*K477 + J478*K478 + J479*K479 + J480*K480)/SUM(K476:K480)</f>
        <v>51.66666667</v>
      </c>
      <c r="L482" s="13" t="s">
        <v>26</v>
      </c>
      <c r="M482" s="75" t="str">
        <f>(L476*M476 + L477*M477 + L478*M478 + L479*M479 + L480*M480)/SUM(M476:M480)</f>
        <v>#DIV/0!</v>
      </c>
      <c r="N482" s="13" t="s">
        <v>26</v>
      </c>
      <c r="O482" s="75">
        <f>(N476*O476 + N477*O477 + N478*O478 + N479*O479 + N480*O480)/SUM(O476:O480)</f>
        <v>74.375</v>
      </c>
    </row>
    <row r="483" ht="14.25" customHeight="1">
      <c r="A483" s="28" t="s">
        <v>472</v>
      </c>
      <c r="B483" s="140" t="s">
        <v>421</v>
      </c>
      <c r="C483" s="141" t="s">
        <v>422</v>
      </c>
      <c r="D483" s="142" t="s">
        <v>421</v>
      </c>
      <c r="E483" s="143" t="s">
        <v>422</v>
      </c>
      <c r="F483" s="142" t="s">
        <v>421</v>
      </c>
      <c r="G483" s="143" t="s">
        <v>422</v>
      </c>
      <c r="H483" s="140" t="s">
        <v>421</v>
      </c>
      <c r="I483" s="141" t="s">
        <v>422</v>
      </c>
      <c r="J483" s="140" t="s">
        <v>421</v>
      </c>
      <c r="K483" s="144" t="s">
        <v>422</v>
      </c>
      <c r="L483" s="142" t="s">
        <v>421</v>
      </c>
      <c r="M483" s="145" t="s">
        <v>422</v>
      </c>
      <c r="N483" s="142" t="s">
        <v>421</v>
      </c>
      <c r="O483" s="145" t="s">
        <v>422</v>
      </c>
    </row>
    <row r="484" ht="14.25" customHeight="1">
      <c r="A484" s="41"/>
      <c r="B484" s="49"/>
      <c r="C484" s="146"/>
      <c r="D484" s="70" t="s">
        <v>304</v>
      </c>
      <c r="E484" s="18"/>
      <c r="F484" s="49" t="s">
        <v>91</v>
      </c>
      <c r="G484" s="147" t="s">
        <v>49</v>
      </c>
      <c r="H484" s="49" t="s">
        <v>250</v>
      </c>
      <c r="I484" s="50"/>
      <c r="J484" s="49"/>
      <c r="K484" s="146"/>
      <c r="L484" s="49" t="s">
        <v>91</v>
      </c>
      <c r="M484" s="118" t="s">
        <v>90</v>
      </c>
      <c r="N484" s="49" t="s">
        <v>91</v>
      </c>
      <c r="O484" s="118" t="s">
        <v>90</v>
      </c>
    </row>
    <row r="485" ht="14.25" customHeight="1">
      <c r="A485" s="41" t="s">
        <v>474</v>
      </c>
      <c r="B485" s="27"/>
      <c r="C485" s="79"/>
      <c r="D485" s="27" t="s">
        <v>235</v>
      </c>
      <c r="E485" s="79">
        <v>3.0</v>
      </c>
      <c r="F485" s="46">
        <v>30.0</v>
      </c>
      <c r="G485" s="34"/>
      <c r="H485" s="157">
        <v>6.0</v>
      </c>
      <c r="I485" s="54" t="s">
        <v>486</v>
      </c>
      <c r="J485" s="27"/>
      <c r="K485" s="79"/>
      <c r="L485" s="46"/>
      <c r="M485" s="54"/>
      <c r="N485" s="46">
        <v>30.0</v>
      </c>
      <c r="O485" s="54"/>
    </row>
    <row r="486" ht="14.25" customHeight="1">
      <c r="A486" s="28" t="s">
        <v>475</v>
      </c>
      <c r="B486" s="28"/>
      <c r="C486" s="79"/>
      <c r="D486" s="28" t="s">
        <v>235</v>
      </c>
      <c r="E486" s="79">
        <v>3.0</v>
      </c>
      <c r="F486" s="46">
        <v>60.0</v>
      </c>
      <c r="G486" s="79"/>
      <c r="H486" s="28">
        <v>6.0</v>
      </c>
      <c r="I486" s="54" t="s">
        <v>486</v>
      </c>
      <c r="J486" s="28"/>
      <c r="K486" s="79"/>
      <c r="L486" s="46"/>
      <c r="M486" s="24"/>
      <c r="N486" s="46">
        <v>40.0</v>
      </c>
      <c r="O486" s="24"/>
    </row>
    <row r="487" ht="14.25" customHeight="1">
      <c r="A487" s="28"/>
      <c r="B487" s="27"/>
      <c r="C487" s="79"/>
      <c r="D487" s="27" t="s">
        <v>235</v>
      </c>
      <c r="E487" s="79">
        <v>3.0</v>
      </c>
      <c r="F487" s="46">
        <v>30.0</v>
      </c>
      <c r="G487" s="34"/>
      <c r="H487" s="157">
        <v>6.0</v>
      </c>
      <c r="I487" s="54" t="s">
        <v>486</v>
      </c>
      <c r="J487" s="27"/>
      <c r="K487" s="79"/>
      <c r="L487" s="46"/>
      <c r="M487" s="24"/>
      <c r="N487" s="46">
        <v>30.0</v>
      </c>
      <c r="O487" s="24"/>
    </row>
    <row r="488" ht="14.25" customHeight="1">
      <c r="A488" s="28"/>
      <c r="B488" s="28"/>
      <c r="C488" s="79"/>
      <c r="D488" s="46"/>
      <c r="E488" s="79"/>
      <c r="F488" s="46">
        <v>20.0</v>
      </c>
      <c r="G488" s="79"/>
      <c r="H488" s="28"/>
      <c r="I488" s="34"/>
      <c r="J488" s="28"/>
      <c r="K488" s="54"/>
      <c r="L488" s="46"/>
      <c r="M488" s="54"/>
      <c r="N488" s="46"/>
      <c r="O488" s="54"/>
    </row>
    <row r="489" ht="14.25" customHeight="1">
      <c r="A489" s="28" t="s">
        <v>497</v>
      </c>
      <c r="B489" s="13"/>
      <c r="C489" s="34"/>
      <c r="D489" s="46"/>
      <c r="E489" s="34"/>
      <c r="F489" s="13"/>
      <c r="G489" s="34"/>
      <c r="H489" s="28"/>
      <c r="I489" s="34"/>
      <c r="J489" s="13"/>
      <c r="K489" s="24"/>
      <c r="L489" s="46"/>
      <c r="M489" s="24"/>
      <c r="N489" s="46"/>
      <c r="O489" s="24"/>
    </row>
    <row r="490" ht="14.25" customHeight="1">
      <c r="A490" s="28" t="s">
        <v>498</v>
      </c>
      <c r="B490" s="13"/>
      <c r="C490" s="34"/>
      <c r="D490" s="28"/>
      <c r="E490" s="34"/>
      <c r="F490" s="13"/>
      <c r="G490" s="34"/>
      <c r="H490" s="28"/>
      <c r="I490" s="34"/>
      <c r="J490" s="13"/>
      <c r="K490" s="24"/>
      <c r="L490" s="28"/>
      <c r="M490" s="24"/>
      <c r="N490" s="28"/>
      <c r="O490" s="24"/>
    </row>
    <row r="491" ht="14.25" customHeight="1">
      <c r="A491" s="28" t="s">
        <v>499</v>
      </c>
      <c r="B491" s="35" t="s">
        <v>25</v>
      </c>
      <c r="C491" s="55">
        <f>C485*B485 + B486*C486 + B487*C487 + B488*C488 + B490*C490</f>
        <v>0</v>
      </c>
      <c r="D491" s="35" t="s">
        <v>25</v>
      </c>
      <c r="E491" s="55" t="str">
        <f>E485*D485 + D486*E486 + D487*E487 + D488*E488 + D490*E490</f>
        <v>#VALUE!</v>
      </c>
      <c r="F491" s="35" t="s">
        <v>25</v>
      </c>
      <c r="G491" s="55">
        <f>G485*F485 + F486*G486 + F487*G487 + F488*G488 + F490*G490</f>
        <v>0</v>
      </c>
      <c r="H491" s="35" t="s">
        <v>25</v>
      </c>
      <c r="I491" s="56" t="str">
        <f>I485*H485 + H486*I486 + H487*I487 + H488*I488 + H490*I490</f>
        <v>#VALUE!</v>
      </c>
      <c r="J491" s="35" t="s">
        <v>25</v>
      </c>
      <c r="K491" s="36">
        <f>K485*J485 + J486*K486 + J487*K487 + J488*K488 + J490*K490</f>
        <v>0</v>
      </c>
      <c r="L491" s="35" t="s">
        <v>25</v>
      </c>
      <c r="M491" s="36">
        <f>M485*L485 + L486*M486 + L487*M487 + L488*M488 + L490*M490</f>
        <v>0</v>
      </c>
      <c r="N491" s="35" t="s">
        <v>25</v>
      </c>
      <c r="O491" s="36">
        <f>O485*N485 + N486*O486 + N487*O487 + N488*O488 + N490*O490</f>
        <v>0</v>
      </c>
    </row>
    <row r="492" ht="14.25" customHeight="1">
      <c r="A492" s="28"/>
      <c r="B492" s="39" t="s">
        <v>26</v>
      </c>
      <c r="C492" s="77" t="str">
        <f>(B485*C485 + B486*C486 + B487*C487 + B488*C488 + B490*C490)/SUM(C485:C490)</f>
        <v>#DIV/0!</v>
      </c>
      <c r="D492" s="39" t="s">
        <v>26</v>
      </c>
      <c r="E492" s="77" t="str">
        <f>(D485*E485 + D486*E486 + D487*E487 + D488*E488 + D490*E490)/SUM(E485:E490)</f>
        <v>#VALUE!</v>
      </c>
      <c r="F492" s="39" t="s">
        <v>26</v>
      </c>
      <c r="G492" s="77" t="str">
        <f>(F485*G485 + F486*G486 + F487*G487 + F488*G488 + F490*G490)/SUM(G485:G490)</f>
        <v>#DIV/0!</v>
      </c>
      <c r="H492" s="39" t="s">
        <v>26</v>
      </c>
      <c r="I492" s="77" t="str">
        <f>(H485*I485 + H486*I486 + H487*I487 + H488*I488 + H490*I490)/SUM(I485:I490)</f>
        <v>#VALUE!</v>
      </c>
      <c r="J492" s="39" t="s">
        <v>26</v>
      </c>
      <c r="K492" s="40" t="str">
        <f>(J485*K485 + J486*K486 + J487*K487 + J488*K488 + J490*K490)/SUM(K485:K490)</f>
        <v>#DIV/0!</v>
      </c>
      <c r="L492" s="39" t="s">
        <v>26</v>
      </c>
      <c r="M492" s="40" t="str">
        <f>(L485*M485 + L486*M486 + L487*M487 + L488*M488 + L490*M490)/SUM(M485:M490)</f>
        <v>#DIV/0!</v>
      </c>
      <c r="N492" s="39" t="s">
        <v>26</v>
      </c>
      <c r="O492" s="40" t="str">
        <f>(N485*O485 + N486*O486 + N487*O487 + N488*O488 + N490*O490)/SUM(O485:O490)</f>
        <v>#DIV/0!</v>
      </c>
    </row>
    <row r="493" ht="14.25" customHeight="1">
      <c r="A493" s="13"/>
      <c r="B493" s="49"/>
      <c r="C493" s="146"/>
      <c r="D493" s="49" t="s">
        <v>292</v>
      </c>
      <c r="E493" s="146"/>
      <c r="F493" s="49" t="s">
        <v>306</v>
      </c>
      <c r="G493" s="146"/>
      <c r="H493" s="49"/>
      <c r="I493" s="146"/>
      <c r="J493" s="49"/>
      <c r="K493" s="146"/>
      <c r="L493" s="49"/>
      <c r="M493" s="50"/>
      <c r="N493" s="49" t="s">
        <v>249</v>
      </c>
      <c r="O493" s="146"/>
    </row>
    <row r="494" ht="14.25" customHeight="1">
      <c r="A494" s="13"/>
      <c r="B494" s="27"/>
      <c r="C494" s="79"/>
      <c r="D494" s="27" t="s">
        <v>210</v>
      </c>
      <c r="E494" s="79"/>
      <c r="F494" s="27"/>
      <c r="G494" s="79"/>
      <c r="H494" s="28"/>
      <c r="I494" s="34"/>
      <c r="J494" s="27"/>
      <c r="K494" s="79"/>
      <c r="L494" s="157"/>
      <c r="M494" s="54"/>
      <c r="N494" s="27"/>
      <c r="O494" s="54">
        <v>6.0</v>
      </c>
    </row>
    <row r="495" ht="14.25" customHeight="1">
      <c r="A495" s="28"/>
      <c r="B495" s="28"/>
      <c r="C495" s="79"/>
      <c r="D495" s="28" t="s">
        <v>299</v>
      </c>
      <c r="E495" s="79"/>
      <c r="F495" s="28"/>
      <c r="G495" s="79"/>
      <c r="H495" s="28"/>
      <c r="I495" s="34"/>
      <c r="J495" s="28"/>
      <c r="K495" s="79"/>
      <c r="L495" s="28"/>
      <c r="M495" s="54"/>
      <c r="N495" s="28"/>
      <c r="O495" s="54">
        <v>6.0</v>
      </c>
    </row>
    <row r="496" ht="14.25" customHeight="1">
      <c r="A496" s="28"/>
      <c r="B496" s="27"/>
      <c r="C496" s="79"/>
      <c r="D496" s="28" t="s">
        <v>295</v>
      </c>
      <c r="E496" s="79"/>
      <c r="F496" s="27"/>
      <c r="G496" s="79"/>
      <c r="H496" s="28"/>
      <c r="I496" s="34"/>
      <c r="J496" s="27"/>
      <c r="K496" s="79"/>
      <c r="L496" s="157"/>
      <c r="M496" s="54"/>
      <c r="N496" s="28"/>
      <c r="O496" s="54">
        <v>6.0</v>
      </c>
    </row>
    <row r="497" ht="14.25" customHeight="1">
      <c r="A497" s="37"/>
      <c r="B497" s="28"/>
      <c r="C497" s="79"/>
      <c r="D497" s="28"/>
      <c r="E497" s="79"/>
      <c r="F497" s="28"/>
      <c r="G497" s="34"/>
      <c r="H497" s="28"/>
      <c r="I497" s="34"/>
      <c r="J497" s="28"/>
      <c r="K497" s="54"/>
      <c r="L497" s="28"/>
      <c r="M497" s="24"/>
      <c r="N497" s="1"/>
      <c r="O497" s="24"/>
    </row>
    <row r="498" ht="14.25" customHeight="1">
      <c r="A498" s="13"/>
      <c r="B498" s="13"/>
      <c r="C498" s="34"/>
      <c r="D498" s="28"/>
      <c r="E498" s="34"/>
      <c r="F498" s="13"/>
      <c r="G498" s="34"/>
      <c r="H498" s="28"/>
      <c r="I498" s="34"/>
      <c r="J498" s="13"/>
      <c r="K498" s="24"/>
      <c r="L498" s="31"/>
      <c r="M498" s="24"/>
      <c r="N498" s="31"/>
      <c r="O498" s="24"/>
    </row>
    <row r="499" ht="14.25" customHeight="1">
      <c r="A499" s="13"/>
      <c r="B499" s="35" t="s">
        <v>25</v>
      </c>
      <c r="C499" s="55">
        <f>C494*B494 + B495*C495 + B496*C496 + B497*C497 + B498*C498</f>
        <v>0</v>
      </c>
      <c r="D499" s="35" t="s">
        <v>25</v>
      </c>
      <c r="E499" s="55" t="str">
        <f>E494*D494 + D495*E495 + D496*E496 + D497*E497 + D498*E498</f>
        <v>#VALUE!</v>
      </c>
      <c r="F499" s="35" t="s">
        <v>25</v>
      </c>
      <c r="G499" s="55">
        <f>G494*F494 + F495*G495 + F496*G496 + F497*G497 + F498*G498</f>
        <v>0</v>
      </c>
      <c r="H499" s="35" t="s">
        <v>25</v>
      </c>
      <c r="I499" s="56">
        <f>I494*H494 + H495*I495 + H496*I496 + H497*I497 + H498*I498</f>
        <v>0</v>
      </c>
      <c r="J499" s="35" t="s">
        <v>25</v>
      </c>
      <c r="K499" s="36" t="str">
        <f>K494*J494 + J495*K495 + #REF!*K496 + J496*K497 + J498*K498</f>
        <v>#REF!</v>
      </c>
      <c r="L499" s="57" t="s">
        <v>25</v>
      </c>
      <c r="M499" s="58">
        <f>M494*L494 + L495*M495 + L496*M496 + L497*M497 + L498*M498</f>
        <v>0</v>
      </c>
      <c r="N499" s="57" t="s">
        <v>25</v>
      </c>
      <c r="O499" s="58">
        <f>O494*N494 + N495*O495 + N496*O496 + N497*O497 + N498*O498</f>
        <v>0</v>
      </c>
    </row>
    <row r="500" ht="14.25" customHeight="1">
      <c r="A500" s="13"/>
      <c r="B500" s="39" t="s">
        <v>26</v>
      </c>
      <c r="C500" s="40" t="str">
        <f>(B494*C494 + B495*C495 + B496*C496 + B497*C497 + B498*C498)/SUM(C494:C498)</f>
        <v>#DIV/0!</v>
      </c>
      <c r="D500" s="59" t="s">
        <v>26</v>
      </c>
      <c r="E500" s="40" t="str">
        <f>(D494*E494 + D495*E495 + D496*E496 + D497*E497 + D498*E498)/SUM(E494:E498)</f>
        <v>#VALUE!</v>
      </c>
      <c r="F500" s="31" t="s">
        <v>26</v>
      </c>
      <c r="G500" s="75" t="str">
        <f>(F494*G494 + F495*G495 + F496*G496 + F497*G497 + F498*G498)/SUM(G494:G498)</f>
        <v>#DIV/0!</v>
      </c>
      <c r="H500" s="59" t="s">
        <v>26</v>
      </c>
      <c r="I500" s="40" t="str">
        <f>(H494*I494 + H495*I495 + H496*I496 + H497*I497 + H498*I498)/SUM(I494:I498)</f>
        <v>#DIV/0!</v>
      </c>
      <c r="J500" s="39" t="s">
        <v>26</v>
      </c>
      <c r="K500" s="40" t="str">
        <f>(J494*K494 + J495*K495 + #REF!*K496 + J496*K497 + J498*K498)/SUM(K494:K498)</f>
        <v>#REF!</v>
      </c>
      <c r="L500" s="59" t="s">
        <v>26</v>
      </c>
      <c r="M500" s="40" t="str">
        <f>(L494*M494 + L495*M495 + L496*M496 + L497*M497 + L498*M498)/SUM(M494:M498)</f>
        <v>#DIV/0!</v>
      </c>
      <c r="N500" s="59" t="s">
        <v>26</v>
      </c>
      <c r="O500" s="40">
        <f>(N494*O494 + N495*O495 + N496*O496 + N497*O497 + N498*O498)/SUM(O494:O498)</f>
        <v>0</v>
      </c>
    </row>
    <row r="501" ht="14.25" customHeight="1">
      <c r="A501" s="28"/>
      <c r="B501" s="28" t="s">
        <v>91</v>
      </c>
      <c r="C501" s="30" t="s">
        <v>49</v>
      </c>
      <c r="D501" s="28" t="s">
        <v>489</v>
      </c>
      <c r="E501" s="30"/>
      <c r="F501" s="120" t="s">
        <v>489</v>
      </c>
      <c r="G501" s="121"/>
      <c r="H501" s="1" t="s">
        <v>489</v>
      </c>
      <c r="I501" s="30"/>
      <c r="J501" s="28" t="s">
        <v>489</v>
      </c>
      <c r="K501" s="60"/>
      <c r="L501" s="1"/>
      <c r="M501" s="60"/>
      <c r="N501" s="1" t="s">
        <v>489</v>
      </c>
      <c r="O501" s="60"/>
    </row>
    <row r="502" ht="14.25" customHeight="1">
      <c r="A502" s="37"/>
      <c r="B502" s="46"/>
      <c r="C502" s="30"/>
      <c r="D502" s="28" t="s">
        <v>490</v>
      </c>
      <c r="E502" s="63"/>
      <c r="F502" s="41" t="s">
        <v>491</v>
      </c>
      <c r="G502" s="63"/>
      <c r="H502" s="1" t="s">
        <v>496</v>
      </c>
      <c r="I502" s="30"/>
      <c r="J502" s="41" t="s">
        <v>500</v>
      </c>
      <c r="K502" s="60"/>
      <c r="L502" s="69"/>
      <c r="M502" s="60"/>
      <c r="N502" s="69" t="s">
        <v>493</v>
      </c>
      <c r="O502" s="60"/>
    </row>
    <row r="503" ht="14.25" customHeight="1">
      <c r="A503" s="37"/>
      <c r="B503" s="46"/>
      <c r="C503" s="1"/>
      <c r="D503" s="28" t="s">
        <v>490</v>
      </c>
      <c r="E503" s="30"/>
      <c r="F503" s="28" t="s">
        <v>494</v>
      </c>
      <c r="G503" s="60"/>
      <c r="H503" s="1" t="s">
        <v>490</v>
      </c>
      <c r="I503" s="30"/>
      <c r="J503" s="28" t="s">
        <v>500</v>
      </c>
      <c r="K503" s="60"/>
      <c r="L503" s="1"/>
      <c r="M503" s="60"/>
      <c r="N503" s="1" t="s">
        <v>496</v>
      </c>
      <c r="O503" s="60"/>
    </row>
    <row r="504" ht="14.25" customHeight="1">
      <c r="A504" s="37"/>
      <c r="B504" s="46"/>
      <c r="C504" s="1"/>
      <c r="D504" s="28"/>
      <c r="E504" s="1"/>
      <c r="F504" s="28"/>
      <c r="G504" s="60"/>
      <c r="H504" s="30"/>
      <c r="I504" s="30"/>
      <c r="J504" s="37"/>
      <c r="K504" s="60"/>
      <c r="L504" s="30"/>
      <c r="M504" s="60"/>
      <c r="N504" s="30"/>
      <c r="O504" s="60"/>
    </row>
    <row r="505" ht="14.25" customHeight="1">
      <c r="A505" s="37"/>
      <c r="B505" s="46"/>
      <c r="C505" s="1"/>
      <c r="D505" s="28"/>
      <c r="E505" s="1"/>
      <c r="F505" s="28"/>
      <c r="G505" s="60"/>
      <c r="H505" s="30"/>
      <c r="I505" s="30"/>
      <c r="J505" s="37"/>
      <c r="K505" s="60"/>
      <c r="L505" s="30"/>
      <c r="M505" s="60"/>
      <c r="N505" s="30"/>
      <c r="O505" s="60"/>
    </row>
    <row r="506" ht="14.25" customHeight="1">
      <c r="A506" s="37"/>
      <c r="B506" s="28"/>
      <c r="C506" s="1"/>
      <c r="D506" s="28"/>
      <c r="E506" s="1"/>
      <c r="F506" s="28"/>
      <c r="G506" s="60"/>
      <c r="H506" s="30"/>
      <c r="I506" s="30"/>
      <c r="J506" s="37"/>
      <c r="K506" s="60"/>
      <c r="L506" s="30"/>
      <c r="M506" s="60"/>
      <c r="N506" s="30"/>
      <c r="O506" s="60"/>
    </row>
    <row r="507" ht="14.25" customHeight="1">
      <c r="A507" s="64"/>
      <c r="B507" s="65"/>
      <c r="C507" s="66"/>
      <c r="D507" s="64"/>
      <c r="E507" s="66"/>
      <c r="F507" s="64"/>
      <c r="G507" s="67"/>
      <c r="H507" s="66"/>
      <c r="I507" s="66"/>
      <c r="J507" s="64"/>
      <c r="K507" s="67"/>
      <c r="L507" s="66"/>
      <c r="M507" s="67"/>
      <c r="N507" s="66"/>
      <c r="O507" s="67"/>
    </row>
    <row r="508" ht="14.25" customHeight="1">
      <c r="A508" s="158"/>
      <c r="B508" s="159"/>
      <c r="C508" s="159"/>
      <c r="D508" s="158"/>
      <c r="E508" s="158"/>
      <c r="F508" s="159"/>
      <c r="G508" s="158"/>
      <c r="H508" s="158"/>
      <c r="I508" s="158"/>
      <c r="J508" s="159"/>
      <c r="K508" s="158"/>
      <c r="L508" s="158"/>
      <c r="M508" s="158"/>
      <c r="N508" s="158"/>
      <c r="O508" s="158"/>
    </row>
    <row r="509" ht="14.25" customHeight="1">
      <c r="A509" s="160" t="s">
        <v>2</v>
      </c>
      <c r="B509" s="161" t="s">
        <v>3</v>
      </c>
      <c r="C509" s="162">
        <f>O472+2</f>
        <v>45251</v>
      </c>
      <c r="D509" s="66" t="s">
        <v>4</v>
      </c>
      <c r="E509" s="162">
        <f>C509+1</f>
        <v>45252</v>
      </c>
      <c r="F509" s="161" t="s">
        <v>5</v>
      </c>
      <c r="G509" s="162">
        <f>E509+1</f>
        <v>45253</v>
      </c>
      <c r="H509" s="66" t="s">
        <v>6</v>
      </c>
      <c r="I509" s="162">
        <f>G509+1</f>
        <v>45254</v>
      </c>
      <c r="J509" s="161" t="s">
        <v>7</v>
      </c>
      <c r="K509" s="162">
        <f>I509+1</f>
        <v>45255</v>
      </c>
      <c r="L509" s="66" t="s">
        <v>8</v>
      </c>
      <c r="M509" s="162">
        <f>K509+1</f>
        <v>45256</v>
      </c>
      <c r="N509" s="66" t="s">
        <v>9</v>
      </c>
      <c r="O509" s="162">
        <f>M509+1</f>
        <v>45257</v>
      </c>
    </row>
    <row r="510" ht="14.25" customHeight="1">
      <c r="A510" s="163">
        <f>A473+1</f>
        <v>15</v>
      </c>
      <c r="B510" s="164" t="s">
        <v>421</v>
      </c>
      <c r="C510" s="165" t="s">
        <v>422</v>
      </c>
      <c r="D510" s="166" t="s">
        <v>421</v>
      </c>
      <c r="E510" s="165" t="s">
        <v>422</v>
      </c>
      <c r="F510" s="164" t="s">
        <v>421</v>
      </c>
      <c r="G510" s="165" t="s">
        <v>422</v>
      </c>
      <c r="H510" s="166" t="s">
        <v>421</v>
      </c>
      <c r="I510" s="165" t="s">
        <v>422</v>
      </c>
      <c r="J510" s="164" t="s">
        <v>421</v>
      </c>
      <c r="K510" s="165" t="s">
        <v>422</v>
      </c>
      <c r="L510" s="166" t="s">
        <v>421</v>
      </c>
      <c r="M510" s="165" t="s">
        <v>422</v>
      </c>
      <c r="N510" s="166" t="s">
        <v>421</v>
      </c>
      <c r="O510" s="167" t="s">
        <v>422</v>
      </c>
    </row>
    <row r="511" ht="14.25" customHeight="1">
      <c r="A511" s="168"/>
      <c r="B511" s="169" t="s">
        <v>306</v>
      </c>
      <c r="C511" s="170"/>
      <c r="D511" s="169" t="s">
        <v>306</v>
      </c>
      <c r="E511" s="170"/>
      <c r="F511" s="169" t="s">
        <v>306</v>
      </c>
      <c r="G511" s="170"/>
      <c r="H511" s="169" t="s">
        <v>306</v>
      </c>
      <c r="I511" s="170"/>
      <c r="J511" s="169" t="s">
        <v>306</v>
      </c>
      <c r="K511" s="170"/>
      <c r="L511" s="169" t="s">
        <v>352</v>
      </c>
      <c r="M511" s="170"/>
      <c r="N511" s="169" t="s">
        <v>306</v>
      </c>
      <c r="O511" s="170"/>
    </row>
    <row r="512" ht="14.25" customHeight="1">
      <c r="A512" s="168" t="s">
        <v>12</v>
      </c>
      <c r="B512" s="171"/>
      <c r="C512" s="107"/>
      <c r="D512" s="171"/>
      <c r="E512" s="107"/>
      <c r="F512" s="171"/>
      <c r="G512" s="107"/>
      <c r="H512" s="171"/>
      <c r="I512" s="107"/>
      <c r="J512" s="171"/>
      <c r="K512" s="107"/>
      <c r="L512" s="171"/>
      <c r="M512" s="107"/>
      <c r="N512" s="172"/>
      <c r="O512" s="107"/>
    </row>
    <row r="513" ht="14.25" customHeight="1">
      <c r="A513" s="168"/>
      <c r="B513" s="23"/>
      <c r="C513" s="93"/>
      <c r="D513" s="25"/>
      <c r="E513" s="22"/>
      <c r="F513" s="25"/>
      <c r="G513" s="22"/>
      <c r="H513" s="25"/>
      <c r="I513" s="22"/>
      <c r="J513" s="25"/>
      <c r="K513" s="22"/>
      <c r="L513" s="23"/>
      <c r="M513" s="26"/>
      <c r="N513" s="173"/>
      <c r="O513" s="109"/>
    </row>
    <row r="514" ht="14.25" customHeight="1">
      <c r="A514" s="174" t="s">
        <v>501</v>
      </c>
      <c r="B514" s="23"/>
      <c r="C514" s="93"/>
      <c r="D514" s="25"/>
      <c r="E514" s="22"/>
      <c r="F514" s="25"/>
      <c r="G514" s="22"/>
      <c r="H514" s="25"/>
      <c r="I514" s="22"/>
      <c r="J514" s="25"/>
      <c r="K514" s="22"/>
      <c r="L514" s="23"/>
      <c r="M514" s="26"/>
      <c r="N514" s="173"/>
      <c r="O514" s="109"/>
    </row>
    <row r="515" ht="14.25" customHeight="1">
      <c r="A515" s="175"/>
      <c r="B515" s="23"/>
      <c r="C515" s="93"/>
      <c r="D515" s="25"/>
      <c r="E515" s="22"/>
      <c r="F515" s="25"/>
      <c r="G515" s="22"/>
      <c r="H515" s="25"/>
      <c r="I515" s="22"/>
      <c r="J515" s="25"/>
      <c r="K515" s="22"/>
      <c r="L515" s="23"/>
      <c r="M515" s="26"/>
      <c r="N515" s="173"/>
      <c r="O515" s="109"/>
    </row>
    <row r="516" ht="14.25" customHeight="1">
      <c r="A516" s="174" t="s">
        <v>502</v>
      </c>
      <c r="B516" s="23"/>
      <c r="C516" s="93"/>
      <c r="D516" s="23"/>
      <c r="E516" s="26"/>
      <c r="F516" s="23"/>
      <c r="G516" s="26"/>
      <c r="H516" s="23"/>
      <c r="I516" s="26"/>
      <c r="J516" s="23"/>
      <c r="K516" s="26"/>
      <c r="L516" s="23"/>
      <c r="M516" s="26"/>
      <c r="N516" s="30"/>
      <c r="O516" s="93"/>
    </row>
    <row r="517" ht="14.25" customHeight="1">
      <c r="A517" s="174" t="s">
        <v>503</v>
      </c>
      <c r="B517" s="23"/>
      <c r="C517" s="26"/>
      <c r="D517" s="23"/>
      <c r="E517" s="26"/>
      <c r="F517" s="23"/>
      <c r="G517" s="93"/>
      <c r="H517" s="30"/>
      <c r="I517" s="93"/>
      <c r="J517" s="23"/>
      <c r="K517" s="93"/>
      <c r="L517" s="30"/>
      <c r="M517" s="93"/>
      <c r="N517" s="30"/>
      <c r="O517" s="93"/>
    </row>
    <row r="518" ht="14.25" customHeight="1">
      <c r="A518" s="174" t="s">
        <v>504</v>
      </c>
      <c r="B518" s="176" t="s">
        <v>25</v>
      </c>
      <c r="C518" s="177">
        <f>C513*B513 + B514*C514 + B515*C515 + B516*C516 + B517*C517</f>
        <v>0</v>
      </c>
      <c r="D518" s="98" t="s">
        <v>25</v>
      </c>
      <c r="E518" s="97" t="str">
        <f>E513*D513 + D514*#REF! + E514*E515 + D516*E516 + D517*E517</f>
        <v>#REF!</v>
      </c>
      <c r="F518" s="176" t="s">
        <v>25</v>
      </c>
      <c r="G518" s="111">
        <f>G513*F513 + F514*G514 + F515*G515 + F516*G516 + F517*G517</f>
        <v>0</v>
      </c>
      <c r="H518" s="98" t="s">
        <v>25</v>
      </c>
      <c r="I518" s="111">
        <f>I513*H513 + H514*I514 + H515*I515 + H516*I516 + H517*I517</f>
        <v>0</v>
      </c>
      <c r="J518" s="176" t="s">
        <v>25</v>
      </c>
      <c r="K518" s="111">
        <f>K513*J513 + J514*K514 + J515*K515 + J516*K516 + J517*K517</f>
        <v>0</v>
      </c>
      <c r="L518" s="98" t="s">
        <v>25</v>
      </c>
      <c r="M518" s="97">
        <f>M513*L513 + L514*M514 + L515*M515 + L516*M516 + L517*M517</f>
        <v>0</v>
      </c>
      <c r="N518" s="98" t="s">
        <v>25</v>
      </c>
      <c r="O518" s="97">
        <f>O513*N513 + N514*O514 + N515*O515 + N516*O516 + N517*O517</f>
        <v>0</v>
      </c>
    </row>
    <row r="519" ht="14.25" customHeight="1">
      <c r="A519" s="168"/>
      <c r="B519" s="161" t="s">
        <v>26</v>
      </c>
      <c r="C519" s="178" t="str">
        <f>(B513*C513 + B514*C514 + B515*C515 + B516*C516 + B517*C517)/SUM(C513:C517)</f>
        <v>#DIV/0!</v>
      </c>
      <c r="D519" s="66" t="s">
        <v>26</v>
      </c>
      <c r="E519" s="102" t="str">
        <f>(D513*E513 + D514*#REF! + E514*E515 + D516*E516 + D517*E517)/SUM(E513:E517)</f>
        <v>#REF!</v>
      </c>
      <c r="F519" s="161" t="s">
        <v>26</v>
      </c>
      <c r="G519" s="179" t="str">
        <f>(F513*G513 + F514*G514 + F515*G515 + F516*G516 + F517*G517)/SUM(G513:G517)</f>
        <v>#DIV/0!</v>
      </c>
      <c r="H519" s="66" t="s">
        <v>26</v>
      </c>
      <c r="I519" s="179" t="str">
        <f>(H513*I513 + H514*I514 + H515*I515 + H516*I516 + H517*I517)/SUM(I513:I517)</f>
        <v>#DIV/0!</v>
      </c>
      <c r="J519" s="161" t="s">
        <v>26</v>
      </c>
      <c r="K519" s="179" t="str">
        <f>(J513*K513 + J514*K514 + J515*K515 + J516*K516 + J517*K517)/SUM(K513:K517)</f>
        <v>#DIV/0!</v>
      </c>
      <c r="L519" s="66" t="s">
        <v>26</v>
      </c>
      <c r="M519" s="102" t="str">
        <f>(L513*M513 + L514*M514 + L515*M515 + L516*M516 + L517*M517)/SUM(M513:M517)</f>
        <v>#DIV/0!</v>
      </c>
      <c r="N519" s="66" t="s">
        <v>26</v>
      </c>
      <c r="O519" s="102" t="str">
        <f>(N513*O513 + N514*O514 + N515*O515 + N516*O516 + N517*O517)/SUM(O513:O517)</f>
        <v>#DIV/0!</v>
      </c>
    </row>
    <row r="520" ht="14.25" customHeight="1">
      <c r="A520" s="168"/>
      <c r="B520" s="164" t="s">
        <v>421</v>
      </c>
      <c r="C520" s="180" t="s">
        <v>422</v>
      </c>
      <c r="D520" s="166" t="s">
        <v>421</v>
      </c>
      <c r="E520" s="167" t="s">
        <v>422</v>
      </c>
      <c r="F520" s="164" t="s">
        <v>421</v>
      </c>
      <c r="G520" s="167" t="s">
        <v>422</v>
      </c>
      <c r="H520" s="166" t="s">
        <v>421</v>
      </c>
      <c r="I520" s="167" t="s">
        <v>422</v>
      </c>
      <c r="J520" s="164" t="s">
        <v>421</v>
      </c>
      <c r="K520" s="167" t="s">
        <v>422</v>
      </c>
      <c r="L520" s="166" t="s">
        <v>421</v>
      </c>
      <c r="M520" s="167" t="s">
        <v>422</v>
      </c>
      <c r="N520" s="166" t="s">
        <v>421</v>
      </c>
      <c r="O520" s="167" t="s">
        <v>422</v>
      </c>
    </row>
    <row r="521" ht="14.25" customHeight="1">
      <c r="A521" s="168"/>
      <c r="B521" s="171"/>
      <c r="C521" s="107"/>
      <c r="D521" s="171"/>
      <c r="E521" s="50"/>
      <c r="F521" s="171"/>
      <c r="G521" s="107"/>
      <c r="H521" s="171"/>
      <c r="I521" s="50"/>
      <c r="J521" s="171"/>
      <c r="K521" s="107"/>
      <c r="L521" s="171"/>
      <c r="M521" s="107"/>
      <c r="N521" s="172"/>
      <c r="O521" s="107"/>
    </row>
    <row r="522" ht="14.25" customHeight="1">
      <c r="A522" s="181"/>
      <c r="B522" s="23"/>
      <c r="C522" s="93"/>
      <c r="D522" s="23"/>
      <c r="E522" s="22"/>
      <c r="F522" s="25"/>
      <c r="G522" s="26"/>
      <c r="H522" s="25"/>
      <c r="I522" s="26"/>
      <c r="J522" s="23"/>
      <c r="K522" s="26"/>
      <c r="L522" s="23"/>
      <c r="M522" s="26"/>
      <c r="N522" s="173"/>
      <c r="O522" s="93"/>
    </row>
    <row r="523" ht="14.25" customHeight="1">
      <c r="A523" s="168"/>
      <c r="B523" s="23"/>
      <c r="C523" s="93"/>
      <c r="D523" s="23"/>
      <c r="E523" s="22"/>
      <c r="F523" s="25"/>
      <c r="G523" s="26"/>
      <c r="H523" s="25"/>
      <c r="I523" s="26"/>
      <c r="J523" s="23"/>
      <c r="K523" s="26"/>
      <c r="L523" s="23"/>
      <c r="M523" s="26"/>
      <c r="N523" s="173"/>
      <c r="O523" s="93"/>
    </row>
    <row r="524" ht="14.25" customHeight="1">
      <c r="A524" s="168"/>
      <c r="B524" s="23"/>
      <c r="C524" s="93"/>
      <c r="D524" s="23"/>
      <c r="E524" s="22"/>
      <c r="F524" s="25"/>
      <c r="G524" s="26"/>
      <c r="H524" s="25"/>
      <c r="I524" s="26"/>
      <c r="J524" s="23"/>
      <c r="K524" s="26"/>
      <c r="L524" s="23"/>
      <c r="M524" s="26"/>
      <c r="N524" s="173"/>
      <c r="O524" s="93"/>
    </row>
    <row r="525" ht="14.25" customHeight="1">
      <c r="A525" s="168"/>
      <c r="B525" s="23"/>
      <c r="C525" s="93"/>
      <c r="D525" s="23"/>
      <c r="E525" s="26"/>
      <c r="F525" s="25"/>
      <c r="G525" s="26"/>
      <c r="H525" s="23"/>
      <c r="I525" s="26"/>
      <c r="J525" s="23"/>
      <c r="K525" s="26"/>
      <c r="L525" s="23"/>
      <c r="M525" s="26"/>
      <c r="N525" s="30"/>
      <c r="O525" s="93"/>
    </row>
    <row r="526" ht="14.25" customHeight="1">
      <c r="A526" s="168"/>
      <c r="B526" s="23"/>
      <c r="C526" s="26"/>
      <c r="D526" s="30"/>
      <c r="E526" s="93"/>
      <c r="F526" s="23"/>
      <c r="G526" s="93"/>
      <c r="H526" s="30"/>
      <c r="I526" s="93"/>
      <c r="J526" s="23"/>
      <c r="K526" s="93"/>
      <c r="L526" s="30"/>
      <c r="M526" s="93"/>
      <c r="N526" s="30"/>
      <c r="O526" s="93"/>
    </row>
    <row r="527" ht="14.25" customHeight="1">
      <c r="A527" s="168"/>
      <c r="B527" s="23"/>
      <c r="C527" s="26"/>
      <c r="D527" s="30"/>
      <c r="E527" s="93"/>
      <c r="F527" s="23"/>
      <c r="G527" s="93"/>
      <c r="H527" s="30"/>
      <c r="I527" s="93"/>
      <c r="J527" s="23"/>
      <c r="K527" s="93"/>
      <c r="L527" s="30"/>
      <c r="M527" s="93"/>
      <c r="N527" s="30"/>
      <c r="O527" s="93"/>
    </row>
    <row r="528" ht="14.25" customHeight="1">
      <c r="A528" s="168"/>
      <c r="B528" s="176" t="s">
        <v>25</v>
      </c>
      <c r="C528" s="182">
        <f>C522*B522 + B523*C523 + B524*C524 + B525*C525 + B527*C527</f>
        <v>0</v>
      </c>
      <c r="D528" s="98" t="s">
        <v>25</v>
      </c>
      <c r="E528" s="97">
        <f>E522*D522 + D523*E523 + D524*E524 + D525*E525 + D527*E527</f>
        <v>0</v>
      </c>
      <c r="F528" s="176" t="s">
        <v>25</v>
      </c>
      <c r="G528" s="97">
        <f>G522*F522 + F523*G523 + F524*G524 + F525*G525 + F527*G527</f>
        <v>0</v>
      </c>
      <c r="H528" s="98" t="s">
        <v>25</v>
      </c>
      <c r="I528" s="111">
        <f>I522*H522 + H523*I523 + H524*I524 + H525*I525 + H527*I527</f>
        <v>0</v>
      </c>
      <c r="J528" s="176" t="s">
        <v>25</v>
      </c>
      <c r="K528" s="97">
        <f>K522*J522 + J523*K523 + J524*K524 + J525*K525 + J527*K527</f>
        <v>0</v>
      </c>
      <c r="L528" s="98" t="s">
        <v>25</v>
      </c>
      <c r="M528" s="97">
        <f>M522*L522 + L523*M523 + L524*M524 + L525*M525 + L527*M527</f>
        <v>0</v>
      </c>
      <c r="N528" s="98" t="s">
        <v>25</v>
      </c>
      <c r="O528" s="97">
        <f>O522*N522 + N523*O523 + N524*O524 + N525*O525 + N527*O527</f>
        <v>0</v>
      </c>
    </row>
    <row r="529" ht="14.25" customHeight="1">
      <c r="A529" s="168"/>
      <c r="B529" s="161" t="s">
        <v>26</v>
      </c>
      <c r="C529" s="183" t="str">
        <f>(B522*C522 + B523*C523 + B524*C524 + B525*C525 + B527*C527)/SUM(C522:C527)</f>
        <v>#DIV/0!</v>
      </c>
      <c r="D529" s="66" t="s">
        <v>26</v>
      </c>
      <c r="E529" s="102" t="str">
        <f>(D522*E522 + D523*E523 + D524*E524 + D525*E525 + D527*E527)/SUM(E522:E527)</f>
        <v>#DIV/0!</v>
      </c>
      <c r="F529" s="161" t="s">
        <v>26</v>
      </c>
      <c r="G529" s="102" t="str">
        <f>(F522*G522 + F523*G523 + F524*G524 + F525*G525 + F527*G527)/SUM(G522:G527)</f>
        <v>#DIV/0!</v>
      </c>
      <c r="H529" s="66" t="s">
        <v>26</v>
      </c>
      <c r="I529" s="102" t="str">
        <f>(H522*I522 + H523*I523 + H524*I524 + H525*I525 + H527*I527)/SUM(I522:I527)</f>
        <v>#DIV/0!</v>
      </c>
      <c r="J529" s="161" t="s">
        <v>26</v>
      </c>
      <c r="K529" s="102" t="str">
        <f>(J522*K522 + J523*K523 + J524*K524 + J525*K525 + J527*K527)/SUM(K522:K527)</f>
        <v>#DIV/0!</v>
      </c>
      <c r="L529" s="66" t="s">
        <v>26</v>
      </c>
      <c r="M529" s="102" t="str">
        <f>(L522*M522 + L523*M523 + L524*M524 + L525*M525 + L527*M527)/SUM(M522:M527)</f>
        <v>#DIV/0!</v>
      </c>
      <c r="N529" s="66" t="s">
        <v>26</v>
      </c>
      <c r="O529" s="102" t="str">
        <f>(N522*O522 + N523*O523 + N524*O524 + N525*O525 + N527*O527)/SUM(O522:O527)</f>
        <v>#DIV/0!</v>
      </c>
    </row>
    <row r="530" ht="14.25" customHeight="1">
      <c r="A530" s="168"/>
      <c r="B530" s="171"/>
      <c r="C530" s="50"/>
      <c r="D530" s="171"/>
      <c r="E530" s="50"/>
      <c r="F530" s="171"/>
      <c r="G530" s="107"/>
      <c r="H530" s="172"/>
      <c r="I530" s="107"/>
      <c r="J530" s="171"/>
      <c r="K530" s="107"/>
      <c r="L530" s="171"/>
      <c r="M530" s="50"/>
      <c r="N530" s="172"/>
      <c r="O530" s="172"/>
    </row>
    <row r="531" ht="14.25" customHeight="1">
      <c r="A531" s="168"/>
      <c r="B531" s="23"/>
      <c r="C531" s="26"/>
      <c r="D531" s="23"/>
      <c r="E531" s="93"/>
      <c r="F531" s="23"/>
      <c r="G531" s="26"/>
      <c r="H531" s="30"/>
      <c r="I531" s="93"/>
      <c r="J531" s="23"/>
      <c r="K531" s="26"/>
      <c r="L531" s="23"/>
      <c r="M531" s="26"/>
      <c r="N531" s="30"/>
      <c r="O531" s="109"/>
    </row>
    <row r="532" ht="14.25" customHeight="1">
      <c r="A532" s="168"/>
      <c r="B532" s="23"/>
      <c r="C532" s="26"/>
      <c r="D532" s="23"/>
      <c r="E532" s="93"/>
      <c r="F532" s="23"/>
      <c r="G532" s="26"/>
      <c r="H532" s="30"/>
      <c r="I532" s="93"/>
      <c r="J532" s="23"/>
      <c r="K532" s="26"/>
      <c r="L532" s="23"/>
      <c r="M532" s="93"/>
      <c r="N532" s="30"/>
      <c r="O532" s="109"/>
    </row>
    <row r="533" ht="14.25" customHeight="1">
      <c r="A533" s="168"/>
      <c r="B533" s="23"/>
      <c r="C533" s="26"/>
      <c r="D533" s="30"/>
      <c r="E533" s="93"/>
      <c r="F533" s="23"/>
      <c r="G533" s="26"/>
      <c r="H533" s="30"/>
      <c r="I533" s="93"/>
      <c r="J533" s="23"/>
      <c r="K533" s="26"/>
      <c r="L533" s="23"/>
      <c r="M533" s="93"/>
      <c r="N533" s="30"/>
      <c r="O533" s="109"/>
    </row>
    <row r="534" ht="14.25" customHeight="1">
      <c r="A534" s="168"/>
      <c r="B534" s="23"/>
      <c r="C534" s="26"/>
      <c r="D534" s="30"/>
      <c r="E534" s="93"/>
      <c r="F534" s="23"/>
      <c r="G534" s="93"/>
      <c r="H534" s="30"/>
      <c r="I534" s="93"/>
      <c r="J534" s="23"/>
      <c r="K534" s="93"/>
      <c r="L534" s="23"/>
      <c r="M534" s="93"/>
      <c r="N534" s="30"/>
      <c r="O534" s="93"/>
    </row>
    <row r="535" ht="14.25" customHeight="1">
      <c r="A535" s="168"/>
      <c r="B535" s="23"/>
      <c r="C535" s="26"/>
      <c r="D535" s="30"/>
      <c r="E535" s="93"/>
      <c r="F535" s="23"/>
      <c r="G535" s="93"/>
      <c r="H535" s="30"/>
      <c r="I535" s="93"/>
      <c r="J535" s="23"/>
      <c r="K535" s="93"/>
      <c r="L535" s="23"/>
      <c r="M535" s="93"/>
      <c r="N535" s="30"/>
      <c r="O535" s="93"/>
    </row>
    <row r="536" ht="14.25" customHeight="1">
      <c r="A536" s="168"/>
      <c r="B536" s="176" t="s">
        <v>25</v>
      </c>
      <c r="C536" s="182">
        <f>C531*B531 + B532*C532 + B533*C533 + B534*C534 + B535*C535</f>
        <v>0</v>
      </c>
      <c r="D536" s="98" t="s">
        <v>25</v>
      </c>
      <c r="E536" s="97">
        <f>E531*D531 + D532*E532 + D533*E533 + D534*E534 + D535*E535</f>
        <v>0</v>
      </c>
      <c r="F536" s="176" t="s">
        <v>25</v>
      </c>
      <c r="G536" s="97">
        <f>G531*F531 + F532*G532 + F533*G533 + F534*G534 + F535*G535</f>
        <v>0</v>
      </c>
      <c r="H536" s="98" t="s">
        <v>25</v>
      </c>
      <c r="I536" s="111">
        <f>I531*H531 + H532*I532 + H533*I533 + H534*I534 + H535*I535</f>
        <v>0</v>
      </c>
      <c r="J536" s="176" t="s">
        <v>25</v>
      </c>
      <c r="K536" s="97" t="str">
        <f>K531*J531 + J532*K532 + #REF!*K533 + J533*K534 + J535*K535</f>
        <v>#REF!</v>
      </c>
      <c r="L536" s="98" t="s">
        <v>25</v>
      </c>
      <c r="M536" s="111">
        <f>M531*L531 + L532*M532 + L533*M533 + L534*M534 + L535*M535</f>
        <v>0</v>
      </c>
      <c r="N536" s="98" t="s">
        <v>25</v>
      </c>
      <c r="O536" s="111">
        <f>O531*N531 + N532*O532 + N533*O533 + N534*O534 + N535*O535</f>
        <v>0</v>
      </c>
    </row>
    <row r="537" ht="14.25" customHeight="1">
      <c r="A537" s="168"/>
      <c r="B537" s="161" t="s">
        <v>26</v>
      </c>
      <c r="C537" s="183" t="str">
        <f>(B531*C531 + B532*C532 + B533*C533 + B534*C534 + B535*C535)/SUM(C531:C535)</f>
        <v>#DIV/0!</v>
      </c>
      <c r="D537" s="66" t="s">
        <v>26</v>
      </c>
      <c r="E537" s="102" t="str">
        <f>(D531*E531 + D532*E532 + D533*E533 + D534*E534 + D535*E535)/SUM(E531:E535)</f>
        <v>#DIV/0!</v>
      </c>
      <c r="F537" s="161" t="s">
        <v>26</v>
      </c>
      <c r="G537" s="102" t="str">
        <f>(F531*G531 + F532*G532 + F533*G533 + F534*G534 + F535*G535)/SUM(G531:G535)</f>
        <v>#DIV/0!</v>
      </c>
      <c r="H537" s="66" t="s">
        <v>26</v>
      </c>
      <c r="I537" s="102" t="str">
        <f>(H531*I531 + H532*I532 + H533*I533 + H534*I534 + H535*I535)/SUM(I531:I535)</f>
        <v>#DIV/0!</v>
      </c>
      <c r="J537" s="161" t="s">
        <v>26</v>
      </c>
      <c r="K537" s="102" t="str">
        <f>(J531*K531 + J532*K532 + #REF!*K533 + J533*K534 + J535*K535)/SUM(K531:K535)</f>
        <v>#REF!</v>
      </c>
      <c r="L537" s="66" t="s">
        <v>26</v>
      </c>
      <c r="M537" s="102" t="str">
        <f>(L531*M531 + L532*M532 + L533*M533 + L534*M534 + L535*M535)/SUM(M531:M535)</f>
        <v>#DIV/0!</v>
      </c>
      <c r="N537" s="66" t="s">
        <v>26</v>
      </c>
      <c r="O537" s="102" t="str">
        <f>(N531*O531 + N532*O532 + N533*O533 + N534*O534 + N535*O535)/SUM(O531:O535)</f>
        <v>#DIV/0!</v>
      </c>
    </row>
    <row r="538" ht="14.25" customHeight="1">
      <c r="A538" s="168"/>
      <c r="B538" s="23" t="s">
        <v>91</v>
      </c>
      <c r="C538" s="61" t="s">
        <v>49</v>
      </c>
      <c r="D538" s="30" t="s">
        <v>489</v>
      </c>
      <c r="E538" s="60"/>
      <c r="F538" s="23" t="s">
        <v>489</v>
      </c>
      <c r="G538" s="60"/>
      <c r="H538" s="30" t="s">
        <v>489</v>
      </c>
      <c r="I538" s="60"/>
      <c r="J538" s="23" t="s">
        <v>489</v>
      </c>
      <c r="K538" s="60"/>
      <c r="L538" s="30"/>
      <c r="M538" s="60"/>
      <c r="N538" s="30" t="s">
        <v>489</v>
      </c>
      <c r="O538" s="60"/>
    </row>
    <row r="539" ht="14.25" customHeight="1">
      <c r="A539" s="168"/>
      <c r="B539" s="23"/>
      <c r="C539" s="61"/>
      <c r="D539" s="23"/>
      <c r="E539" s="60"/>
      <c r="F539" s="51"/>
      <c r="G539" s="60"/>
      <c r="H539" s="30"/>
      <c r="I539" s="60"/>
      <c r="J539" s="184"/>
      <c r="K539" s="60"/>
      <c r="L539" s="30"/>
      <c r="M539" s="60"/>
      <c r="N539" s="30"/>
      <c r="O539" s="60"/>
    </row>
    <row r="540" ht="14.25" customHeight="1">
      <c r="A540" s="168"/>
      <c r="B540" s="23"/>
      <c r="C540" s="61"/>
      <c r="D540" s="23"/>
      <c r="E540" s="61"/>
      <c r="F540" s="53"/>
      <c r="G540" s="61"/>
      <c r="H540" s="30"/>
      <c r="I540" s="60"/>
      <c r="J540" s="23"/>
      <c r="K540" s="60"/>
      <c r="L540" s="23"/>
      <c r="M540" s="61"/>
      <c r="N540" s="30"/>
      <c r="O540" s="60"/>
    </row>
    <row r="541" ht="14.25" customHeight="1">
      <c r="A541" s="168"/>
      <c r="B541" s="23"/>
      <c r="C541" s="61"/>
      <c r="D541" s="30"/>
      <c r="E541" s="60"/>
      <c r="F541" s="23"/>
      <c r="G541" s="60"/>
      <c r="H541" s="30"/>
      <c r="I541" s="60"/>
      <c r="J541" s="23"/>
      <c r="K541" s="60"/>
      <c r="L541" s="23"/>
      <c r="M541" s="60"/>
      <c r="N541" s="30"/>
      <c r="O541" s="60"/>
    </row>
    <row r="542" ht="14.25" customHeight="1">
      <c r="A542" s="168"/>
      <c r="B542" s="23"/>
      <c r="C542" s="61"/>
      <c r="D542" s="30"/>
      <c r="E542" s="60"/>
      <c r="F542" s="23"/>
      <c r="G542" s="60"/>
      <c r="H542" s="30"/>
      <c r="I542" s="60"/>
      <c r="J542" s="23"/>
      <c r="K542" s="60"/>
      <c r="L542" s="23"/>
      <c r="M542" s="60"/>
      <c r="N542" s="30"/>
      <c r="O542" s="60"/>
    </row>
    <row r="543" ht="14.25" customHeight="1">
      <c r="A543" s="168"/>
      <c r="B543" s="23"/>
      <c r="C543" s="61"/>
      <c r="D543" s="30"/>
      <c r="E543" s="60"/>
      <c r="F543" s="23"/>
      <c r="G543" s="60"/>
      <c r="H543" s="30"/>
      <c r="I543" s="60"/>
      <c r="J543" s="23"/>
      <c r="K543" s="60"/>
      <c r="L543" s="23"/>
      <c r="M543" s="60"/>
      <c r="N543" s="30"/>
      <c r="O543" s="60"/>
    </row>
    <row r="544" ht="14.25" customHeight="1">
      <c r="A544" s="185"/>
      <c r="B544" s="161"/>
      <c r="C544" s="186"/>
      <c r="D544" s="66"/>
      <c r="E544" s="67"/>
      <c r="F544" s="161"/>
      <c r="G544" s="67"/>
      <c r="H544" s="66"/>
      <c r="I544" s="67"/>
      <c r="J544" s="161"/>
      <c r="K544" s="67"/>
      <c r="L544" s="161"/>
      <c r="M544" s="67"/>
      <c r="N544" s="66"/>
      <c r="O544" s="67"/>
    </row>
    <row r="545" ht="14.25" customHeight="1">
      <c r="A545" s="158"/>
      <c r="B545" s="159"/>
      <c r="C545" s="159"/>
      <c r="D545" s="158"/>
      <c r="E545" s="158"/>
      <c r="F545" s="159"/>
      <c r="G545" s="158"/>
      <c r="H545" s="158"/>
      <c r="I545" s="158"/>
      <c r="J545" s="159"/>
      <c r="K545" s="158"/>
      <c r="L545" s="158"/>
      <c r="M545" s="158"/>
      <c r="N545" s="158"/>
      <c r="O545" s="158"/>
    </row>
    <row r="546" ht="14.25" customHeight="1">
      <c r="A546" s="160" t="s">
        <v>2</v>
      </c>
      <c r="B546" s="161" t="s">
        <v>3</v>
      </c>
      <c r="C546" s="162">
        <f>O509+1</f>
        <v>45258</v>
      </c>
      <c r="D546" s="66" t="s">
        <v>4</v>
      </c>
      <c r="E546" s="162">
        <f>C546+1</f>
        <v>45259</v>
      </c>
      <c r="F546" s="161" t="s">
        <v>5</v>
      </c>
      <c r="G546" s="162">
        <f>E546+1</f>
        <v>45260</v>
      </c>
      <c r="H546" s="66" t="s">
        <v>6</v>
      </c>
      <c r="I546" s="162">
        <f>G546+1</f>
        <v>45261</v>
      </c>
      <c r="J546" s="161" t="s">
        <v>7</v>
      </c>
      <c r="K546" s="162">
        <f>I546+1</f>
        <v>45262</v>
      </c>
      <c r="L546" s="66" t="s">
        <v>8</v>
      </c>
      <c r="M546" s="162">
        <f>K546+1</f>
        <v>45263</v>
      </c>
      <c r="N546" s="66" t="s">
        <v>9</v>
      </c>
      <c r="O546" s="162">
        <f>M546+1</f>
        <v>45264</v>
      </c>
    </row>
    <row r="547" ht="14.25" customHeight="1">
      <c r="A547" s="163">
        <f>A510+1</f>
        <v>16</v>
      </c>
      <c r="B547" s="164" t="s">
        <v>421</v>
      </c>
      <c r="C547" s="165" t="s">
        <v>422</v>
      </c>
      <c r="D547" s="166" t="s">
        <v>421</v>
      </c>
      <c r="E547" s="165" t="s">
        <v>422</v>
      </c>
      <c r="F547" s="164" t="s">
        <v>421</v>
      </c>
      <c r="G547" s="165" t="s">
        <v>422</v>
      </c>
      <c r="H547" s="166" t="s">
        <v>421</v>
      </c>
      <c r="I547" s="165" t="s">
        <v>422</v>
      </c>
      <c r="J547" s="164" t="s">
        <v>421</v>
      </c>
      <c r="K547" s="165" t="s">
        <v>422</v>
      </c>
      <c r="L547" s="166" t="s">
        <v>421</v>
      </c>
      <c r="M547" s="165" t="s">
        <v>422</v>
      </c>
      <c r="N547" s="164" t="s">
        <v>421</v>
      </c>
      <c r="O547" s="165" t="s">
        <v>422</v>
      </c>
    </row>
    <row r="548" ht="14.25" customHeight="1">
      <c r="A548" s="168"/>
      <c r="B548" s="169" t="s">
        <v>306</v>
      </c>
      <c r="C548" s="170"/>
      <c r="D548" s="169" t="s">
        <v>306</v>
      </c>
      <c r="E548" s="170"/>
      <c r="F548" s="187" t="s">
        <v>505</v>
      </c>
      <c r="G548" s="170"/>
      <c r="H548" s="187" t="s">
        <v>315</v>
      </c>
      <c r="I548" s="170"/>
      <c r="J548" s="187" t="s">
        <v>17</v>
      </c>
      <c r="K548" s="170"/>
      <c r="L548" s="187" t="s">
        <v>235</v>
      </c>
      <c r="M548" s="170"/>
      <c r="N548" s="187" t="s">
        <v>235</v>
      </c>
      <c r="O548" s="170"/>
    </row>
    <row r="549" ht="14.25" customHeight="1">
      <c r="A549" s="168" t="s">
        <v>12</v>
      </c>
      <c r="B549" s="147" t="s">
        <v>506</v>
      </c>
      <c r="C549" s="107"/>
      <c r="D549" s="147" t="s">
        <v>507</v>
      </c>
      <c r="E549" s="107"/>
      <c r="F549" s="147" t="s">
        <v>508</v>
      </c>
      <c r="G549" s="107"/>
      <c r="H549" s="147" t="s">
        <v>509</v>
      </c>
      <c r="I549" s="107"/>
      <c r="J549" s="171"/>
      <c r="K549" s="107"/>
      <c r="L549" s="171"/>
      <c r="M549" s="107"/>
      <c r="N549" s="171"/>
      <c r="O549" s="107"/>
    </row>
    <row r="550" ht="14.25" customHeight="1">
      <c r="A550" s="168"/>
      <c r="B550" s="1">
        <v>40.0</v>
      </c>
      <c r="C550" s="54">
        <v>3.0</v>
      </c>
      <c r="D550" s="47">
        <v>80.0</v>
      </c>
      <c r="E550" s="22">
        <v>3.0</v>
      </c>
      <c r="F550" s="47" t="s">
        <v>510</v>
      </c>
      <c r="G550" s="22"/>
      <c r="H550" s="25"/>
      <c r="I550" s="22"/>
      <c r="J550" s="25"/>
      <c r="K550" s="22"/>
      <c r="L550" s="23"/>
      <c r="M550" s="26"/>
      <c r="N550" s="25"/>
      <c r="O550" s="22"/>
    </row>
    <row r="551" ht="14.25" customHeight="1">
      <c r="A551" s="168"/>
      <c r="B551" s="1">
        <v>50.0</v>
      </c>
      <c r="C551" s="54">
        <v>2.0</v>
      </c>
      <c r="D551" s="47">
        <v>90.0</v>
      </c>
      <c r="E551" s="48">
        <v>2.0</v>
      </c>
      <c r="F551" s="47" t="s">
        <v>511</v>
      </c>
      <c r="G551" s="22"/>
      <c r="H551" s="25"/>
      <c r="I551" s="22"/>
      <c r="J551" s="25"/>
      <c r="K551" s="22"/>
      <c r="L551" s="23"/>
      <c r="M551" s="26"/>
      <c r="N551" s="25"/>
      <c r="O551" s="22"/>
    </row>
    <row r="552" ht="14.25" customHeight="1">
      <c r="A552" s="175"/>
      <c r="B552" s="1">
        <v>60.0</v>
      </c>
      <c r="C552" s="54">
        <v>1.0</v>
      </c>
      <c r="D552" s="47">
        <v>100.0</v>
      </c>
      <c r="E552" s="48">
        <v>1.0</v>
      </c>
      <c r="F552" s="47" t="s">
        <v>15</v>
      </c>
      <c r="G552" s="22"/>
      <c r="H552" s="25"/>
      <c r="I552" s="22"/>
      <c r="J552" s="25"/>
      <c r="K552" s="22"/>
      <c r="L552" s="23"/>
      <c r="M552" s="26"/>
      <c r="N552" s="25"/>
      <c r="O552" s="22"/>
    </row>
    <row r="553" ht="14.25" customHeight="1">
      <c r="A553" s="168"/>
      <c r="B553" s="23"/>
      <c r="C553" s="93"/>
      <c r="D553" s="23"/>
      <c r="E553" s="26"/>
      <c r="F553" s="1" t="s">
        <v>512</v>
      </c>
      <c r="G553" s="26"/>
      <c r="H553" s="23"/>
      <c r="I553" s="26"/>
      <c r="J553" s="23"/>
      <c r="K553" s="26"/>
      <c r="L553" s="23"/>
      <c r="M553" s="26"/>
      <c r="N553" s="23"/>
      <c r="O553" s="26"/>
    </row>
    <row r="554" ht="14.25" customHeight="1">
      <c r="A554" s="168"/>
      <c r="B554" s="23"/>
      <c r="C554" s="26"/>
      <c r="D554" s="23"/>
      <c r="E554" s="26"/>
      <c r="F554" s="23"/>
      <c r="G554" s="93"/>
      <c r="H554" s="30"/>
      <c r="I554" s="93"/>
      <c r="J554" s="23"/>
      <c r="K554" s="93"/>
      <c r="L554" s="30"/>
      <c r="M554" s="93"/>
      <c r="N554" s="23"/>
      <c r="O554" s="93"/>
    </row>
    <row r="555" ht="14.25" customHeight="1">
      <c r="A555" s="168"/>
      <c r="B555" s="176" t="s">
        <v>25</v>
      </c>
      <c r="C555" s="177">
        <f>C550*B550 + B551*C551 + B552*C552 + B553*C553 + B554*C554</f>
        <v>280</v>
      </c>
      <c r="D555" s="98" t="s">
        <v>25</v>
      </c>
      <c r="E555" s="97" t="str">
        <f>E550*D550 + D551*#REF! + E551*E552 + D553*E553 + D554*E554</f>
        <v>#REF!</v>
      </c>
      <c r="F555" s="176" t="s">
        <v>25</v>
      </c>
      <c r="G555" s="111" t="str">
        <f>G550*F550 + F551*G551 + F552*G552 + F553*G553 + F554*G554</f>
        <v>#VALUE!</v>
      </c>
      <c r="H555" s="98" t="s">
        <v>25</v>
      </c>
      <c r="I555" s="111">
        <f>I550*H550 + H551*I551 + H552*I552 + H553*I553 + H554*I554</f>
        <v>0</v>
      </c>
      <c r="J555" s="176" t="s">
        <v>25</v>
      </c>
      <c r="K555" s="111">
        <f>K550*J550 + J551*K551 + J552*K552 + J553*K553 + J554*K554</f>
        <v>0</v>
      </c>
      <c r="L555" s="98" t="s">
        <v>25</v>
      </c>
      <c r="M555" s="97">
        <f>M550*L550 + L551*M551 + L552*M552 + L553*M553 + L554*M554</f>
        <v>0</v>
      </c>
      <c r="N555" s="176" t="s">
        <v>25</v>
      </c>
      <c r="O555" s="97">
        <f>O550*N550 + N551*O551 + N552*O552 + N553*O553 + N554*O554</f>
        <v>0</v>
      </c>
    </row>
    <row r="556" ht="14.25" customHeight="1">
      <c r="A556" s="168"/>
      <c r="B556" s="161" t="s">
        <v>26</v>
      </c>
      <c r="C556" s="178">
        <f>(B550*C550 + B551*C551 + B552*C552 + B553*C553 + B554*C554)/SUM(C550:C554)</f>
        <v>46.66666667</v>
      </c>
      <c r="D556" s="66" t="s">
        <v>26</v>
      </c>
      <c r="E556" s="102" t="str">
        <f>(D550*E550 + D551*#REF! + E551*E552 + D553*E553 + D554*E554)/SUM(E550:E554)</f>
        <v>#REF!</v>
      </c>
      <c r="F556" s="161" t="s">
        <v>26</v>
      </c>
      <c r="G556" s="179" t="str">
        <f>(F550*G550 + F551*G551 + F552*G552 + F553*G553 + F554*G554)/SUM(G550:G554)</f>
        <v>#VALUE!</v>
      </c>
      <c r="H556" s="66" t="s">
        <v>26</v>
      </c>
      <c r="I556" s="179" t="str">
        <f>(H550*I550 + H551*I551 + H552*I552 + H553*I553 + H554*I554)/SUM(I550:I554)</f>
        <v>#DIV/0!</v>
      </c>
      <c r="J556" s="161" t="s">
        <v>26</v>
      </c>
      <c r="K556" s="179" t="str">
        <f>(J550*K550 + J551*K551 + J552*K552 + J553*K553 + J554*K554)/SUM(K550:K554)</f>
        <v>#DIV/0!</v>
      </c>
      <c r="L556" s="66" t="s">
        <v>26</v>
      </c>
      <c r="M556" s="102" t="str">
        <f>(L550*M550 + L551*M551 + L552*M552 + L553*M553 + L554*M554)/SUM(M550:M554)</f>
        <v>#DIV/0!</v>
      </c>
      <c r="N556" s="161" t="s">
        <v>26</v>
      </c>
      <c r="O556" s="102" t="str">
        <f>(N550*O550 + N551*O551 + N552*O552 + N553*O553 + N554*O554)/SUM(O550:O554)</f>
        <v>#DIV/0!</v>
      </c>
    </row>
    <row r="557" ht="14.25" customHeight="1">
      <c r="A557" s="168"/>
      <c r="B557" s="164" t="s">
        <v>421</v>
      </c>
      <c r="C557" s="180" t="s">
        <v>422</v>
      </c>
      <c r="D557" s="166" t="s">
        <v>421</v>
      </c>
      <c r="E557" s="167" t="s">
        <v>422</v>
      </c>
      <c r="F557" s="164" t="s">
        <v>421</v>
      </c>
      <c r="G557" s="167" t="s">
        <v>422</v>
      </c>
      <c r="H557" s="166" t="s">
        <v>421</v>
      </c>
      <c r="I557" s="167" t="s">
        <v>422</v>
      </c>
      <c r="J557" s="164" t="s">
        <v>421</v>
      </c>
      <c r="K557" s="167" t="s">
        <v>422</v>
      </c>
      <c r="L557" s="166" t="s">
        <v>421</v>
      </c>
      <c r="M557" s="167" t="s">
        <v>422</v>
      </c>
      <c r="N557" s="164" t="s">
        <v>421</v>
      </c>
      <c r="O557" s="167" t="s">
        <v>422</v>
      </c>
    </row>
    <row r="558" ht="14.25" customHeight="1">
      <c r="A558" s="168"/>
      <c r="B558" s="171" t="s">
        <v>304</v>
      </c>
      <c r="C558" s="107"/>
      <c r="D558" s="147" t="s">
        <v>245</v>
      </c>
      <c r="E558" s="107"/>
      <c r="F558" s="171" t="s">
        <v>91</v>
      </c>
      <c r="G558" s="50" t="s">
        <v>49</v>
      </c>
      <c r="H558" s="171"/>
      <c r="I558" s="50"/>
      <c r="J558" s="171"/>
      <c r="K558" s="50"/>
      <c r="L558" s="171" t="s">
        <v>91</v>
      </c>
      <c r="M558" s="107" t="s">
        <v>90</v>
      </c>
      <c r="N558" s="171" t="s">
        <v>91</v>
      </c>
      <c r="O558" s="50" t="s">
        <v>90</v>
      </c>
    </row>
    <row r="559" ht="14.25" customHeight="1">
      <c r="A559" s="181"/>
      <c r="B559" s="23" t="s">
        <v>235</v>
      </c>
      <c r="C559" s="22">
        <v>3.0</v>
      </c>
      <c r="D559" s="1">
        <v>45.0</v>
      </c>
      <c r="E559" s="48">
        <v>3.0</v>
      </c>
      <c r="F559" s="47" t="s">
        <v>513</v>
      </c>
      <c r="G559" s="54" t="s">
        <v>514</v>
      </c>
      <c r="H559" s="25"/>
      <c r="I559" s="26"/>
      <c r="J559" s="23"/>
      <c r="K559" s="26"/>
      <c r="L559" s="23"/>
      <c r="M559" s="26"/>
      <c r="N559" s="25"/>
      <c r="O559" s="26"/>
    </row>
    <row r="560" ht="14.25" customHeight="1">
      <c r="A560" s="168"/>
      <c r="B560" s="23" t="s">
        <v>235</v>
      </c>
      <c r="C560" s="22">
        <v>3.0</v>
      </c>
      <c r="D560" s="1">
        <v>45.0</v>
      </c>
      <c r="E560" s="48">
        <v>3.0</v>
      </c>
      <c r="F560" s="47">
        <v>60.0</v>
      </c>
      <c r="G560" s="26"/>
      <c r="H560" s="25"/>
      <c r="I560" s="26"/>
      <c r="J560" s="23"/>
      <c r="K560" s="26"/>
      <c r="L560" s="23"/>
      <c r="M560" s="26"/>
      <c r="N560" s="25"/>
      <c r="O560" s="26"/>
    </row>
    <row r="561" ht="14.25" customHeight="1">
      <c r="A561" s="168"/>
      <c r="B561" s="23" t="s">
        <v>235</v>
      </c>
      <c r="C561" s="22">
        <v>3.0</v>
      </c>
      <c r="D561" s="1">
        <v>45.0</v>
      </c>
      <c r="E561" s="48">
        <v>3.0</v>
      </c>
      <c r="F561" s="47">
        <v>60.0</v>
      </c>
      <c r="G561" s="26"/>
      <c r="H561" s="25"/>
      <c r="I561" s="26"/>
      <c r="J561" s="23"/>
      <c r="K561" s="26"/>
      <c r="L561" s="23"/>
      <c r="M561" s="26"/>
      <c r="N561" s="25"/>
      <c r="O561" s="26"/>
    </row>
    <row r="562" ht="14.25" customHeight="1">
      <c r="A562" s="168"/>
      <c r="B562" s="23"/>
      <c r="C562" s="26"/>
      <c r="D562" s="23"/>
      <c r="E562" s="26"/>
      <c r="F562" s="25"/>
      <c r="G562" s="93"/>
      <c r="H562" s="23"/>
      <c r="I562" s="26"/>
      <c r="J562" s="23"/>
      <c r="K562" s="93"/>
      <c r="L562" s="23"/>
      <c r="M562" s="26"/>
      <c r="N562" s="23"/>
      <c r="O562" s="93"/>
    </row>
    <row r="563" ht="14.25" customHeight="1">
      <c r="A563" s="168"/>
      <c r="B563" s="23"/>
      <c r="C563" s="26"/>
      <c r="D563" s="30"/>
      <c r="E563" s="93"/>
      <c r="F563" s="23"/>
      <c r="G563" s="93"/>
      <c r="H563" s="30"/>
      <c r="I563" s="93"/>
      <c r="J563" s="23"/>
      <c r="K563" s="93"/>
      <c r="L563" s="30"/>
      <c r="M563" s="93"/>
      <c r="N563" s="23"/>
      <c r="O563" s="93"/>
    </row>
    <row r="564" ht="14.25" customHeight="1">
      <c r="A564" s="168"/>
      <c r="B564" s="23"/>
      <c r="C564" s="26"/>
      <c r="D564" s="30"/>
      <c r="E564" s="93"/>
      <c r="F564" s="23"/>
      <c r="G564" s="93"/>
      <c r="H564" s="30"/>
      <c r="I564" s="93"/>
      <c r="J564" s="23"/>
      <c r="K564" s="93"/>
      <c r="L564" s="30"/>
      <c r="M564" s="93"/>
      <c r="N564" s="23"/>
      <c r="O564" s="93"/>
    </row>
    <row r="565" ht="14.25" customHeight="1">
      <c r="A565" s="168"/>
      <c r="B565" s="176" t="s">
        <v>25</v>
      </c>
      <c r="C565" s="182" t="str">
        <f>C559*B559 + B560*C560 + B561*C561 + B562*C562 + B564*C564</f>
        <v>#VALUE!</v>
      </c>
      <c r="D565" s="98" t="s">
        <v>25</v>
      </c>
      <c r="E565" s="97">
        <f>E559*D559 + D560*E560 + D561*E561 + D562*E562 + D564*E564</f>
        <v>405</v>
      </c>
      <c r="F565" s="176" t="s">
        <v>25</v>
      </c>
      <c r="G565" s="97" t="str">
        <f>G559*F559 + F560*G560 + F561*G561 + F562*G562 + F564*G564</f>
        <v>#VALUE!</v>
      </c>
      <c r="H565" s="98" t="s">
        <v>25</v>
      </c>
      <c r="I565" s="111">
        <f>I559*H559 + H560*I560 + H561*I561 + H562*I562 + H564*I564</f>
        <v>0</v>
      </c>
      <c r="J565" s="176" t="s">
        <v>25</v>
      </c>
      <c r="K565" s="97">
        <f>K559*J559 + J560*K560 + J561*K561 + J562*K562 + J564*K564</f>
        <v>0</v>
      </c>
      <c r="L565" s="98" t="s">
        <v>25</v>
      </c>
      <c r="M565" s="97">
        <f>M559*L559 + L560*M560 + L561*M561 + L562*M562 + L564*M564</f>
        <v>0</v>
      </c>
      <c r="N565" s="176" t="s">
        <v>25</v>
      </c>
      <c r="O565" s="97">
        <f>O559*N559 + N560*O560 + N561*O561 + N562*O562 + N564*O564</f>
        <v>0</v>
      </c>
    </row>
    <row r="566" ht="14.25" customHeight="1">
      <c r="A566" s="168"/>
      <c r="B566" s="161" t="s">
        <v>26</v>
      </c>
      <c r="C566" s="183" t="str">
        <f>(B559*C559 + B560*C560 + B561*C561 + B562*C562 + B564*C564)/SUM(C559:C564)</f>
        <v>#VALUE!</v>
      </c>
      <c r="D566" s="66" t="s">
        <v>26</v>
      </c>
      <c r="E566" s="102">
        <f>(D559*E559 + D560*E560 + D561*E561 + D562*E562 + D564*E564)/SUM(E559:E564)</f>
        <v>45</v>
      </c>
      <c r="F566" s="161" t="s">
        <v>26</v>
      </c>
      <c r="G566" s="102" t="str">
        <f>(F559*G559 + F560*G560 + F561*G561 + F562*G562 + F564*G564)/SUM(G559:G564)</f>
        <v>#VALUE!</v>
      </c>
      <c r="H566" s="66" t="s">
        <v>26</v>
      </c>
      <c r="I566" s="102" t="str">
        <f>(H559*I559 + H560*I560 + H561*I561 + H562*I562 + H564*I564)/SUM(I559:I564)</f>
        <v>#DIV/0!</v>
      </c>
      <c r="J566" s="161" t="s">
        <v>26</v>
      </c>
      <c r="K566" s="102" t="str">
        <f>(J559*K559 + J560*K560 + J561*K561 + J562*K562 + J564*K564)/SUM(K559:K564)</f>
        <v>#DIV/0!</v>
      </c>
      <c r="L566" s="66" t="s">
        <v>26</v>
      </c>
      <c r="M566" s="102" t="str">
        <f>(L559*M559 + L560*M560 + L561*M561 + L562*M562 + L564*M564)/SUM(M559:M564)</f>
        <v>#DIV/0!</v>
      </c>
      <c r="N566" s="161" t="s">
        <v>26</v>
      </c>
      <c r="O566" s="102" t="str">
        <f>(N559*O559 + N560*O560 + N561*O561 + N562*O562 + N564*O564)/SUM(O559:O564)</f>
        <v>#DIV/0!</v>
      </c>
    </row>
    <row r="567" ht="14.25" customHeight="1">
      <c r="A567" s="168"/>
      <c r="B567" s="147" t="s">
        <v>249</v>
      </c>
      <c r="C567" s="50"/>
      <c r="D567" s="171"/>
      <c r="E567" s="50"/>
      <c r="F567" s="147" t="s">
        <v>515</v>
      </c>
      <c r="G567" s="50"/>
      <c r="H567" s="147" t="s">
        <v>516</v>
      </c>
      <c r="I567" s="107"/>
      <c r="J567" s="171"/>
      <c r="K567" s="50"/>
      <c r="L567" s="171"/>
      <c r="M567" s="50"/>
      <c r="N567" s="171" t="s">
        <v>249</v>
      </c>
      <c r="O567" s="171"/>
    </row>
    <row r="568" ht="14.25" customHeight="1">
      <c r="A568" s="168"/>
      <c r="B568" s="1">
        <v>3.0</v>
      </c>
      <c r="C568" s="26"/>
      <c r="D568" s="23"/>
      <c r="E568" s="93"/>
      <c r="F568" s="1" t="s">
        <v>517</v>
      </c>
      <c r="G568" s="26"/>
      <c r="H568" s="1" t="s">
        <v>33</v>
      </c>
      <c r="I568" s="26"/>
      <c r="J568" s="23"/>
      <c r="K568" s="26"/>
      <c r="L568" s="23"/>
      <c r="M568" s="26"/>
      <c r="N568" s="23"/>
      <c r="O568" s="22">
        <v>6.0</v>
      </c>
    </row>
    <row r="569" ht="14.25" customHeight="1">
      <c r="A569" s="168"/>
      <c r="B569" s="1">
        <v>3.0</v>
      </c>
      <c r="C569" s="26"/>
      <c r="D569" s="23"/>
      <c r="E569" s="93"/>
      <c r="F569" s="1" t="s">
        <v>518</v>
      </c>
      <c r="G569" s="26"/>
      <c r="H569" s="23"/>
      <c r="I569" s="26"/>
      <c r="J569" s="23"/>
      <c r="K569" s="26"/>
      <c r="L569" s="23"/>
      <c r="M569" s="93"/>
      <c r="N569" s="23"/>
      <c r="O569" s="22">
        <v>6.0</v>
      </c>
    </row>
    <row r="570" ht="14.25" customHeight="1">
      <c r="A570" s="168"/>
      <c r="B570" s="1">
        <v>3.0</v>
      </c>
      <c r="C570" s="26"/>
      <c r="D570" s="23"/>
      <c r="E570" s="93"/>
      <c r="F570" s="1" t="s">
        <v>519</v>
      </c>
      <c r="G570" s="26"/>
      <c r="H570" s="23"/>
      <c r="I570" s="26"/>
      <c r="J570" s="23"/>
      <c r="K570" s="26"/>
      <c r="L570" s="23"/>
      <c r="M570" s="93"/>
      <c r="N570" s="23"/>
      <c r="O570" s="22">
        <v>6.0</v>
      </c>
    </row>
    <row r="571" ht="14.25" customHeight="1">
      <c r="A571" s="168"/>
      <c r="B571" s="23"/>
      <c r="C571" s="26"/>
      <c r="D571" s="30"/>
      <c r="E571" s="93"/>
      <c r="F571" s="23"/>
      <c r="G571" s="93"/>
      <c r="H571" s="30"/>
      <c r="I571" s="93"/>
      <c r="J571" s="23"/>
      <c r="K571" s="93"/>
      <c r="L571" s="23"/>
      <c r="M571" s="93"/>
      <c r="N571" s="23"/>
      <c r="O571" s="93"/>
    </row>
    <row r="572" ht="14.25" customHeight="1">
      <c r="A572" s="168"/>
      <c r="B572" s="23"/>
      <c r="C572" s="26"/>
      <c r="D572" s="30"/>
      <c r="E572" s="93"/>
      <c r="F572" s="23"/>
      <c r="G572" s="93"/>
      <c r="H572" s="30"/>
      <c r="I572" s="93"/>
      <c r="J572" s="23"/>
      <c r="K572" s="93"/>
      <c r="L572" s="23"/>
      <c r="M572" s="93"/>
      <c r="N572" s="23"/>
      <c r="O572" s="93"/>
    </row>
    <row r="573" ht="14.25" customHeight="1">
      <c r="A573" s="168"/>
      <c r="B573" s="176" t="s">
        <v>25</v>
      </c>
      <c r="C573" s="182">
        <f>C568*B568 + B569*C569 + B570*C570 + B571*C571 + B572*C572</f>
        <v>0</v>
      </c>
      <c r="D573" s="98" t="s">
        <v>25</v>
      </c>
      <c r="E573" s="97">
        <f>E568*D568 + D569*E569 + D570*E570 + D571*E571 + D572*E572</f>
        <v>0</v>
      </c>
      <c r="F573" s="176" t="s">
        <v>25</v>
      </c>
      <c r="G573" s="97" t="str">
        <f>G568*F568 + F569*G569 + F570*G570 + F571*G571 + F572*G572</f>
        <v>#VALUE!</v>
      </c>
      <c r="H573" s="98" t="s">
        <v>25</v>
      </c>
      <c r="I573" s="111" t="str">
        <f>I568*H568 + H569*I569 + H570*I570 + H571*I571 + H572*I572</f>
        <v>#VALUE!</v>
      </c>
      <c r="J573" s="176" t="s">
        <v>25</v>
      </c>
      <c r="K573" s="97" t="str">
        <f>K568*J568 + J569*K569 + #REF!*K570 + J570*K571 + J572*K572</f>
        <v>#REF!</v>
      </c>
      <c r="L573" s="98" t="s">
        <v>25</v>
      </c>
      <c r="M573" s="111">
        <f>M568*L568 + L569*M569 + L570*M570 + L571*M571 + L572*M572</f>
        <v>0</v>
      </c>
      <c r="N573" s="98" t="s">
        <v>25</v>
      </c>
      <c r="O573" s="111">
        <f>O568*N568 + N569*O569 + N570*O570 + N571*O571 + N572*O572</f>
        <v>0</v>
      </c>
    </row>
    <row r="574" ht="14.25" customHeight="1">
      <c r="A574" s="168"/>
      <c r="B574" s="161" t="s">
        <v>26</v>
      </c>
      <c r="C574" s="183" t="str">
        <f>(B568*C568 + B569*C569 + B570*C570 + B571*C571 + B572*C572)/SUM(C568:C572)</f>
        <v>#DIV/0!</v>
      </c>
      <c r="D574" s="66" t="s">
        <v>26</v>
      </c>
      <c r="E574" s="102" t="str">
        <f>(D568*E568 + D569*E569 + D570*E570 + D571*E571 + D572*E572)/SUM(E568:E572)</f>
        <v>#DIV/0!</v>
      </c>
      <c r="F574" s="161" t="s">
        <v>26</v>
      </c>
      <c r="G574" s="102" t="str">
        <f>(F568*G568 + F569*G569 + F570*G570 + F571*G571 + F572*G572)/SUM(G568:G572)</f>
        <v>#VALUE!</v>
      </c>
      <c r="H574" s="66" t="s">
        <v>26</v>
      </c>
      <c r="I574" s="102" t="str">
        <f>(H568*I568 + H569*I569 + H570*I570 + H571*I571 + H572*I572)/SUM(I568:I572)</f>
        <v>#VALUE!</v>
      </c>
      <c r="J574" s="161" t="s">
        <v>26</v>
      </c>
      <c r="K574" s="102" t="str">
        <f>(J568*K568 + J569*K569 + #REF!*K570 + J570*K571 + J572*K572)/SUM(K568:K572)</f>
        <v>#REF!</v>
      </c>
      <c r="L574" s="66" t="s">
        <v>26</v>
      </c>
      <c r="M574" s="102" t="str">
        <f>(L568*M568 + L569*M569 + L570*M570 + L571*M571 + L572*M572)/SUM(M568:M572)</f>
        <v>#DIV/0!</v>
      </c>
      <c r="N574" s="66" t="s">
        <v>26</v>
      </c>
      <c r="O574" s="102">
        <f>(N568*O568 + N569*O569 + N570*O570 + N571*O571 + N572*O572)/SUM(O568:O572)</f>
        <v>0</v>
      </c>
    </row>
    <row r="575" ht="14.25" customHeight="1">
      <c r="A575" s="168"/>
      <c r="B575" s="30" t="s">
        <v>489</v>
      </c>
      <c r="C575" s="61"/>
      <c r="D575" s="30" t="s">
        <v>489</v>
      </c>
      <c r="E575" s="60"/>
      <c r="F575" s="1" t="s">
        <v>520</v>
      </c>
      <c r="G575" s="60"/>
      <c r="H575" s="30" t="s">
        <v>489</v>
      </c>
      <c r="I575" s="60"/>
      <c r="J575" s="23"/>
      <c r="K575" s="60"/>
      <c r="L575" s="30"/>
      <c r="M575" s="60"/>
      <c r="N575" s="30"/>
      <c r="O575" s="60"/>
    </row>
    <row r="576" ht="14.25" customHeight="1">
      <c r="A576" s="168"/>
      <c r="B576" s="1" t="s">
        <v>521</v>
      </c>
      <c r="C576" s="61"/>
      <c r="D576" s="1" t="s">
        <v>522</v>
      </c>
      <c r="E576" s="60"/>
      <c r="F576" s="188" t="s">
        <v>523</v>
      </c>
      <c r="G576" s="60"/>
      <c r="H576" s="1" t="s">
        <v>500</v>
      </c>
      <c r="I576" s="60"/>
      <c r="J576" s="184"/>
      <c r="K576" s="60"/>
      <c r="L576" s="30"/>
      <c r="M576" s="60"/>
      <c r="N576" s="30"/>
      <c r="O576" s="60"/>
    </row>
    <row r="577" ht="14.25" customHeight="1">
      <c r="A577" s="168"/>
      <c r="B577" s="1" t="s">
        <v>490</v>
      </c>
      <c r="C577" s="61"/>
      <c r="D577" s="23" t="s">
        <v>490</v>
      </c>
      <c r="E577" s="61"/>
      <c r="F577" s="69" t="s">
        <v>524</v>
      </c>
      <c r="G577" s="61"/>
      <c r="H577" s="30"/>
      <c r="I577" s="60"/>
      <c r="J577" s="23"/>
      <c r="K577" s="60"/>
      <c r="L577" s="23"/>
      <c r="M577" s="61"/>
      <c r="N577" s="23"/>
      <c r="O577" s="61"/>
    </row>
    <row r="578" ht="14.25" customHeight="1">
      <c r="A578" s="168"/>
      <c r="B578" s="23"/>
      <c r="C578" s="61"/>
      <c r="D578" s="23"/>
      <c r="E578" s="60"/>
      <c r="F578" s="23"/>
      <c r="G578" s="60"/>
      <c r="H578" s="30"/>
      <c r="I578" s="60"/>
      <c r="J578" s="23"/>
      <c r="K578" s="60"/>
      <c r="L578" s="23"/>
      <c r="M578" s="60"/>
      <c r="N578" s="23"/>
      <c r="O578" s="60"/>
    </row>
    <row r="579" ht="14.25" customHeight="1">
      <c r="A579" s="168"/>
      <c r="B579" s="23"/>
      <c r="C579" s="61"/>
      <c r="D579" s="23"/>
      <c r="E579" s="60"/>
      <c r="F579" s="23"/>
      <c r="G579" s="60"/>
      <c r="H579" s="30"/>
      <c r="I579" s="60"/>
      <c r="J579" s="23"/>
      <c r="K579" s="60"/>
      <c r="L579" s="23"/>
      <c r="M579" s="60"/>
      <c r="N579" s="23"/>
      <c r="O579" s="60"/>
    </row>
    <row r="580" ht="14.25" customHeight="1">
      <c r="A580" s="168"/>
      <c r="B580" s="23"/>
      <c r="C580" s="61"/>
      <c r="D580" s="23"/>
      <c r="E580" s="60"/>
      <c r="F580" s="23"/>
      <c r="G580" s="60"/>
      <c r="H580" s="30"/>
      <c r="I580" s="60"/>
      <c r="J580" s="23"/>
      <c r="K580" s="60"/>
      <c r="L580" s="23"/>
      <c r="M580" s="60"/>
      <c r="N580" s="23"/>
      <c r="O580" s="60"/>
    </row>
    <row r="581" ht="14.25" customHeight="1">
      <c r="A581" s="185"/>
      <c r="B581" s="161"/>
      <c r="C581" s="186"/>
      <c r="D581" s="66"/>
      <c r="E581" s="67"/>
      <c r="F581" s="161"/>
      <c r="G581" s="67"/>
      <c r="H581" s="66"/>
      <c r="I581" s="67"/>
      <c r="J581" s="161"/>
      <c r="K581" s="67"/>
      <c r="L581" s="161"/>
      <c r="M581" s="67"/>
      <c r="N581" s="161"/>
      <c r="O581" s="67"/>
    </row>
    <row r="582" ht="14.25" customHeight="1">
      <c r="A582" s="158"/>
      <c r="B582" s="159"/>
      <c r="C582" s="159"/>
      <c r="D582" s="158"/>
      <c r="E582" s="158"/>
      <c r="F582" s="159"/>
      <c r="G582" s="158"/>
      <c r="H582" s="158"/>
      <c r="I582" s="158"/>
      <c r="J582" s="159"/>
      <c r="K582" s="158"/>
      <c r="L582" s="158"/>
      <c r="M582" s="158"/>
      <c r="N582" s="158"/>
      <c r="O582" s="158"/>
      <c r="P582" s="30"/>
    </row>
    <row r="583" ht="14.25" customHeight="1">
      <c r="A583" s="160" t="s">
        <v>2</v>
      </c>
      <c r="B583" s="161" t="s">
        <v>3</v>
      </c>
      <c r="C583" s="162">
        <f>O546+1</f>
        <v>45265</v>
      </c>
      <c r="D583" s="66" t="s">
        <v>4</v>
      </c>
      <c r="E583" s="162">
        <f>C583+1</f>
        <v>45266</v>
      </c>
      <c r="F583" s="161" t="s">
        <v>5</v>
      </c>
      <c r="G583" s="162">
        <f>E583+1</f>
        <v>45267</v>
      </c>
      <c r="H583" s="66" t="s">
        <v>6</v>
      </c>
      <c r="I583" s="162">
        <f>G583+1</f>
        <v>45268</v>
      </c>
      <c r="J583" s="161" t="s">
        <v>7</v>
      </c>
      <c r="K583" s="162">
        <f>I583+1</f>
        <v>45269</v>
      </c>
      <c r="L583" s="66" t="s">
        <v>8</v>
      </c>
      <c r="M583" s="162">
        <f>K583+1</f>
        <v>45270</v>
      </c>
      <c r="N583" s="66" t="s">
        <v>9</v>
      </c>
      <c r="O583" s="162">
        <f>M583+1</f>
        <v>45271</v>
      </c>
      <c r="P583" s="30"/>
    </row>
    <row r="584" ht="14.25" customHeight="1">
      <c r="A584" s="189">
        <f>A547+1</f>
        <v>17</v>
      </c>
      <c r="B584" s="164" t="s">
        <v>421</v>
      </c>
      <c r="C584" s="165" t="s">
        <v>422</v>
      </c>
      <c r="D584" s="166" t="s">
        <v>421</v>
      </c>
      <c r="E584" s="165" t="s">
        <v>422</v>
      </c>
      <c r="F584" s="164" t="s">
        <v>421</v>
      </c>
      <c r="G584" s="165" t="s">
        <v>422</v>
      </c>
      <c r="H584" s="166" t="s">
        <v>421</v>
      </c>
      <c r="I584" s="165" t="s">
        <v>422</v>
      </c>
      <c r="J584" s="164" t="s">
        <v>421</v>
      </c>
      <c r="K584" s="165" t="s">
        <v>422</v>
      </c>
      <c r="L584" s="166" t="s">
        <v>421</v>
      </c>
      <c r="M584" s="165" t="s">
        <v>422</v>
      </c>
      <c r="N584" s="166" t="s">
        <v>421</v>
      </c>
      <c r="O584" s="165" t="s">
        <v>422</v>
      </c>
      <c r="P584" s="30"/>
    </row>
    <row r="585" ht="14.25" customHeight="1">
      <c r="A585" s="190"/>
      <c r="B585" s="191" t="s">
        <v>306</v>
      </c>
      <c r="C585" s="170"/>
      <c r="D585" s="191" t="s">
        <v>306</v>
      </c>
      <c r="E585" s="170"/>
      <c r="F585" s="191" t="s">
        <v>505</v>
      </c>
      <c r="G585" s="170"/>
      <c r="H585" s="191" t="s">
        <v>315</v>
      </c>
      <c r="I585" s="170"/>
      <c r="J585" s="191" t="s">
        <v>17</v>
      </c>
      <c r="K585" s="170"/>
      <c r="L585" s="191" t="s">
        <v>235</v>
      </c>
      <c r="M585" s="170"/>
      <c r="N585" s="191" t="s">
        <v>235</v>
      </c>
      <c r="O585" s="170"/>
      <c r="P585" s="30"/>
    </row>
    <row r="586" ht="14.25" customHeight="1">
      <c r="A586" s="168" t="s">
        <v>12</v>
      </c>
      <c r="B586" s="172" t="s">
        <v>506</v>
      </c>
      <c r="C586" s="107"/>
      <c r="D586" s="172" t="s">
        <v>507</v>
      </c>
      <c r="E586" s="107"/>
      <c r="F586" s="192" t="s">
        <v>508</v>
      </c>
      <c r="G586" s="50"/>
      <c r="H586" s="171" t="s">
        <v>509</v>
      </c>
      <c r="I586" s="50"/>
      <c r="J586" s="171"/>
      <c r="K586" s="50"/>
      <c r="L586" s="171"/>
      <c r="M586" s="50"/>
      <c r="N586" s="171"/>
      <c r="O586" s="50"/>
      <c r="P586" s="30"/>
    </row>
    <row r="587" ht="14.25" customHeight="1">
      <c r="A587" s="168"/>
      <c r="B587" s="25">
        <v>40.0</v>
      </c>
      <c r="C587" s="109">
        <v>3.0</v>
      </c>
      <c r="D587" s="25">
        <v>80.0</v>
      </c>
      <c r="E587" s="109">
        <v>3.0</v>
      </c>
      <c r="F587" s="25" t="s">
        <v>510</v>
      </c>
      <c r="G587" s="93"/>
      <c r="H587" s="23"/>
      <c r="I587" s="93"/>
      <c r="J587" s="23"/>
      <c r="K587" s="93"/>
      <c r="L587" s="23"/>
      <c r="M587" s="93"/>
      <c r="N587" s="23"/>
      <c r="O587" s="93"/>
      <c r="P587" s="30"/>
    </row>
    <row r="588" ht="14.25" customHeight="1">
      <c r="A588" s="168"/>
      <c r="B588" s="25">
        <v>50.0</v>
      </c>
      <c r="C588" s="22">
        <v>2.0</v>
      </c>
      <c r="D588" s="25">
        <v>90.0</v>
      </c>
      <c r="E588" s="22">
        <v>2.0</v>
      </c>
      <c r="F588" s="25" t="s">
        <v>511</v>
      </c>
      <c r="G588" s="26"/>
      <c r="H588" s="23"/>
      <c r="I588" s="26"/>
      <c r="J588" s="23"/>
      <c r="K588" s="26"/>
      <c r="L588" s="23"/>
      <c r="M588" s="26"/>
      <c r="N588" s="23"/>
      <c r="O588" s="26"/>
      <c r="P588" s="30"/>
    </row>
    <row r="589" ht="14.25" customHeight="1">
      <c r="A589" s="168"/>
      <c r="B589" s="25">
        <v>60.0</v>
      </c>
      <c r="C589" s="22">
        <v>1.0</v>
      </c>
      <c r="D589" s="25">
        <v>100.0</v>
      </c>
      <c r="E589" s="22">
        <v>1.0</v>
      </c>
      <c r="F589" s="25" t="s">
        <v>15</v>
      </c>
      <c r="G589" s="26"/>
      <c r="H589" s="23"/>
      <c r="I589" s="26"/>
      <c r="J589" s="23"/>
      <c r="K589" s="26"/>
      <c r="L589" s="23"/>
      <c r="M589" s="26"/>
      <c r="N589" s="23"/>
      <c r="O589" s="26"/>
      <c r="P589" s="30"/>
    </row>
    <row r="590" ht="14.25" customHeight="1">
      <c r="A590" s="168"/>
      <c r="B590" s="23"/>
      <c r="C590" s="26"/>
      <c r="D590" s="23"/>
      <c r="E590" s="26"/>
      <c r="F590" s="53" t="s">
        <v>512</v>
      </c>
      <c r="G590" s="26"/>
      <c r="H590" s="23"/>
      <c r="I590" s="26"/>
      <c r="J590" s="23"/>
      <c r="K590" s="26"/>
      <c r="L590" s="23"/>
      <c r="M590" s="26"/>
      <c r="N590" s="23"/>
      <c r="O590" s="26"/>
      <c r="P590" s="30"/>
    </row>
    <row r="591" ht="14.25" customHeight="1">
      <c r="A591" s="168"/>
      <c r="B591" s="23"/>
      <c r="C591" s="93"/>
      <c r="D591" s="23"/>
      <c r="E591" s="26"/>
      <c r="F591" s="23"/>
      <c r="G591" s="26"/>
      <c r="H591" s="23"/>
      <c r="I591" s="26"/>
      <c r="J591" s="23"/>
      <c r="K591" s="26"/>
      <c r="L591" s="23"/>
      <c r="M591" s="26"/>
      <c r="N591" s="23"/>
      <c r="O591" s="26"/>
      <c r="P591" s="30"/>
    </row>
    <row r="592" ht="14.25" customHeight="1">
      <c r="A592" s="168"/>
      <c r="B592" s="176" t="s">
        <v>25</v>
      </c>
      <c r="C592" s="177">
        <f>C587*B587 + B588*C588 + B589*C589 + B590*C590 + B591*C591</f>
        <v>280</v>
      </c>
      <c r="D592" s="176" t="s">
        <v>25</v>
      </c>
      <c r="E592" s="182" t="str">
        <f>E587*D587 + D588*#REF! + E588*E589 + D590*E590 + D591*E591</f>
        <v>#REF!</v>
      </c>
      <c r="F592" s="176" t="s">
        <v>25</v>
      </c>
      <c r="G592" s="111" t="str">
        <f>G587*F587 + F588*G588 + F589*G589 + F590*G590 + F591*G591</f>
        <v>#VALUE!</v>
      </c>
      <c r="H592" s="98" t="s">
        <v>25</v>
      </c>
      <c r="I592" s="111">
        <f>I587*H587 + H588*I588 + H589*I589 + H590*I590 + H591*I591</f>
        <v>0</v>
      </c>
      <c r="J592" s="176" t="s">
        <v>25</v>
      </c>
      <c r="K592" s="111">
        <f>K587*J587 + J588*K588 + J589*K589 + J590*K590 + J591*K591</f>
        <v>0</v>
      </c>
      <c r="L592" s="98" t="s">
        <v>25</v>
      </c>
      <c r="M592" s="97">
        <f>M587*L587 + L588*M588 + L589*M589 + L590*M590 + L591*M591</f>
        <v>0</v>
      </c>
      <c r="N592" s="176" t="s">
        <v>25</v>
      </c>
      <c r="O592" s="97">
        <f>O587*N587 + N588*O588 + N589*O589 + N590*O590 + N591*O591</f>
        <v>0</v>
      </c>
      <c r="P592" s="30"/>
    </row>
    <row r="593" ht="14.25" customHeight="1">
      <c r="A593" s="168"/>
      <c r="B593" s="161" t="s">
        <v>26</v>
      </c>
      <c r="C593" s="178">
        <f>(B587*C587 + B588*C588 + B589*C589 + B590*C590 + B591*C591)/SUM(C587:C591)</f>
        <v>46.66666667</v>
      </c>
      <c r="D593" s="66" t="s">
        <v>26</v>
      </c>
      <c r="E593" s="102" t="str">
        <f>(D587*E587 + D588*#REF! + E588*E589 + D590*E590 + D591*E591)/SUM(E587:E591)</f>
        <v>#REF!</v>
      </c>
      <c r="F593" s="161" t="s">
        <v>26</v>
      </c>
      <c r="G593" s="179" t="str">
        <f>(F587*G587 + F588*G588 + F589*G589 + F590*G590 + F591*G591)/SUM(G587:G591)</f>
        <v>#VALUE!</v>
      </c>
      <c r="H593" s="66" t="s">
        <v>26</v>
      </c>
      <c r="I593" s="179" t="str">
        <f>(H587*I587 + H588*I588 + H589*I589 + H590*I590 + H591*I591)/SUM(I587:I591)</f>
        <v>#DIV/0!</v>
      </c>
      <c r="J593" s="161" t="s">
        <v>26</v>
      </c>
      <c r="K593" s="179" t="str">
        <f>(J587*K587 + J588*K588 + J589*K589 + J590*K590 + J591*K591)/SUM(K587:K591)</f>
        <v>#DIV/0!</v>
      </c>
      <c r="L593" s="66" t="s">
        <v>26</v>
      </c>
      <c r="M593" s="102" t="str">
        <f>(L587*M587 + L588*M588 + L589*M589 + L590*M590 + L591*M591)/SUM(M587:M591)</f>
        <v>#DIV/0!</v>
      </c>
      <c r="N593" s="161" t="s">
        <v>26</v>
      </c>
      <c r="O593" s="102" t="str">
        <f>(N587*O587 + N588*O588 + N589*O589 + N590*O590 + N591*O591)/SUM(O587:O591)</f>
        <v>#DIV/0!</v>
      </c>
      <c r="P593" s="30"/>
    </row>
    <row r="594" ht="14.25" customHeight="1">
      <c r="A594" s="168"/>
      <c r="B594" s="164" t="s">
        <v>421</v>
      </c>
      <c r="C594" s="180" t="s">
        <v>422</v>
      </c>
      <c r="D594" s="166" t="s">
        <v>421</v>
      </c>
      <c r="E594" s="167" t="s">
        <v>422</v>
      </c>
      <c r="F594" s="164" t="s">
        <v>421</v>
      </c>
      <c r="G594" s="167" t="s">
        <v>422</v>
      </c>
      <c r="H594" s="166" t="s">
        <v>421</v>
      </c>
      <c r="I594" s="167" t="s">
        <v>422</v>
      </c>
      <c r="J594" s="164" t="s">
        <v>421</v>
      </c>
      <c r="K594" s="167" t="s">
        <v>422</v>
      </c>
      <c r="L594" s="166" t="s">
        <v>421</v>
      </c>
      <c r="M594" s="167" t="s">
        <v>422</v>
      </c>
      <c r="N594" s="164" t="s">
        <v>421</v>
      </c>
      <c r="O594" s="167" t="s">
        <v>422</v>
      </c>
      <c r="P594" s="30"/>
    </row>
    <row r="595" ht="14.25" customHeight="1">
      <c r="A595" s="168"/>
      <c r="B595" s="171" t="s">
        <v>304</v>
      </c>
      <c r="C595" s="50"/>
      <c r="D595" s="172" t="s">
        <v>245</v>
      </c>
      <c r="E595" s="107"/>
      <c r="F595" s="171" t="s">
        <v>91</v>
      </c>
      <c r="G595" s="107" t="s">
        <v>49</v>
      </c>
      <c r="H595" s="172"/>
      <c r="I595" s="107"/>
      <c r="J595" s="171"/>
      <c r="K595" s="107"/>
      <c r="L595" s="172" t="s">
        <v>91</v>
      </c>
      <c r="M595" s="107" t="s">
        <v>90</v>
      </c>
      <c r="N595" s="171" t="s">
        <v>91</v>
      </c>
      <c r="O595" s="107" t="s">
        <v>90</v>
      </c>
      <c r="P595" s="30"/>
    </row>
    <row r="596" ht="14.25" customHeight="1">
      <c r="A596" s="168"/>
      <c r="B596" s="23" t="s">
        <v>235</v>
      </c>
      <c r="C596" s="109">
        <v>3.0</v>
      </c>
      <c r="D596" s="25">
        <v>45.0</v>
      </c>
      <c r="E596" s="109">
        <v>3.0</v>
      </c>
      <c r="F596" s="25" t="s">
        <v>513</v>
      </c>
      <c r="G596" s="26" t="s">
        <v>514</v>
      </c>
      <c r="H596" s="23"/>
      <c r="I596" s="26"/>
      <c r="J596" s="23"/>
      <c r="K596" s="26"/>
      <c r="L596" s="23"/>
      <c r="M596" s="93"/>
      <c r="N596" s="23"/>
      <c r="O596" s="26"/>
      <c r="P596" s="30"/>
    </row>
    <row r="597" ht="14.25" customHeight="1">
      <c r="A597" s="168"/>
      <c r="B597" s="23" t="s">
        <v>235</v>
      </c>
      <c r="C597" s="22">
        <v>3.0</v>
      </c>
      <c r="D597" s="25">
        <v>45.0</v>
      </c>
      <c r="E597" s="22">
        <v>3.0</v>
      </c>
      <c r="F597" s="25">
        <v>60.0</v>
      </c>
      <c r="G597" s="26"/>
      <c r="H597" s="23"/>
      <c r="I597" s="26"/>
      <c r="J597" s="23"/>
      <c r="K597" s="26"/>
      <c r="L597" s="23"/>
      <c r="M597" s="26"/>
      <c r="N597" s="23"/>
      <c r="O597" s="26"/>
      <c r="P597" s="30"/>
    </row>
    <row r="598" ht="14.25" customHeight="1">
      <c r="A598" s="168"/>
      <c r="B598" s="23" t="s">
        <v>235</v>
      </c>
      <c r="C598" s="22">
        <v>3.0</v>
      </c>
      <c r="D598" s="25">
        <v>45.0</v>
      </c>
      <c r="E598" s="22">
        <v>3.0</v>
      </c>
      <c r="F598" s="25">
        <v>60.0</v>
      </c>
      <c r="G598" s="26"/>
      <c r="H598" s="23"/>
      <c r="I598" s="26"/>
      <c r="J598" s="23"/>
      <c r="K598" s="26"/>
      <c r="L598" s="23"/>
      <c r="M598" s="26"/>
      <c r="N598" s="23"/>
      <c r="O598" s="26"/>
      <c r="P598" s="30"/>
    </row>
    <row r="599" ht="14.25" customHeight="1">
      <c r="A599" s="168"/>
      <c r="B599" s="23"/>
      <c r="C599" s="26"/>
      <c r="D599" s="23"/>
      <c r="E599" s="26"/>
      <c r="F599" s="23"/>
      <c r="G599" s="26"/>
      <c r="H599" s="23"/>
      <c r="I599" s="26"/>
      <c r="J599" s="23"/>
      <c r="K599" s="26"/>
      <c r="L599" s="23"/>
      <c r="M599" s="26"/>
      <c r="N599" s="23"/>
      <c r="O599" s="26"/>
      <c r="P599" s="30"/>
    </row>
    <row r="600" ht="14.25" customHeight="1">
      <c r="A600" s="168"/>
      <c r="B600" s="23"/>
      <c r="C600" s="26"/>
      <c r="D600" s="23"/>
      <c r="E600" s="26"/>
      <c r="F600" s="23"/>
      <c r="G600" s="93"/>
      <c r="H600" s="23"/>
      <c r="I600" s="26"/>
      <c r="J600" s="23"/>
      <c r="K600" s="93"/>
      <c r="L600" s="23"/>
      <c r="M600" s="26"/>
      <c r="N600" s="23"/>
      <c r="O600" s="93"/>
      <c r="P600" s="30"/>
    </row>
    <row r="601" ht="14.25" customHeight="1">
      <c r="A601" s="168"/>
      <c r="B601" s="23"/>
      <c r="C601" s="26"/>
      <c r="D601" s="30"/>
      <c r="E601" s="93"/>
      <c r="F601" s="23"/>
      <c r="G601" s="93"/>
      <c r="H601" s="30"/>
      <c r="I601" s="93"/>
      <c r="J601" s="23"/>
      <c r="K601" s="93"/>
      <c r="L601" s="30"/>
      <c r="M601" s="93"/>
      <c r="N601" s="23"/>
      <c r="O601" s="93"/>
      <c r="P601" s="30"/>
    </row>
    <row r="602" ht="14.25" customHeight="1">
      <c r="A602" s="168"/>
      <c r="B602" s="176" t="s">
        <v>25</v>
      </c>
      <c r="C602" s="182" t="str">
        <f>C596*B596 + B597*C597 + B598*C598 + B599*C599 + B601*C601</f>
        <v>#VALUE!</v>
      </c>
      <c r="D602" s="98" t="s">
        <v>25</v>
      </c>
      <c r="E602" s="97">
        <f>E596*D596 + D597*E597 + D598*E598 + D599*E599 + D601*E601</f>
        <v>405</v>
      </c>
      <c r="F602" s="176" t="s">
        <v>25</v>
      </c>
      <c r="G602" s="97" t="str">
        <f>G596*F596 + F597*G597 + F598*G598 + F599*G599 + F601*G601</f>
        <v>#VALUE!</v>
      </c>
      <c r="H602" s="98" t="s">
        <v>25</v>
      </c>
      <c r="I602" s="111">
        <f>I596*H596 + H597*I597 + H598*I598 + H599*I599 + H601*I601</f>
        <v>0</v>
      </c>
      <c r="J602" s="176" t="s">
        <v>25</v>
      </c>
      <c r="K602" s="97">
        <f>K596*J596 + J597*K597 + J598*K598 + J599*K599 + J601*K601</f>
        <v>0</v>
      </c>
      <c r="L602" s="98" t="s">
        <v>25</v>
      </c>
      <c r="M602" s="97">
        <f>M596*L596 + L597*M597 + L598*M598 + L599*M599 + L601*M601</f>
        <v>0</v>
      </c>
      <c r="N602" s="176" t="s">
        <v>25</v>
      </c>
      <c r="O602" s="97">
        <f>O596*N596 + N597*O597 + N598*O598 + N599*O599 + N601*O601</f>
        <v>0</v>
      </c>
      <c r="P602" s="30"/>
    </row>
    <row r="603" ht="14.25" customHeight="1">
      <c r="A603" s="168"/>
      <c r="B603" s="161" t="s">
        <v>26</v>
      </c>
      <c r="C603" s="183" t="str">
        <f>(B596*C596 + B597*C597 + B598*C598 + B599*C599 + B601*C601)/SUM(C596:C601)</f>
        <v>#VALUE!</v>
      </c>
      <c r="D603" s="66" t="s">
        <v>26</v>
      </c>
      <c r="E603" s="102">
        <f>(D596*E596 + D597*E597 + D598*E598 + D599*E599 + D601*E601)/SUM(E596:E601)</f>
        <v>45</v>
      </c>
      <c r="F603" s="161" t="s">
        <v>26</v>
      </c>
      <c r="G603" s="102" t="str">
        <f>(F596*G596 + F597*G597 + F598*G598 + F599*G599 + F601*G601)/SUM(G596:G601)</f>
        <v>#VALUE!</v>
      </c>
      <c r="H603" s="66" t="s">
        <v>26</v>
      </c>
      <c r="I603" s="102" t="str">
        <f>(H596*I596 + H597*I597 + H598*I598 + H599*I599 + H601*I601)/SUM(I596:I601)</f>
        <v>#DIV/0!</v>
      </c>
      <c r="J603" s="161" t="s">
        <v>26</v>
      </c>
      <c r="K603" s="102" t="str">
        <f>(J596*K596 + J597*K597 + J598*K598 + J599*K599 + J601*K601)/SUM(K596:K601)</f>
        <v>#DIV/0!</v>
      </c>
      <c r="L603" s="66" t="s">
        <v>26</v>
      </c>
      <c r="M603" s="102" t="str">
        <f>(L596*M596 + L597*M597 + L598*M598 + L599*M599 + L601*M601)/SUM(M596:M601)</f>
        <v>#DIV/0!</v>
      </c>
      <c r="N603" s="161" t="s">
        <v>26</v>
      </c>
      <c r="O603" s="102" t="str">
        <f>(N596*O596 + N597*O597 + N598*O598 + N599*O599 + N601*O601)/SUM(O596:O601)</f>
        <v>#DIV/0!</v>
      </c>
      <c r="P603" s="30"/>
    </row>
    <row r="604" ht="14.25" customHeight="1">
      <c r="A604" s="168"/>
      <c r="B604" s="171" t="s">
        <v>249</v>
      </c>
      <c r="C604" s="50"/>
      <c r="D604" s="172"/>
      <c r="E604" s="107"/>
      <c r="F604" s="192" t="s">
        <v>515</v>
      </c>
      <c r="G604" s="107"/>
      <c r="H604" s="172" t="s">
        <v>516</v>
      </c>
      <c r="I604" s="107"/>
      <c r="J604" s="171"/>
      <c r="K604" s="107"/>
      <c r="L604" s="172"/>
      <c r="M604" s="107"/>
      <c r="N604" s="171" t="s">
        <v>249</v>
      </c>
      <c r="O604" s="172"/>
      <c r="P604" s="30"/>
    </row>
    <row r="605" ht="14.25" customHeight="1">
      <c r="A605" s="168"/>
      <c r="B605" s="25">
        <v>3.0</v>
      </c>
      <c r="C605" s="26"/>
      <c r="D605" s="23"/>
      <c r="E605" s="26"/>
      <c r="F605" s="53" t="s">
        <v>517</v>
      </c>
      <c r="G605" s="26"/>
      <c r="H605" s="23" t="s">
        <v>33</v>
      </c>
      <c r="I605" s="93"/>
      <c r="J605" s="23"/>
      <c r="K605" s="26"/>
      <c r="L605" s="23"/>
      <c r="M605" s="26"/>
      <c r="N605" s="23"/>
      <c r="O605" s="22">
        <v>6.0</v>
      </c>
      <c r="P605" s="30"/>
    </row>
    <row r="606" ht="14.25" customHeight="1">
      <c r="A606" s="168"/>
      <c r="B606" s="25">
        <v>3.0</v>
      </c>
      <c r="C606" s="26"/>
      <c r="D606" s="23"/>
      <c r="E606" s="93"/>
      <c r="F606" s="53" t="s">
        <v>518</v>
      </c>
      <c r="G606" s="26"/>
      <c r="H606" s="23"/>
      <c r="I606" s="26"/>
      <c r="J606" s="23"/>
      <c r="K606" s="26"/>
      <c r="L606" s="23"/>
      <c r="M606" s="26"/>
      <c r="N606" s="23"/>
      <c r="O606" s="22">
        <v>6.0</v>
      </c>
      <c r="P606" s="30"/>
    </row>
    <row r="607" ht="14.25" customHeight="1">
      <c r="A607" s="168"/>
      <c r="B607" s="25">
        <v>3.0</v>
      </c>
      <c r="C607" s="26"/>
      <c r="D607" s="23"/>
      <c r="E607" s="93"/>
      <c r="F607" s="53" t="s">
        <v>519</v>
      </c>
      <c r="G607" s="26"/>
      <c r="H607" s="23"/>
      <c r="I607" s="26"/>
      <c r="J607" s="23"/>
      <c r="K607" s="26"/>
      <c r="L607" s="23"/>
      <c r="M607" s="93"/>
      <c r="N607" s="23"/>
      <c r="O607" s="22">
        <v>6.0</v>
      </c>
      <c r="P607" s="30"/>
    </row>
    <row r="608" ht="14.25" customHeight="1">
      <c r="A608" s="168"/>
      <c r="B608" s="23"/>
      <c r="C608" s="26"/>
      <c r="D608" s="23"/>
      <c r="E608" s="93"/>
      <c r="F608" s="23"/>
      <c r="G608" s="26"/>
      <c r="H608" s="23"/>
      <c r="I608" s="26"/>
      <c r="J608" s="23"/>
      <c r="K608" s="26"/>
      <c r="L608" s="23"/>
      <c r="M608" s="93"/>
      <c r="N608" s="23"/>
      <c r="O608" s="26"/>
      <c r="P608" s="30"/>
    </row>
    <row r="609" ht="14.25" customHeight="1">
      <c r="A609" s="168"/>
      <c r="B609" s="23"/>
      <c r="C609" s="26"/>
      <c r="D609" s="30"/>
      <c r="E609" s="93"/>
      <c r="F609" s="23"/>
      <c r="G609" s="93"/>
      <c r="H609" s="30"/>
      <c r="I609" s="93"/>
      <c r="J609" s="23"/>
      <c r="K609" s="93"/>
      <c r="L609" s="23"/>
      <c r="M609" s="93"/>
      <c r="N609" s="23"/>
      <c r="O609" s="93"/>
      <c r="P609" s="30"/>
    </row>
    <row r="610" ht="14.25" customHeight="1">
      <c r="A610" s="168"/>
      <c r="B610" s="176" t="s">
        <v>25</v>
      </c>
      <c r="C610" s="182">
        <f>C605*B605 + B606*C606 + B607*C607 + B608*C608 + B609*C609</f>
        <v>0</v>
      </c>
      <c r="D610" s="98" t="s">
        <v>25</v>
      </c>
      <c r="E610" s="97">
        <f>E605*D605 + D606*E606 + D607*E607 + D608*E608 + D609*E609</f>
        <v>0</v>
      </c>
      <c r="F610" s="176" t="s">
        <v>25</v>
      </c>
      <c r="G610" s="97" t="str">
        <f>G605*F605 + F606*G606 + F607*G607 + F608*G608 + F609*G609</f>
        <v>#VALUE!</v>
      </c>
      <c r="H610" s="98" t="s">
        <v>25</v>
      </c>
      <c r="I610" s="111" t="str">
        <f>I605*H605 + H606*I606 + H607*I607 + H608*I608 + H609*I609</f>
        <v>#VALUE!</v>
      </c>
      <c r="J610" s="176" t="s">
        <v>25</v>
      </c>
      <c r="K610" s="97" t="str">
        <f>K605*J605 + J606*K606 + #REF!*K607 + J607*K608 + J609*K609</f>
        <v>#REF!</v>
      </c>
      <c r="L610" s="176" t="s">
        <v>25</v>
      </c>
      <c r="M610" s="111">
        <f>M605*L605 + L606*M606 + L607*M607 + L608*M608 + L609*M609</f>
        <v>0</v>
      </c>
      <c r="N610" s="176" t="s">
        <v>25</v>
      </c>
      <c r="O610" s="111">
        <f>O605*N605 + N606*O606 + N607*O607 + N608*O608 + N609*O609</f>
        <v>0</v>
      </c>
      <c r="P610" s="30"/>
    </row>
    <row r="611" ht="14.25" customHeight="1">
      <c r="A611" s="168"/>
      <c r="B611" s="161" t="s">
        <v>26</v>
      </c>
      <c r="C611" s="183" t="str">
        <f>(B605*C605 + B606*C606 + B607*C607 + B608*C608 + B609*C609)/SUM(C605:C609)</f>
        <v>#DIV/0!</v>
      </c>
      <c r="D611" s="66" t="s">
        <v>26</v>
      </c>
      <c r="E611" s="102" t="str">
        <f>(D605*E605 + D606*E606 + D607*E607 + D608*E608 + D609*E609)/SUM(E605:E609)</f>
        <v>#DIV/0!</v>
      </c>
      <c r="F611" s="161" t="s">
        <v>26</v>
      </c>
      <c r="G611" s="102" t="str">
        <f>(F605*G605 + F606*G606 + F607*G607 + F608*G608 + F609*G609)/SUM(G605:G609)</f>
        <v>#VALUE!</v>
      </c>
      <c r="H611" s="66" t="s">
        <v>26</v>
      </c>
      <c r="I611" s="102" t="str">
        <f>(H605*I605 + H606*I606 + H607*I607 + H608*I608 + H609*I609)/SUM(I605:I609)</f>
        <v>#VALUE!</v>
      </c>
      <c r="J611" s="161" t="s">
        <v>26</v>
      </c>
      <c r="K611" s="102" t="str">
        <f>(J605*K605 + J606*K606 + #REF!*K607 + J607*K608 + J609*K609)/SUM(K605:K609)</f>
        <v>#REF!</v>
      </c>
      <c r="L611" s="66" t="s">
        <v>26</v>
      </c>
      <c r="M611" s="102" t="str">
        <f>(L605*M605 + L606*M606 + L607*M607 + L608*M608 + L609*M609)/SUM(M605:M609)</f>
        <v>#DIV/0!</v>
      </c>
      <c r="N611" s="66" t="s">
        <v>26</v>
      </c>
      <c r="O611" s="102">
        <f>(N605*O605 + N606*O606 + N607*O607 + N608*O608 + N609*O609)/SUM(O605:O609)</f>
        <v>0</v>
      </c>
      <c r="P611" s="30"/>
    </row>
    <row r="612" ht="14.25" customHeight="1">
      <c r="A612" s="168"/>
      <c r="B612" s="23" t="s">
        <v>489</v>
      </c>
      <c r="C612" s="61"/>
      <c r="D612" s="30" t="s">
        <v>489</v>
      </c>
      <c r="E612" s="60"/>
      <c r="F612" s="53" t="s">
        <v>520</v>
      </c>
      <c r="G612" s="60"/>
      <c r="H612" s="30" t="s">
        <v>489</v>
      </c>
      <c r="I612" s="60"/>
      <c r="J612" s="23"/>
      <c r="K612" s="60"/>
      <c r="L612" s="30"/>
      <c r="M612" s="60"/>
      <c r="N612" s="30"/>
      <c r="O612" s="60"/>
      <c r="P612" s="30"/>
    </row>
    <row r="613" ht="14.25" customHeight="1">
      <c r="A613" s="168"/>
      <c r="B613" s="30" t="s">
        <v>521</v>
      </c>
      <c r="C613" s="61"/>
      <c r="D613" s="30" t="s">
        <v>522</v>
      </c>
      <c r="E613" s="60"/>
      <c r="F613" s="51" t="s">
        <v>523</v>
      </c>
      <c r="G613" s="60"/>
      <c r="H613" s="30" t="s">
        <v>500</v>
      </c>
      <c r="I613" s="60"/>
      <c r="J613" s="23"/>
      <c r="K613" s="60"/>
      <c r="L613" s="30"/>
      <c r="M613" s="60"/>
      <c r="N613" s="30"/>
      <c r="O613" s="60"/>
      <c r="P613" s="30"/>
    </row>
    <row r="614" ht="14.25" customHeight="1">
      <c r="A614" s="168"/>
      <c r="B614" s="23" t="s">
        <v>490</v>
      </c>
      <c r="C614" s="61"/>
      <c r="D614" s="23" t="s">
        <v>490</v>
      </c>
      <c r="E614" s="60"/>
      <c r="F614" s="53" t="s">
        <v>524</v>
      </c>
      <c r="G614" s="60"/>
      <c r="H614" s="23"/>
      <c r="I614" s="60"/>
      <c r="J614" s="23"/>
      <c r="K614" s="60"/>
      <c r="L614" s="30"/>
      <c r="M614" s="60"/>
      <c r="N614" s="30"/>
      <c r="O614" s="60"/>
      <c r="P614" s="30"/>
    </row>
    <row r="615" ht="14.25" customHeight="1">
      <c r="A615" s="168"/>
      <c r="B615" s="23"/>
      <c r="C615" s="61"/>
      <c r="D615" s="23"/>
      <c r="E615" s="61"/>
      <c r="F615" s="23"/>
      <c r="G615" s="61"/>
      <c r="H615" s="30"/>
      <c r="I615" s="60"/>
      <c r="J615" s="23"/>
      <c r="K615" s="60"/>
      <c r="L615" s="23"/>
      <c r="M615" s="61"/>
      <c r="N615" s="23"/>
      <c r="O615" s="61"/>
      <c r="P615" s="30"/>
    </row>
    <row r="616" ht="14.25" customHeight="1">
      <c r="A616" s="168"/>
      <c r="B616" s="23"/>
      <c r="C616" s="61"/>
      <c r="D616" s="23"/>
      <c r="E616" s="60"/>
      <c r="F616" s="23"/>
      <c r="G616" s="60"/>
      <c r="H616" s="30"/>
      <c r="I616" s="60"/>
      <c r="J616" s="23"/>
      <c r="K616" s="60"/>
      <c r="L616" s="23"/>
      <c r="M616" s="60"/>
      <c r="N616" s="23"/>
      <c r="O616" s="60"/>
      <c r="P616" s="30"/>
    </row>
    <row r="617" ht="14.25" customHeight="1">
      <c r="A617" s="168"/>
      <c r="B617" s="23"/>
      <c r="C617" s="61"/>
      <c r="D617" s="23"/>
      <c r="E617" s="60"/>
      <c r="F617" s="23"/>
      <c r="G617" s="60"/>
      <c r="H617" s="30"/>
      <c r="I617" s="60"/>
      <c r="J617" s="23"/>
      <c r="K617" s="60"/>
      <c r="L617" s="23"/>
      <c r="M617" s="60"/>
      <c r="N617" s="23"/>
      <c r="O617" s="60"/>
      <c r="P617" s="30"/>
    </row>
    <row r="618" ht="14.25" customHeight="1">
      <c r="A618" s="185"/>
      <c r="B618" s="161"/>
      <c r="C618" s="186"/>
      <c r="D618" s="161"/>
      <c r="E618" s="67"/>
      <c r="F618" s="161"/>
      <c r="G618" s="67"/>
      <c r="H618" s="66"/>
      <c r="I618" s="67"/>
      <c r="J618" s="161"/>
      <c r="K618" s="67"/>
      <c r="L618" s="161"/>
      <c r="M618" s="67"/>
      <c r="N618" s="161"/>
      <c r="O618" s="67"/>
      <c r="P618" s="30"/>
    </row>
    <row r="619" ht="14.25" customHeight="1">
      <c r="A619" s="158"/>
      <c r="B619" s="159"/>
      <c r="C619" s="159"/>
      <c r="D619" s="158"/>
      <c r="E619" s="158"/>
      <c r="F619" s="159"/>
      <c r="G619" s="158"/>
      <c r="H619" s="158"/>
      <c r="I619" s="158"/>
      <c r="J619" s="159"/>
      <c r="K619" s="158"/>
      <c r="L619" s="159"/>
      <c r="M619" s="158"/>
      <c r="N619" s="159"/>
      <c r="O619" s="158"/>
      <c r="P619" s="30"/>
    </row>
    <row r="620" ht="14.25" customHeight="1">
      <c r="A620" s="160" t="s">
        <v>2</v>
      </c>
      <c r="B620" s="161" t="s">
        <v>3</v>
      </c>
      <c r="C620" s="162">
        <f>O583+1</f>
        <v>45272</v>
      </c>
      <c r="D620" s="66" t="s">
        <v>4</v>
      </c>
      <c r="E620" s="162">
        <f>C620+1</f>
        <v>45273</v>
      </c>
      <c r="F620" s="161" t="s">
        <v>5</v>
      </c>
      <c r="G620" s="162">
        <f>E620+1</f>
        <v>45274</v>
      </c>
      <c r="H620" s="66" t="s">
        <v>6</v>
      </c>
      <c r="I620" s="162">
        <f>G620+1</f>
        <v>45275</v>
      </c>
      <c r="J620" s="161" t="s">
        <v>7</v>
      </c>
      <c r="K620" s="162">
        <f>I620+1</f>
        <v>45276</v>
      </c>
      <c r="L620" s="66" t="s">
        <v>8</v>
      </c>
      <c r="M620" s="162">
        <f>K620+1</f>
        <v>45277</v>
      </c>
      <c r="N620" s="66" t="s">
        <v>9</v>
      </c>
      <c r="O620" s="162">
        <f>M620+1</f>
        <v>45278</v>
      </c>
      <c r="P620" s="30"/>
    </row>
    <row r="621" ht="14.25" customHeight="1">
      <c r="A621" s="189">
        <f>A584+1</f>
        <v>18</v>
      </c>
      <c r="B621" s="164" t="s">
        <v>421</v>
      </c>
      <c r="C621" s="165" t="s">
        <v>422</v>
      </c>
      <c r="D621" s="166" t="s">
        <v>421</v>
      </c>
      <c r="E621" s="165" t="s">
        <v>422</v>
      </c>
      <c r="F621" s="164" t="s">
        <v>421</v>
      </c>
      <c r="G621" s="165" t="s">
        <v>422</v>
      </c>
      <c r="H621" s="166" t="s">
        <v>421</v>
      </c>
      <c r="I621" s="165" t="s">
        <v>422</v>
      </c>
      <c r="J621" s="164" t="s">
        <v>421</v>
      </c>
      <c r="K621" s="165" t="s">
        <v>422</v>
      </c>
      <c r="L621" s="166" t="s">
        <v>421</v>
      </c>
      <c r="M621" s="165" t="s">
        <v>422</v>
      </c>
      <c r="N621" s="166" t="s">
        <v>421</v>
      </c>
      <c r="O621" s="165" t="s">
        <v>422</v>
      </c>
      <c r="P621" s="30"/>
    </row>
    <row r="622" ht="14.25" customHeight="1">
      <c r="A622" s="168"/>
      <c r="B622" s="193" t="s">
        <v>306</v>
      </c>
      <c r="C622" s="170"/>
      <c r="D622" s="169" t="s">
        <v>306</v>
      </c>
      <c r="E622" s="170"/>
      <c r="F622" s="169" t="s">
        <v>505</v>
      </c>
      <c r="G622" s="170"/>
      <c r="H622" s="169" t="s">
        <v>315</v>
      </c>
      <c r="I622" s="170"/>
      <c r="J622" s="169" t="s">
        <v>17</v>
      </c>
      <c r="K622" s="170"/>
      <c r="L622" s="169" t="s">
        <v>235</v>
      </c>
      <c r="M622" s="170"/>
      <c r="N622" s="169" t="s">
        <v>235</v>
      </c>
      <c r="O622" s="170"/>
      <c r="P622" s="30"/>
    </row>
    <row r="623" ht="14.25" customHeight="1">
      <c r="A623" s="168" t="s">
        <v>12</v>
      </c>
      <c r="B623" s="171" t="s">
        <v>506</v>
      </c>
      <c r="C623" s="107"/>
      <c r="D623" s="171" t="s">
        <v>507</v>
      </c>
      <c r="E623" s="107"/>
      <c r="F623" s="192" t="s">
        <v>508</v>
      </c>
      <c r="G623" s="107"/>
      <c r="H623" s="171" t="s">
        <v>509</v>
      </c>
      <c r="I623" s="107"/>
      <c r="J623" s="171"/>
      <c r="K623" s="107"/>
      <c r="L623" s="171"/>
      <c r="M623" s="107"/>
      <c r="N623" s="172"/>
      <c r="O623" s="107"/>
      <c r="P623" s="30"/>
    </row>
    <row r="624" ht="14.25" customHeight="1">
      <c r="A624" s="168"/>
      <c r="B624" s="25">
        <v>40.0</v>
      </c>
      <c r="C624" s="22">
        <v>3.0</v>
      </c>
      <c r="D624" s="25">
        <v>80.0</v>
      </c>
      <c r="E624" s="22">
        <v>3.0</v>
      </c>
      <c r="F624" s="25" t="s">
        <v>510</v>
      </c>
      <c r="G624" s="26"/>
      <c r="H624" s="23"/>
      <c r="I624" s="26"/>
      <c r="J624" s="23"/>
      <c r="K624" s="26"/>
      <c r="L624" s="23"/>
      <c r="M624" s="26"/>
      <c r="N624" s="30"/>
      <c r="O624" s="93"/>
      <c r="P624" s="30"/>
    </row>
    <row r="625" ht="14.25" customHeight="1">
      <c r="A625" s="168"/>
      <c r="B625" s="25">
        <v>50.0</v>
      </c>
      <c r="C625" s="22">
        <v>2.0</v>
      </c>
      <c r="D625" s="25">
        <v>90.0</v>
      </c>
      <c r="E625" s="22">
        <v>2.0</v>
      </c>
      <c r="F625" s="25" t="s">
        <v>511</v>
      </c>
      <c r="G625" s="26"/>
      <c r="H625" s="23"/>
      <c r="I625" s="26"/>
      <c r="J625" s="23"/>
      <c r="K625" s="26"/>
      <c r="L625" s="23"/>
      <c r="M625" s="26"/>
      <c r="N625" s="30"/>
      <c r="O625" s="93"/>
      <c r="P625" s="30"/>
    </row>
    <row r="626" ht="14.25" customHeight="1">
      <c r="A626" s="168"/>
      <c r="B626" s="25">
        <v>60.0</v>
      </c>
      <c r="C626" s="22">
        <v>1.0</v>
      </c>
      <c r="D626" s="25">
        <v>100.0</v>
      </c>
      <c r="E626" s="22">
        <v>1.0</v>
      </c>
      <c r="F626" s="25" t="s">
        <v>15</v>
      </c>
      <c r="G626" s="26"/>
      <c r="H626" s="23"/>
      <c r="I626" s="26"/>
      <c r="J626" s="23"/>
      <c r="K626" s="26"/>
      <c r="L626" s="23"/>
      <c r="M626" s="26"/>
      <c r="N626" s="30"/>
      <c r="O626" s="93"/>
      <c r="P626" s="30"/>
    </row>
    <row r="627" ht="14.25" customHeight="1">
      <c r="A627" s="168"/>
      <c r="B627" s="23"/>
      <c r="C627" s="93"/>
      <c r="D627" s="23"/>
      <c r="E627" s="26"/>
      <c r="F627" s="53" t="s">
        <v>512</v>
      </c>
      <c r="G627" s="26"/>
      <c r="H627" s="23"/>
      <c r="I627" s="26"/>
      <c r="J627" s="23"/>
      <c r="K627" s="26"/>
      <c r="L627" s="23"/>
      <c r="M627" s="26"/>
      <c r="N627" s="30"/>
      <c r="O627" s="93"/>
      <c r="P627" s="30"/>
    </row>
    <row r="628" ht="14.25" customHeight="1">
      <c r="A628" s="168"/>
      <c r="B628" s="23"/>
      <c r="C628" s="26"/>
      <c r="D628" s="23"/>
      <c r="E628" s="26"/>
      <c r="F628" s="23"/>
      <c r="G628" s="93"/>
      <c r="H628" s="30"/>
      <c r="I628" s="93"/>
      <c r="J628" s="23"/>
      <c r="K628" s="93"/>
      <c r="L628" s="30"/>
      <c r="M628" s="93"/>
      <c r="N628" s="30"/>
      <c r="O628" s="93"/>
      <c r="P628" s="30"/>
    </row>
    <row r="629" ht="14.25" customHeight="1">
      <c r="A629" s="168"/>
      <c r="B629" s="176" t="s">
        <v>25</v>
      </c>
      <c r="C629" s="177">
        <f>C624*B624 + B625*C625 + B626*C626 + B627*C627 + B628*C628</f>
        <v>280</v>
      </c>
      <c r="D629" s="98" t="s">
        <v>25</v>
      </c>
      <c r="E629" s="97" t="str">
        <f>E624*D624 + D625*#REF! + E625*E626 + D627*E627 + D628*E628</f>
        <v>#REF!</v>
      </c>
      <c r="F629" s="176" t="s">
        <v>25</v>
      </c>
      <c r="G629" s="111" t="str">
        <f>G624*F624 + F625*G625 + F626*G626 + F627*G627 + F628*G628</f>
        <v>#VALUE!</v>
      </c>
      <c r="H629" s="98" t="s">
        <v>25</v>
      </c>
      <c r="I629" s="111">
        <f>I624*H624 + H625*I625 + H626*I626 + H627*I627 + H628*I628</f>
        <v>0</v>
      </c>
      <c r="J629" s="176" t="s">
        <v>25</v>
      </c>
      <c r="K629" s="111">
        <f>K624*J624 + J625*K625 + J626*K626 + J627*K627 + J628*K628</f>
        <v>0</v>
      </c>
      <c r="L629" s="98" t="s">
        <v>25</v>
      </c>
      <c r="M629" s="97">
        <f>M624*L624 + L625*M625 + L626*M626 + L627*M627 + L628*M628</f>
        <v>0</v>
      </c>
      <c r="N629" s="98" t="s">
        <v>25</v>
      </c>
      <c r="O629" s="97">
        <f>O624*N624 + N625*O625 + N626*O626 + N627*O627 + N628*O628</f>
        <v>0</v>
      </c>
      <c r="P629" s="30"/>
    </row>
    <row r="630" ht="14.25" customHeight="1">
      <c r="A630" s="168"/>
      <c r="B630" s="161" t="s">
        <v>26</v>
      </c>
      <c r="C630" s="178">
        <f>(B624*C624 + B625*C625 + B626*C626 + B627*C627 + B628*C628)/SUM(C624:C628)</f>
        <v>46.66666667</v>
      </c>
      <c r="D630" s="66" t="s">
        <v>26</v>
      </c>
      <c r="E630" s="102" t="str">
        <f>(D624*E624 + D625*#REF! + E625*E626 + D627*E627 + D628*E628)/SUM(E624:E628)</f>
        <v>#REF!</v>
      </c>
      <c r="F630" s="161" t="s">
        <v>26</v>
      </c>
      <c r="G630" s="179" t="str">
        <f>(F624*G624 + F625*G625 + F626*G626 + F627*G627 + F628*G628)/SUM(G624:G628)</f>
        <v>#VALUE!</v>
      </c>
      <c r="H630" s="66" t="s">
        <v>26</v>
      </c>
      <c r="I630" s="179" t="str">
        <f>(H624*I624 + H625*I625 + H626*I626 + H627*I627 + H628*I628)/SUM(I624:I628)</f>
        <v>#DIV/0!</v>
      </c>
      <c r="J630" s="161" t="s">
        <v>26</v>
      </c>
      <c r="K630" s="179" t="str">
        <f>(J624*K624 + J625*K625 + J626*K626 + J627*K627 + J628*K628)/SUM(K624:K628)</f>
        <v>#DIV/0!</v>
      </c>
      <c r="L630" s="66" t="s">
        <v>26</v>
      </c>
      <c r="M630" s="102" t="str">
        <f>(L624*M624 + L625*M625 + L626*M626 + L627*M627 + L628*M628)/SUM(M624:M628)</f>
        <v>#DIV/0!</v>
      </c>
      <c r="N630" s="66" t="s">
        <v>26</v>
      </c>
      <c r="O630" s="102" t="str">
        <f>(N624*O624 + N625*O625 + N626*O626 + N627*O627 + N628*O628)/SUM(O624:O628)</f>
        <v>#DIV/0!</v>
      </c>
      <c r="P630" s="30"/>
    </row>
    <row r="631" ht="14.25" customHeight="1">
      <c r="A631" s="168"/>
      <c r="B631" s="164" t="s">
        <v>421</v>
      </c>
      <c r="C631" s="180" t="s">
        <v>422</v>
      </c>
      <c r="D631" s="166" t="s">
        <v>421</v>
      </c>
      <c r="E631" s="167" t="s">
        <v>422</v>
      </c>
      <c r="F631" s="164" t="s">
        <v>421</v>
      </c>
      <c r="G631" s="167" t="s">
        <v>422</v>
      </c>
      <c r="H631" s="166" t="s">
        <v>421</v>
      </c>
      <c r="I631" s="167" t="s">
        <v>422</v>
      </c>
      <c r="J631" s="164" t="s">
        <v>421</v>
      </c>
      <c r="K631" s="167" t="s">
        <v>422</v>
      </c>
      <c r="L631" s="166" t="s">
        <v>421</v>
      </c>
      <c r="M631" s="167" t="s">
        <v>422</v>
      </c>
      <c r="N631" s="166" t="s">
        <v>421</v>
      </c>
      <c r="O631" s="167" t="s">
        <v>422</v>
      </c>
      <c r="P631" s="30"/>
    </row>
    <row r="632" ht="14.25" customHeight="1">
      <c r="A632" s="168"/>
      <c r="B632" s="171" t="s">
        <v>304</v>
      </c>
      <c r="C632" s="50"/>
      <c r="D632" s="171" t="s">
        <v>245</v>
      </c>
      <c r="E632" s="107"/>
      <c r="F632" s="171" t="s">
        <v>91</v>
      </c>
      <c r="G632" s="50" t="s">
        <v>49</v>
      </c>
      <c r="H632" s="171"/>
      <c r="I632" s="50"/>
      <c r="J632" s="171"/>
      <c r="K632" s="107"/>
      <c r="L632" s="171" t="s">
        <v>91</v>
      </c>
      <c r="M632" s="107" t="s">
        <v>90</v>
      </c>
      <c r="N632" s="172" t="s">
        <v>91</v>
      </c>
      <c r="O632" s="107" t="s">
        <v>90</v>
      </c>
      <c r="P632" s="30"/>
    </row>
    <row r="633" ht="14.25" customHeight="1">
      <c r="A633" s="168"/>
      <c r="B633" s="23" t="s">
        <v>235</v>
      </c>
      <c r="C633" s="22">
        <v>3.0</v>
      </c>
      <c r="D633" s="25">
        <v>45.0</v>
      </c>
      <c r="E633" s="22">
        <v>3.0</v>
      </c>
      <c r="F633" s="25" t="s">
        <v>513</v>
      </c>
      <c r="G633" s="26" t="s">
        <v>514</v>
      </c>
      <c r="H633" s="23"/>
      <c r="I633" s="26"/>
      <c r="J633" s="23"/>
      <c r="K633" s="26"/>
      <c r="L633" s="23"/>
      <c r="M633" s="26"/>
      <c r="N633" s="30"/>
      <c r="O633" s="93"/>
      <c r="P633" s="30"/>
    </row>
    <row r="634" ht="14.25" customHeight="1">
      <c r="A634" s="168"/>
      <c r="B634" s="23" t="s">
        <v>235</v>
      </c>
      <c r="C634" s="22">
        <v>3.0</v>
      </c>
      <c r="D634" s="25">
        <v>45.0</v>
      </c>
      <c r="E634" s="22">
        <v>3.0</v>
      </c>
      <c r="F634" s="25">
        <v>60.0</v>
      </c>
      <c r="G634" s="26"/>
      <c r="H634" s="23"/>
      <c r="I634" s="26"/>
      <c r="J634" s="23"/>
      <c r="K634" s="26"/>
      <c r="L634" s="23"/>
      <c r="M634" s="26"/>
      <c r="N634" s="30"/>
      <c r="O634" s="93"/>
      <c r="P634" s="30"/>
    </row>
    <row r="635" ht="14.25" customHeight="1">
      <c r="A635" s="168"/>
      <c r="B635" s="23" t="s">
        <v>235</v>
      </c>
      <c r="C635" s="22">
        <v>3.0</v>
      </c>
      <c r="D635" s="25">
        <v>45.0</v>
      </c>
      <c r="E635" s="22">
        <v>3.0</v>
      </c>
      <c r="F635" s="25">
        <v>60.0</v>
      </c>
      <c r="G635" s="26"/>
      <c r="H635" s="23"/>
      <c r="I635" s="26"/>
      <c r="J635" s="23"/>
      <c r="K635" s="26"/>
      <c r="L635" s="23"/>
      <c r="M635" s="26"/>
      <c r="N635" s="30"/>
      <c r="O635" s="93"/>
      <c r="P635" s="30"/>
    </row>
    <row r="636" ht="14.25" customHeight="1">
      <c r="A636" s="168"/>
      <c r="B636" s="23"/>
      <c r="C636" s="26"/>
      <c r="D636" s="23"/>
      <c r="E636" s="26"/>
      <c r="F636" s="23"/>
      <c r="G636" s="93"/>
      <c r="H636" s="23"/>
      <c r="I636" s="26"/>
      <c r="J636" s="23"/>
      <c r="K636" s="26"/>
      <c r="L636" s="23"/>
      <c r="M636" s="26"/>
      <c r="N636" s="30"/>
      <c r="O636" s="93"/>
      <c r="P636" s="30"/>
    </row>
    <row r="637" ht="14.25" customHeight="1">
      <c r="A637" s="168"/>
      <c r="B637" s="23"/>
      <c r="C637" s="26"/>
      <c r="D637" s="30"/>
      <c r="E637" s="93"/>
      <c r="F637" s="23"/>
      <c r="G637" s="93"/>
      <c r="H637" s="30"/>
      <c r="I637" s="93"/>
      <c r="J637" s="23"/>
      <c r="K637" s="93"/>
      <c r="L637" s="30"/>
      <c r="M637" s="93"/>
      <c r="N637" s="30"/>
      <c r="O637" s="93"/>
      <c r="P637" s="30"/>
    </row>
    <row r="638" ht="14.25" customHeight="1">
      <c r="A638" s="168"/>
      <c r="B638" s="23"/>
      <c r="C638" s="26"/>
      <c r="D638" s="30"/>
      <c r="E638" s="93"/>
      <c r="F638" s="23"/>
      <c r="G638" s="93"/>
      <c r="H638" s="30"/>
      <c r="I638" s="93"/>
      <c r="J638" s="23"/>
      <c r="K638" s="93"/>
      <c r="L638" s="30"/>
      <c r="M638" s="93"/>
      <c r="N638" s="30"/>
      <c r="O638" s="93"/>
      <c r="P638" s="30"/>
    </row>
    <row r="639" ht="14.25" customHeight="1">
      <c r="A639" s="168"/>
      <c r="B639" s="176" t="s">
        <v>25</v>
      </c>
      <c r="C639" s="182" t="str">
        <f>C633*B633 + B634*C634 + B635*C635 + B636*C636 + B638*C638</f>
        <v>#VALUE!</v>
      </c>
      <c r="D639" s="98" t="s">
        <v>25</v>
      </c>
      <c r="E639" s="97">
        <f>E633*D633 + D634*E634 + D635*E635 + D636*E636 + D638*E638</f>
        <v>405</v>
      </c>
      <c r="F639" s="176" t="s">
        <v>25</v>
      </c>
      <c r="G639" s="97" t="str">
        <f>G633*F633 + F634*G634 + F635*G635 + F636*G636 + F638*G638</f>
        <v>#VALUE!</v>
      </c>
      <c r="H639" s="98" t="s">
        <v>25</v>
      </c>
      <c r="I639" s="111">
        <f>I633*H633 + H634*I634 + H635*I635 + H636*I636 + H638*I638</f>
        <v>0</v>
      </c>
      <c r="J639" s="176" t="s">
        <v>25</v>
      </c>
      <c r="K639" s="97">
        <f>K633*J633 + J634*K634 + J635*K635 + J636*K636 + J638*K638</f>
        <v>0</v>
      </c>
      <c r="L639" s="98" t="s">
        <v>25</v>
      </c>
      <c r="M639" s="97">
        <f>M633*L633 + L634*M634 + L635*M635 + L636*M636 + L638*M638</f>
        <v>0</v>
      </c>
      <c r="N639" s="98" t="s">
        <v>25</v>
      </c>
      <c r="O639" s="97">
        <f>O633*N633 + N634*O634 + N635*O635 + N636*O636 + N638*O638</f>
        <v>0</v>
      </c>
      <c r="P639" s="30"/>
    </row>
    <row r="640" ht="14.25" customHeight="1">
      <c r="A640" s="168"/>
      <c r="B640" s="161" t="s">
        <v>26</v>
      </c>
      <c r="C640" s="183" t="str">
        <f>(B633*C633 + B634*C634 + B635*C635 + B636*C636 + B638*C638)/SUM(C633:C638)</f>
        <v>#VALUE!</v>
      </c>
      <c r="D640" s="66" t="s">
        <v>26</v>
      </c>
      <c r="E640" s="102">
        <f>(D633*E633 + D634*E634 + D635*E635 + D636*E636 + D638*E638)/SUM(E633:E638)</f>
        <v>45</v>
      </c>
      <c r="F640" s="161" t="s">
        <v>26</v>
      </c>
      <c r="G640" s="102" t="str">
        <f>(F633*G633 + F634*G634 + F635*G635 + F636*G636 + F638*G638)/SUM(G633:G638)</f>
        <v>#VALUE!</v>
      </c>
      <c r="H640" s="66" t="s">
        <v>26</v>
      </c>
      <c r="I640" s="102" t="str">
        <f>(H633*I633 + H634*I634 + H635*I635 + H636*I636 + H638*I638)/SUM(I633:I638)</f>
        <v>#DIV/0!</v>
      </c>
      <c r="J640" s="161" t="s">
        <v>26</v>
      </c>
      <c r="K640" s="102" t="str">
        <f>(J633*K633 + J634*K634 + J635*K635 + J636*K636 + J638*K638)/SUM(K633:K638)</f>
        <v>#DIV/0!</v>
      </c>
      <c r="L640" s="66" t="s">
        <v>26</v>
      </c>
      <c r="M640" s="102" t="str">
        <f>(L633*M633 + L634*M634 + L635*M635 + L636*M636 + L638*M638)/SUM(M633:M638)</f>
        <v>#DIV/0!</v>
      </c>
      <c r="N640" s="66" t="s">
        <v>26</v>
      </c>
      <c r="O640" s="102" t="str">
        <f>(N633*O633 + N634*O634 + N635*O635 + N636*O636 + N638*O638)/SUM(O633:O638)</f>
        <v>#DIV/0!</v>
      </c>
      <c r="P640" s="30"/>
    </row>
    <row r="641" ht="14.25" customHeight="1">
      <c r="A641" s="168"/>
      <c r="B641" s="171" t="s">
        <v>249</v>
      </c>
      <c r="C641" s="50"/>
      <c r="D641" s="171"/>
      <c r="E641" s="50"/>
      <c r="F641" s="192" t="s">
        <v>515</v>
      </c>
      <c r="G641" s="50"/>
      <c r="H641" s="171" t="s">
        <v>516</v>
      </c>
      <c r="I641" s="107"/>
      <c r="J641" s="171"/>
      <c r="K641" s="107"/>
      <c r="L641" s="171"/>
      <c r="M641" s="50"/>
      <c r="N641" s="172" t="s">
        <v>249</v>
      </c>
      <c r="O641" s="172"/>
      <c r="P641" s="30"/>
    </row>
    <row r="642" ht="14.25" customHeight="1">
      <c r="A642" s="168"/>
      <c r="B642" s="25">
        <v>3.0</v>
      </c>
      <c r="C642" s="26"/>
      <c r="D642" s="23"/>
      <c r="E642" s="93"/>
      <c r="F642" s="53" t="s">
        <v>517</v>
      </c>
      <c r="G642" s="93"/>
      <c r="H642" s="23" t="s">
        <v>33</v>
      </c>
      <c r="I642" s="93"/>
      <c r="J642" s="23"/>
      <c r="K642" s="26"/>
      <c r="L642" s="23"/>
      <c r="M642" s="26"/>
      <c r="N642" s="30"/>
      <c r="O642" s="109">
        <v>6.0</v>
      </c>
      <c r="P642" s="30"/>
    </row>
    <row r="643" ht="14.25" customHeight="1">
      <c r="A643" s="168"/>
      <c r="B643" s="25">
        <v>3.0</v>
      </c>
      <c r="C643" s="26"/>
      <c r="D643" s="23"/>
      <c r="E643" s="93"/>
      <c r="F643" s="53" t="s">
        <v>518</v>
      </c>
      <c r="G643" s="93"/>
      <c r="H643" s="30"/>
      <c r="I643" s="26"/>
      <c r="J643" s="23"/>
      <c r="K643" s="26"/>
      <c r="L643" s="23"/>
      <c r="M643" s="93"/>
      <c r="N643" s="30"/>
      <c r="O643" s="109">
        <v>6.0</v>
      </c>
      <c r="P643" s="30"/>
    </row>
    <row r="644" ht="14.25" customHeight="1">
      <c r="A644" s="168"/>
      <c r="B644" s="25">
        <v>3.0</v>
      </c>
      <c r="C644" s="26"/>
      <c r="D644" s="23"/>
      <c r="E644" s="93"/>
      <c r="F644" s="53" t="s">
        <v>519</v>
      </c>
      <c r="G644" s="93"/>
      <c r="H644" s="30"/>
      <c r="I644" s="93"/>
      <c r="J644" s="23"/>
      <c r="K644" s="26"/>
      <c r="L644" s="23"/>
      <c r="M644" s="93"/>
      <c r="N644" s="30"/>
      <c r="O644" s="109">
        <v>6.0</v>
      </c>
      <c r="P644" s="30"/>
    </row>
    <row r="645" ht="14.25" customHeight="1">
      <c r="A645" s="168"/>
      <c r="B645" s="23"/>
      <c r="C645" s="26"/>
      <c r="D645" s="30"/>
      <c r="E645" s="93"/>
      <c r="F645" s="23"/>
      <c r="G645" s="93"/>
      <c r="H645" s="30"/>
      <c r="I645" s="93"/>
      <c r="J645" s="23"/>
      <c r="K645" s="93"/>
      <c r="L645" s="23"/>
      <c r="M645" s="93"/>
      <c r="N645" s="30"/>
      <c r="O645" s="93"/>
      <c r="P645" s="30"/>
    </row>
    <row r="646" ht="14.25" customHeight="1">
      <c r="A646" s="168"/>
      <c r="B646" s="23"/>
      <c r="C646" s="26"/>
      <c r="D646" s="30"/>
      <c r="E646" s="93"/>
      <c r="F646" s="23"/>
      <c r="G646" s="93"/>
      <c r="H646" s="30"/>
      <c r="I646" s="93"/>
      <c r="J646" s="23"/>
      <c r="K646" s="93"/>
      <c r="L646" s="23"/>
      <c r="M646" s="93"/>
      <c r="N646" s="30"/>
      <c r="O646" s="93"/>
      <c r="P646" s="30"/>
    </row>
    <row r="647" ht="14.25" customHeight="1">
      <c r="A647" s="168"/>
      <c r="B647" s="176" t="s">
        <v>25</v>
      </c>
      <c r="C647" s="182">
        <f>C642*B642 + B643*C643 + B644*C644 + B645*C645 + B646*C646</f>
        <v>0</v>
      </c>
      <c r="D647" s="98" t="s">
        <v>25</v>
      </c>
      <c r="E647" s="97">
        <f>E642*D642 + D643*E643 + D644*E644 + D645*E645 + D646*E646</f>
        <v>0</v>
      </c>
      <c r="F647" s="176" t="s">
        <v>25</v>
      </c>
      <c r="G647" s="97" t="str">
        <f>G642*F642 + F643*G643 + F644*G644 + F645*G645 + F646*G646</f>
        <v>#VALUE!</v>
      </c>
      <c r="H647" s="98" t="s">
        <v>25</v>
      </c>
      <c r="I647" s="111" t="str">
        <f>I642*H642 + H643*I643 + H644*I644 + H645*I645 + H646*I646</f>
        <v>#VALUE!</v>
      </c>
      <c r="J647" s="176" t="s">
        <v>25</v>
      </c>
      <c r="K647" s="97" t="str">
        <f>K642*J642 + J643*K643 + #REF!*K644 + J644*K645 + J646*K646</f>
        <v>#REF!</v>
      </c>
      <c r="L647" s="98" t="s">
        <v>25</v>
      </c>
      <c r="M647" s="111">
        <f>M642*L642 + L643*M643 + L644*M644 + L645*M645 + L646*M646</f>
        <v>0</v>
      </c>
      <c r="N647" s="98" t="s">
        <v>25</v>
      </c>
      <c r="O647" s="111">
        <f>O642*N642 + N643*O643 + N644*O644 + N645*O645 + N646*O646</f>
        <v>0</v>
      </c>
      <c r="P647" s="30"/>
    </row>
    <row r="648" ht="14.25" customHeight="1">
      <c r="A648" s="168"/>
      <c r="B648" s="161" t="s">
        <v>26</v>
      </c>
      <c r="C648" s="183" t="str">
        <f>(B642*C642 + B643*C643 + B644*C644 + B645*C645 + B646*C646)/SUM(C642:C646)</f>
        <v>#DIV/0!</v>
      </c>
      <c r="D648" s="66" t="s">
        <v>26</v>
      </c>
      <c r="E648" s="102" t="str">
        <f>(D642*E642 + D643*E643 + D644*E644 + D645*E645 + D646*E646)/SUM(E642:E646)</f>
        <v>#DIV/0!</v>
      </c>
      <c r="F648" s="161" t="s">
        <v>26</v>
      </c>
      <c r="G648" s="102" t="str">
        <f>(F642*G642 + F643*G643 + F644*G644 + F645*G645 + F646*G646)/SUM(G642:G646)</f>
        <v>#VALUE!</v>
      </c>
      <c r="H648" s="66" t="s">
        <v>26</v>
      </c>
      <c r="I648" s="102" t="str">
        <f>(H642*I642 + H643*I643 + H644*I644 + H645*I645 + H646*I646)/SUM(I642:I646)</f>
        <v>#VALUE!</v>
      </c>
      <c r="J648" s="161" t="s">
        <v>26</v>
      </c>
      <c r="K648" s="102" t="str">
        <f>(J642*K642 + J643*K643 + #REF!*K644 + J644*K645 + J646*K646)/SUM(K642:K646)</f>
        <v>#REF!</v>
      </c>
      <c r="L648" s="66" t="s">
        <v>26</v>
      </c>
      <c r="M648" s="102" t="str">
        <f>(L642*M642 + L643*M643 + L644*M644 + L645*M645 + L646*M646)/SUM(M642:M646)</f>
        <v>#DIV/0!</v>
      </c>
      <c r="N648" s="66" t="s">
        <v>26</v>
      </c>
      <c r="O648" s="102">
        <f>(N642*O642 + N643*O643 + N644*O644 + N645*O645 + N646*O646)/SUM(O642:O646)</f>
        <v>0</v>
      </c>
      <c r="P648" s="30"/>
    </row>
    <row r="649" ht="14.25" customHeight="1">
      <c r="A649" s="168"/>
      <c r="B649" s="23" t="s">
        <v>489</v>
      </c>
      <c r="C649" s="61"/>
      <c r="D649" s="30" t="s">
        <v>489</v>
      </c>
      <c r="E649" s="60"/>
      <c r="F649" s="53" t="s">
        <v>520</v>
      </c>
      <c r="G649" s="60"/>
      <c r="H649" s="30" t="s">
        <v>489</v>
      </c>
      <c r="I649" s="60"/>
      <c r="J649" s="23"/>
      <c r="K649" s="60"/>
      <c r="L649" s="30"/>
      <c r="M649" s="60"/>
      <c r="N649" s="30"/>
      <c r="O649" s="60"/>
      <c r="P649" s="30"/>
    </row>
    <row r="650" ht="14.25" customHeight="1">
      <c r="A650" s="168"/>
      <c r="B650" s="23" t="s">
        <v>521</v>
      </c>
      <c r="C650" s="61"/>
      <c r="D650" s="23" t="s">
        <v>522</v>
      </c>
      <c r="E650" s="60"/>
      <c r="F650" s="51" t="s">
        <v>523</v>
      </c>
      <c r="G650" s="60"/>
      <c r="H650" s="30" t="s">
        <v>500</v>
      </c>
      <c r="I650" s="60"/>
      <c r="J650" s="23"/>
      <c r="K650" s="60"/>
      <c r="L650" s="30"/>
      <c r="M650" s="60"/>
      <c r="N650" s="30"/>
      <c r="O650" s="60"/>
      <c r="P650" s="30"/>
    </row>
    <row r="651" ht="14.25" customHeight="1">
      <c r="A651" s="168"/>
      <c r="B651" s="23" t="s">
        <v>490</v>
      </c>
      <c r="C651" s="61"/>
      <c r="D651" s="23" t="s">
        <v>490</v>
      </c>
      <c r="E651" s="61"/>
      <c r="F651" s="53" t="s">
        <v>524</v>
      </c>
      <c r="G651" s="61"/>
      <c r="H651" s="30"/>
      <c r="I651" s="60"/>
      <c r="J651" s="23"/>
      <c r="K651" s="60"/>
      <c r="L651" s="23"/>
      <c r="M651" s="61"/>
      <c r="N651" s="30"/>
      <c r="O651" s="60"/>
      <c r="P651" s="30"/>
    </row>
    <row r="652" ht="14.25" customHeight="1">
      <c r="A652" s="168"/>
      <c r="B652" s="23"/>
      <c r="C652" s="61"/>
      <c r="D652" s="23"/>
      <c r="E652" s="60"/>
      <c r="F652" s="23"/>
      <c r="G652" s="60"/>
      <c r="H652" s="30"/>
      <c r="I652" s="60"/>
      <c r="J652" s="23"/>
      <c r="K652" s="60"/>
      <c r="L652" s="23"/>
      <c r="M652" s="60"/>
      <c r="N652" s="30"/>
      <c r="O652" s="60"/>
      <c r="P652" s="30"/>
    </row>
    <row r="653" ht="14.25" customHeight="1">
      <c r="A653" s="168"/>
      <c r="B653" s="23"/>
      <c r="C653" s="61"/>
      <c r="D653" s="23"/>
      <c r="E653" s="60"/>
      <c r="F653" s="23"/>
      <c r="G653" s="60"/>
      <c r="H653" s="30"/>
      <c r="I653" s="60"/>
      <c r="J653" s="23"/>
      <c r="K653" s="60"/>
      <c r="L653" s="23"/>
      <c r="M653" s="60"/>
      <c r="N653" s="30"/>
      <c r="O653" s="60"/>
      <c r="P653" s="30"/>
    </row>
    <row r="654" ht="14.25" customHeight="1">
      <c r="A654" s="168"/>
      <c r="B654" s="23"/>
      <c r="C654" s="61"/>
      <c r="D654" s="23"/>
      <c r="E654" s="60"/>
      <c r="F654" s="23"/>
      <c r="G654" s="60"/>
      <c r="H654" s="30"/>
      <c r="I654" s="60"/>
      <c r="J654" s="23"/>
      <c r="K654" s="60"/>
      <c r="L654" s="23"/>
      <c r="M654" s="60"/>
      <c r="N654" s="30"/>
      <c r="O654" s="60"/>
      <c r="P654" s="30"/>
    </row>
    <row r="655" ht="14.25" customHeight="1">
      <c r="A655" s="185"/>
      <c r="B655" s="161"/>
      <c r="C655" s="186"/>
      <c r="D655" s="66"/>
      <c r="E655" s="67"/>
      <c r="F655" s="161"/>
      <c r="G655" s="67"/>
      <c r="H655" s="66"/>
      <c r="I655" s="67"/>
      <c r="J655" s="161"/>
      <c r="K655" s="67"/>
      <c r="L655" s="161"/>
      <c r="M655" s="67"/>
      <c r="N655" s="66"/>
      <c r="O655" s="67"/>
      <c r="P655" s="30"/>
    </row>
    <row r="656" ht="14.25" customHeight="1">
      <c r="A656" s="158"/>
      <c r="B656" s="159"/>
      <c r="C656" s="159"/>
      <c r="D656" s="158"/>
      <c r="E656" s="158"/>
      <c r="F656" s="159"/>
      <c r="G656" s="158"/>
      <c r="H656" s="158"/>
      <c r="I656" s="158"/>
      <c r="J656" s="159"/>
      <c r="K656" s="158"/>
      <c r="L656" s="158"/>
      <c r="M656" s="158"/>
      <c r="N656" s="158"/>
      <c r="O656" s="158"/>
      <c r="P656" s="30"/>
    </row>
    <row r="657" ht="14.25" customHeight="1">
      <c r="A657" s="160" t="s">
        <v>2</v>
      </c>
      <c r="B657" s="161" t="s">
        <v>3</v>
      </c>
      <c r="C657" s="162">
        <f>O620+1</f>
        <v>45279</v>
      </c>
      <c r="D657" s="66" t="s">
        <v>4</v>
      </c>
      <c r="E657" s="162">
        <f>C657+1</f>
        <v>45280</v>
      </c>
      <c r="F657" s="161" t="s">
        <v>5</v>
      </c>
      <c r="G657" s="162">
        <f>E657+1</f>
        <v>45281</v>
      </c>
      <c r="H657" s="66" t="s">
        <v>6</v>
      </c>
      <c r="I657" s="162">
        <f>G657+1</f>
        <v>45282</v>
      </c>
      <c r="J657" s="161" t="s">
        <v>7</v>
      </c>
      <c r="K657" s="162">
        <f>I657+1</f>
        <v>45283</v>
      </c>
      <c r="L657" s="66" t="s">
        <v>8</v>
      </c>
      <c r="M657" s="162">
        <f>K657+1</f>
        <v>45284</v>
      </c>
      <c r="N657" s="66" t="s">
        <v>9</v>
      </c>
      <c r="O657" s="162">
        <f>M657+1</f>
        <v>45285</v>
      </c>
      <c r="P657" s="30"/>
    </row>
    <row r="658" ht="14.25" customHeight="1">
      <c r="A658" s="163">
        <f>A621+1</f>
        <v>19</v>
      </c>
      <c r="B658" s="164" t="s">
        <v>421</v>
      </c>
      <c r="C658" s="165" t="s">
        <v>422</v>
      </c>
      <c r="D658" s="166" t="s">
        <v>421</v>
      </c>
      <c r="E658" s="165" t="s">
        <v>422</v>
      </c>
      <c r="F658" s="164" t="s">
        <v>421</v>
      </c>
      <c r="G658" s="165" t="s">
        <v>422</v>
      </c>
      <c r="H658" s="166" t="s">
        <v>421</v>
      </c>
      <c r="I658" s="165" t="s">
        <v>422</v>
      </c>
      <c r="J658" s="164" t="s">
        <v>421</v>
      </c>
      <c r="K658" s="165" t="s">
        <v>422</v>
      </c>
      <c r="L658" s="166" t="s">
        <v>421</v>
      </c>
      <c r="M658" s="165" t="s">
        <v>422</v>
      </c>
      <c r="N658" s="166" t="s">
        <v>421</v>
      </c>
      <c r="O658" s="165" t="s">
        <v>422</v>
      </c>
      <c r="P658" s="30"/>
    </row>
    <row r="659" ht="14.25" customHeight="1">
      <c r="A659" s="168"/>
      <c r="B659" s="193" t="s">
        <v>306</v>
      </c>
      <c r="C659" s="170"/>
      <c r="D659" s="169" t="s">
        <v>306</v>
      </c>
      <c r="E659" s="170"/>
      <c r="F659" s="169" t="s">
        <v>505</v>
      </c>
      <c r="G659" s="170"/>
      <c r="H659" s="169" t="s">
        <v>315</v>
      </c>
      <c r="I659" s="170"/>
      <c r="J659" s="169" t="s">
        <v>17</v>
      </c>
      <c r="K659" s="170"/>
      <c r="L659" s="169" t="s">
        <v>235</v>
      </c>
      <c r="M659" s="170"/>
      <c r="N659" s="169" t="s">
        <v>235</v>
      </c>
      <c r="O659" s="170"/>
      <c r="P659" s="30"/>
    </row>
    <row r="660" ht="14.25" customHeight="1">
      <c r="A660" s="168" t="s">
        <v>12</v>
      </c>
      <c r="B660" s="171" t="s">
        <v>506</v>
      </c>
      <c r="C660" s="107"/>
      <c r="D660" s="171" t="s">
        <v>507</v>
      </c>
      <c r="E660" s="107"/>
      <c r="F660" s="192" t="s">
        <v>508</v>
      </c>
      <c r="G660" s="107"/>
      <c r="H660" s="171" t="s">
        <v>509</v>
      </c>
      <c r="I660" s="107"/>
      <c r="J660" s="171"/>
      <c r="K660" s="107"/>
      <c r="L660" s="171"/>
      <c r="M660" s="107"/>
      <c r="N660" s="172"/>
      <c r="O660" s="107"/>
      <c r="P660" s="30"/>
    </row>
    <row r="661" ht="14.25" customHeight="1">
      <c r="A661" s="168"/>
      <c r="B661" s="25">
        <v>40.0</v>
      </c>
      <c r="C661" s="22">
        <v>3.0</v>
      </c>
      <c r="D661" s="25">
        <v>80.0</v>
      </c>
      <c r="E661" s="22">
        <v>3.0</v>
      </c>
      <c r="F661" s="25" t="s">
        <v>510</v>
      </c>
      <c r="G661" s="26"/>
      <c r="H661" s="23"/>
      <c r="I661" s="26"/>
      <c r="J661" s="23"/>
      <c r="K661" s="26"/>
      <c r="L661" s="23"/>
      <c r="M661" s="26"/>
      <c r="N661" s="30"/>
      <c r="O661" s="93"/>
      <c r="P661" s="30"/>
    </row>
    <row r="662" ht="14.25" customHeight="1">
      <c r="A662" s="168"/>
      <c r="B662" s="25">
        <v>50.0</v>
      </c>
      <c r="C662" s="22">
        <v>2.0</v>
      </c>
      <c r="D662" s="25">
        <v>90.0</v>
      </c>
      <c r="E662" s="22">
        <v>2.0</v>
      </c>
      <c r="F662" s="25" t="s">
        <v>511</v>
      </c>
      <c r="G662" s="26"/>
      <c r="H662" s="23"/>
      <c r="I662" s="26"/>
      <c r="J662" s="23"/>
      <c r="K662" s="26"/>
      <c r="L662" s="23"/>
      <c r="M662" s="26"/>
      <c r="N662" s="30"/>
      <c r="O662" s="93"/>
      <c r="P662" s="30"/>
    </row>
    <row r="663" ht="14.25" customHeight="1">
      <c r="A663" s="168"/>
      <c r="B663" s="25">
        <v>60.0</v>
      </c>
      <c r="C663" s="22">
        <v>1.0</v>
      </c>
      <c r="D663" s="25">
        <v>100.0</v>
      </c>
      <c r="E663" s="22">
        <v>1.0</v>
      </c>
      <c r="F663" s="25" t="s">
        <v>15</v>
      </c>
      <c r="G663" s="26"/>
      <c r="H663" s="23"/>
      <c r="I663" s="26"/>
      <c r="J663" s="23"/>
      <c r="K663" s="26"/>
      <c r="L663" s="23"/>
      <c r="M663" s="26"/>
      <c r="N663" s="30"/>
      <c r="O663" s="93"/>
      <c r="P663" s="30"/>
    </row>
    <row r="664" ht="14.25" customHeight="1">
      <c r="A664" s="168"/>
      <c r="B664" s="23"/>
      <c r="C664" s="93"/>
      <c r="D664" s="23"/>
      <c r="E664" s="26"/>
      <c r="F664" s="53" t="s">
        <v>512</v>
      </c>
      <c r="G664" s="26"/>
      <c r="H664" s="23"/>
      <c r="I664" s="26"/>
      <c r="J664" s="23"/>
      <c r="K664" s="26"/>
      <c r="L664" s="23"/>
      <c r="M664" s="26"/>
      <c r="N664" s="30"/>
      <c r="O664" s="93"/>
      <c r="P664" s="30"/>
    </row>
    <row r="665" ht="14.25" customHeight="1">
      <c r="A665" s="168"/>
      <c r="B665" s="23"/>
      <c r="C665" s="26"/>
      <c r="D665" s="23"/>
      <c r="E665" s="26"/>
      <c r="F665" s="23"/>
      <c r="G665" s="93"/>
      <c r="H665" s="30"/>
      <c r="I665" s="93"/>
      <c r="J665" s="23"/>
      <c r="K665" s="93"/>
      <c r="L665" s="30"/>
      <c r="M665" s="93"/>
      <c r="N665" s="30"/>
      <c r="O665" s="93"/>
      <c r="P665" s="30"/>
    </row>
    <row r="666" ht="14.25" customHeight="1">
      <c r="A666" s="168"/>
      <c r="B666" s="176" t="s">
        <v>25</v>
      </c>
      <c r="C666" s="177">
        <f>C661*B661 + B662*C662 + B663*C663 + B664*C664 + B665*C665</f>
        <v>280</v>
      </c>
      <c r="D666" s="98" t="s">
        <v>25</v>
      </c>
      <c r="E666" s="97" t="str">
        <f>E661*D661 + D662*#REF! + E662*E663 + D664*E664 + D665*E665</f>
        <v>#REF!</v>
      </c>
      <c r="F666" s="176" t="s">
        <v>25</v>
      </c>
      <c r="G666" s="111" t="str">
        <f>G661*F661 + F662*G662 + F663*G663 + F664*G664 + F665*G665</f>
        <v>#VALUE!</v>
      </c>
      <c r="H666" s="98" t="s">
        <v>25</v>
      </c>
      <c r="I666" s="111">
        <f>I661*H661 + H662*I662 + H663*I663 + H664*I664 + H665*I665</f>
        <v>0</v>
      </c>
      <c r="J666" s="176" t="s">
        <v>25</v>
      </c>
      <c r="K666" s="111">
        <f>K661*J661 + J662*K662 + J663*K663 + J664*K664 + J665*K665</f>
        <v>0</v>
      </c>
      <c r="L666" s="98" t="s">
        <v>25</v>
      </c>
      <c r="M666" s="97">
        <f>M661*L661 + L662*M662 + L663*M663 + L664*M664 + L665*M665</f>
        <v>0</v>
      </c>
      <c r="N666" s="98" t="s">
        <v>25</v>
      </c>
      <c r="O666" s="97">
        <f>O661*N661 + N662*O662 + N663*O663 + N664*O664 + N665*O665</f>
        <v>0</v>
      </c>
      <c r="P666" s="30"/>
    </row>
    <row r="667" ht="14.25" customHeight="1">
      <c r="A667" s="168"/>
      <c r="B667" s="161" t="s">
        <v>26</v>
      </c>
      <c r="C667" s="178">
        <f>(B661*C661 + B662*C662 + B663*C663 + B664*C664 + B665*C665)/SUM(C661:C665)</f>
        <v>46.66666667</v>
      </c>
      <c r="D667" s="66" t="s">
        <v>26</v>
      </c>
      <c r="E667" s="102" t="str">
        <f>(D661*E661 + D662*#REF! + E662*E663 + D664*E664 + D665*E665)/SUM(E661:E665)</f>
        <v>#REF!</v>
      </c>
      <c r="F667" s="161" t="s">
        <v>26</v>
      </c>
      <c r="G667" s="179" t="str">
        <f>(F661*G661 + F662*G662 + F663*G663 + F664*G664 + F665*G665)/SUM(G661:G665)</f>
        <v>#VALUE!</v>
      </c>
      <c r="H667" s="66" t="s">
        <v>26</v>
      </c>
      <c r="I667" s="179" t="str">
        <f>(H661*I661 + H662*I662 + H663*I663 + H664*I664 + H665*I665)/SUM(I661:I665)</f>
        <v>#DIV/0!</v>
      </c>
      <c r="J667" s="161" t="s">
        <v>26</v>
      </c>
      <c r="K667" s="179" t="str">
        <f>(J661*K661 + J662*K662 + J663*K663 + J664*K664 + J665*K665)/SUM(K661:K665)</f>
        <v>#DIV/0!</v>
      </c>
      <c r="L667" s="66" t="s">
        <v>26</v>
      </c>
      <c r="M667" s="102" t="str">
        <f>(L661*M661 + L662*M662 + L663*M663 + L664*M664 + L665*M665)/SUM(M661:M665)</f>
        <v>#DIV/0!</v>
      </c>
      <c r="N667" s="66" t="s">
        <v>26</v>
      </c>
      <c r="O667" s="102" t="str">
        <f>(N661*O661 + N662*O662 + N663*O663 + N664*O664 + N665*O665)/SUM(O661:O665)</f>
        <v>#DIV/0!</v>
      </c>
      <c r="P667" s="30"/>
    </row>
    <row r="668" ht="14.25" customHeight="1">
      <c r="A668" s="168"/>
      <c r="B668" s="164" t="s">
        <v>421</v>
      </c>
      <c r="C668" s="180" t="s">
        <v>422</v>
      </c>
      <c r="D668" s="166" t="s">
        <v>421</v>
      </c>
      <c r="E668" s="167" t="s">
        <v>422</v>
      </c>
      <c r="F668" s="164" t="s">
        <v>421</v>
      </c>
      <c r="G668" s="167" t="s">
        <v>422</v>
      </c>
      <c r="H668" s="166" t="s">
        <v>421</v>
      </c>
      <c r="I668" s="167" t="s">
        <v>422</v>
      </c>
      <c r="J668" s="164" t="s">
        <v>421</v>
      </c>
      <c r="K668" s="167" t="s">
        <v>422</v>
      </c>
      <c r="L668" s="166" t="s">
        <v>421</v>
      </c>
      <c r="M668" s="167" t="s">
        <v>422</v>
      </c>
      <c r="N668" s="166" t="s">
        <v>421</v>
      </c>
      <c r="O668" s="167" t="s">
        <v>422</v>
      </c>
      <c r="P668" s="30"/>
    </row>
    <row r="669" ht="14.25" customHeight="1">
      <c r="A669" s="168"/>
      <c r="B669" s="171" t="s">
        <v>304</v>
      </c>
      <c r="C669" s="50"/>
      <c r="D669" s="171" t="s">
        <v>245</v>
      </c>
      <c r="E669" s="107"/>
      <c r="F669" s="171" t="s">
        <v>91</v>
      </c>
      <c r="G669" s="50" t="s">
        <v>49</v>
      </c>
      <c r="H669" s="171"/>
      <c r="I669" s="50"/>
      <c r="J669" s="171"/>
      <c r="K669" s="107"/>
      <c r="L669" s="171" t="s">
        <v>91</v>
      </c>
      <c r="M669" s="107" t="s">
        <v>90</v>
      </c>
      <c r="N669" s="172" t="s">
        <v>91</v>
      </c>
      <c r="O669" s="107" t="s">
        <v>90</v>
      </c>
      <c r="P669" s="30"/>
    </row>
    <row r="670" ht="14.25" customHeight="1">
      <c r="A670" s="168"/>
      <c r="B670" s="23" t="s">
        <v>235</v>
      </c>
      <c r="C670" s="22">
        <v>3.0</v>
      </c>
      <c r="D670" s="25">
        <v>45.0</v>
      </c>
      <c r="E670" s="22">
        <v>3.0</v>
      </c>
      <c r="F670" s="25" t="s">
        <v>513</v>
      </c>
      <c r="G670" s="26" t="s">
        <v>514</v>
      </c>
      <c r="H670" s="23"/>
      <c r="I670" s="26"/>
      <c r="J670" s="23"/>
      <c r="K670" s="26"/>
      <c r="L670" s="23"/>
      <c r="M670" s="26"/>
      <c r="N670" s="30"/>
      <c r="O670" s="93"/>
      <c r="P670" s="30"/>
    </row>
    <row r="671" ht="14.25" customHeight="1">
      <c r="A671" s="168"/>
      <c r="B671" s="23" t="s">
        <v>235</v>
      </c>
      <c r="C671" s="22">
        <v>3.0</v>
      </c>
      <c r="D671" s="25">
        <v>45.0</v>
      </c>
      <c r="E671" s="22">
        <v>3.0</v>
      </c>
      <c r="F671" s="25">
        <v>60.0</v>
      </c>
      <c r="G671" s="26"/>
      <c r="H671" s="23"/>
      <c r="I671" s="26"/>
      <c r="J671" s="23"/>
      <c r="K671" s="26"/>
      <c r="L671" s="23"/>
      <c r="M671" s="26"/>
      <c r="N671" s="30"/>
      <c r="O671" s="93"/>
      <c r="P671" s="30"/>
    </row>
    <row r="672" ht="14.25" customHeight="1">
      <c r="A672" s="168"/>
      <c r="B672" s="23" t="s">
        <v>235</v>
      </c>
      <c r="C672" s="22">
        <v>3.0</v>
      </c>
      <c r="D672" s="25">
        <v>45.0</v>
      </c>
      <c r="E672" s="22">
        <v>3.0</v>
      </c>
      <c r="F672" s="25">
        <v>60.0</v>
      </c>
      <c r="G672" s="26"/>
      <c r="H672" s="23"/>
      <c r="I672" s="26"/>
      <c r="J672" s="23"/>
      <c r="K672" s="26"/>
      <c r="L672" s="23"/>
      <c r="M672" s="26"/>
      <c r="N672" s="30"/>
      <c r="O672" s="93"/>
      <c r="P672" s="30"/>
    </row>
    <row r="673" ht="14.25" customHeight="1">
      <c r="A673" s="168"/>
      <c r="B673" s="23"/>
      <c r="C673" s="26"/>
      <c r="D673" s="23"/>
      <c r="E673" s="26"/>
      <c r="F673" s="23"/>
      <c r="G673" s="93"/>
      <c r="H673" s="23"/>
      <c r="I673" s="26"/>
      <c r="J673" s="23"/>
      <c r="K673" s="26"/>
      <c r="L673" s="23"/>
      <c r="M673" s="26"/>
      <c r="N673" s="30"/>
      <c r="O673" s="93"/>
      <c r="P673" s="30"/>
    </row>
    <row r="674" ht="14.25" customHeight="1">
      <c r="A674" s="168"/>
      <c r="B674" s="23"/>
      <c r="C674" s="26"/>
      <c r="D674" s="30"/>
      <c r="E674" s="93"/>
      <c r="F674" s="23"/>
      <c r="G674" s="93"/>
      <c r="H674" s="30"/>
      <c r="I674" s="93"/>
      <c r="J674" s="23"/>
      <c r="K674" s="93"/>
      <c r="L674" s="30"/>
      <c r="M674" s="93"/>
      <c r="N674" s="30"/>
      <c r="O674" s="93"/>
      <c r="P674" s="30"/>
    </row>
    <row r="675" ht="14.25" customHeight="1">
      <c r="A675" s="168"/>
      <c r="B675" s="23"/>
      <c r="C675" s="26"/>
      <c r="D675" s="30"/>
      <c r="E675" s="93"/>
      <c r="F675" s="23"/>
      <c r="G675" s="93"/>
      <c r="H675" s="30"/>
      <c r="I675" s="93"/>
      <c r="J675" s="23"/>
      <c r="K675" s="93"/>
      <c r="L675" s="30"/>
      <c r="M675" s="93"/>
      <c r="N675" s="30"/>
      <c r="O675" s="93"/>
      <c r="P675" s="30"/>
    </row>
    <row r="676" ht="14.25" customHeight="1">
      <c r="A676" s="168"/>
      <c r="B676" s="176" t="s">
        <v>25</v>
      </c>
      <c r="C676" s="182" t="str">
        <f>C670*B670 + B671*C671 + B672*C672 + B673*C673 + B675*C675</f>
        <v>#VALUE!</v>
      </c>
      <c r="D676" s="98" t="s">
        <v>25</v>
      </c>
      <c r="E676" s="97">
        <f>E670*D670 + D671*E671 + D672*E672 + D673*E673 + D675*E675</f>
        <v>405</v>
      </c>
      <c r="F676" s="176" t="s">
        <v>25</v>
      </c>
      <c r="G676" s="97" t="str">
        <f>G670*F670 + F671*G671 + F672*G672 + F673*G673 + F675*G675</f>
        <v>#VALUE!</v>
      </c>
      <c r="H676" s="98" t="s">
        <v>25</v>
      </c>
      <c r="I676" s="111">
        <f>I670*H670 + H671*I671 + H672*I672 + H673*I673 + H675*I675</f>
        <v>0</v>
      </c>
      <c r="J676" s="176" t="s">
        <v>25</v>
      </c>
      <c r="K676" s="97">
        <f>K670*J670 + J671*K671 + J672*K672 + J673*K673 + J675*K675</f>
        <v>0</v>
      </c>
      <c r="L676" s="98" t="s">
        <v>25</v>
      </c>
      <c r="M676" s="97">
        <f>M670*L670 + L671*M671 + L672*M672 + L673*M673 + L675*M675</f>
        <v>0</v>
      </c>
      <c r="N676" s="98" t="s">
        <v>25</v>
      </c>
      <c r="O676" s="97">
        <f>O670*N670 + N671*O671 + N672*O672 + N673*O673 + N675*O675</f>
        <v>0</v>
      </c>
      <c r="P676" s="30"/>
    </row>
    <row r="677" ht="14.25" customHeight="1">
      <c r="A677" s="168"/>
      <c r="B677" s="161" t="s">
        <v>26</v>
      </c>
      <c r="C677" s="183" t="str">
        <f>(B670*C670 + B671*C671 + B672*C672 + B673*C673 + B675*C675)/SUM(C670:C675)</f>
        <v>#VALUE!</v>
      </c>
      <c r="D677" s="66" t="s">
        <v>26</v>
      </c>
      <c r="E677" s="102">
        <f>(D670*E670 + D671*E671 + D672*E672 + D673*E673 + D675*E675)/SUM(E670:E675)</f>
        <v>45</v>
      </c>
      <c r="F677" s="161" t="s">
        <v>26</v>
      </c>
      <c r="G677" s="102" t="str">
        <f>(F670*G670 + F671*G671 + F672*G672 + F673*G673 + F675*G675)/SUM(G670:G675)</f>
        <v>#VALUE!</v>
      </c>
      <c r="H677" s="66" t="s">
        <v>26</v>
      </c>
      <c r="I677" s="102" t="str">
        <f>(H670*I670 + H671*I671 + H672*I672 + H673*I673 + H675*I675)/SUM(I670:I675)</f>
        <v>#DIV/0!</v>
      </c>
      <c r="J677" s="161" t="s">
        <v>26</v>
      </c>
      <c r="K677" s="102" t="str">
        <f>(J670*K670 + J671*K671 + J672*K672 + J673*K673 + J675*K675)/SUM(K670:K675)</f>
        <v>#DIV/0!</v>
      </c>
      <c r="L677" s="66" t="s">
        <v>26</v>
      </c>
      <c r="M677" s="102" t="str">
        <f>(L670*M670 + L671*M671 + L672*M672 + L673*M673 + L675*M675)/SUM(M670:M675)</f>
        <v>#DIV/0!</v>
      </c>
      <c r="N677" s="66" t="s">
        <v>26</v>
      </c>
      <c r="O677" s="102" t="str">
        <f>(N670*O670 + N671*O671 + N672*O672 + N673*O673 + N675*O675)/SUM(O670:O675)</f>
        <v>#DIV/0!</v>
      </c>
      <c r="P677" s="30"/>
    </row>
    <row r="678" ht="14.25" customHeight="1">
      <c r="A678" s="168"/>
      <c r="B678" s="171" t="s">
        <v>249</v>
      </c>
      <c r="C678" s="50"/>
      <c r="D678" s="171"/>
      <c r="E678" s="50"/>
      <c r="F678" s="192" t="s">
        <v>515</v>
      </c>
      <c r="G678" s="50"/>
      <c r="H678" s="171" t="s">
        <v>516</v>
      </c>
      <c r="I678" s="107"/>
      <c r="J678" s="171"/>
      <c r="K678" s="107"/>
      <c r="L678" s="171"/>
      <c r="M678" s="50"/>
      <c r="N678" s="172" t="s">
        <v>249</v>
      </c>
      <c r="O678" s="172"/>
      <c r="P678" s="30"/>
    </row>
    <row r="679" ht="14.25" customHeight="1">
      <c r="A679" s="168"/>
      <c r="B679" s="25">
        <v>3.0</v>
      </c>
      <c r="C679" s="26"/>
      <c r="D679" s="23"/>
      <c r="E679" s="93"/>
      <c r="F679" s="53" t="s">
        <v>517</v>
      </c>
      <c r="G679" s="93"/>
      <c r="H679" s="23" t="s">
        <v>33</v>
      </c>
      <c r="I679" s="93"/>
      <c r="J679" s="23"/>
      <c r="K679" s="26"/>
      <c r="L679" s="23"/>
      <c r="M679" s="26"/>
      <c r="N679" s="30"/>
      <c r="O679" s="109">
        <v>6.0</v>
      </c>
      <c r="P679" s="30"/>
    </row>
    <row r="680" ht="14.25" customHeight="1">
      <c r="A680" s="168"/>
      <c r="B680" s="25">
        <v>3.0</v>
      </c>
      <c r="C680" s="26"/>
      <c r="D680" s="23"/>
      <c r="E680" s="93"/>
      <c r="F680" s="53" t="s">
        <v>518</v>
      </c>
      <c r="G680" s="93"/>
      <c r="H680" s="30"/>
      <c r="I680" s="26"/>
      <c r="J680" s="23"/>
      <c r="K680" s="26"/>
      <c r="L680" s="23"/>
      <c r="M680" s="93"/>
      <c r="N680" s="30"/>
      <c r="O680" s="109">
        <v>6.0</v>
      </c>
      <c r="P680" s="30"/>
    </row>
    <row r="681" ht="14.25" customHeight="1">
      <c r="A681" s="168"/>
      <c r="B681" s="25">
        <v>3.0</v>
      </c>
      <c r="C681" s="26"/>
      <c r="D681" s="23"/>
      <c r="E681" s="93"/>
      <c r="F681" s="53" t="s">
        <v>519</v>
      </c>
      <c r="G681" s="93"/>
      <c r="H681" s="30"/>
      <c r="I681" s="93"/>
      <c r="J681" s="23"/>
      <c r="K681" s="26"/>
      <c r="L681" s="23"/>
      <c r="M681" s="93"/>
      <c r="N681" s="30"/>
      <c r="O681" s="109">
        <v>6.0</v>
      </c>
      <c r="P681" s="30"/>
    </row>
    <row r="682" ht="14.25" customHeight="1">
      <c r="A682" s="168"/>
      <c r="B682" s="23"/>
      <c r="C682" s="26"/>
      <c r="D682" s="30"/>
      <c r="E682" s="93"/>
      <c r="F682" s="23"/>
      <c r="G682" s="93"/>
      <c r="H682" s="30"/>
      <c r="I682" s="93"/>
      <c r="J682" s="23"/>
      <c r="K682" s="93"/>
      <c r="L682" s="23"/>
      <c r="M682" s="93"/>
      <c r="N682" s="30"/>
      <c r="O682" s="93"/>
      <c r="P682" s="30"/>
    </row>
    <row r="683" ht="14.25" customHeight="1">
      <c r="A683" s="190"/>
      <c r="B683" s="23"/>
      <c r="C683" s="26"/>
      <c r="D683" s="30"/>
      <c r="E683" s="93"/>
      <c r="F683" s="23"/>
      <c r="G683" s="93"/>
      <c r="H683" s="30"/>
      <c r="I683" s="93"/>
      <c r="J683" s="23"/>
      <c r="K683" s="93"/>
      <c r="L683" s="23"/>
      <c r="M683" s="93"/>
      <c r="N683" s="30"/>
      <c r="O683" s="93"/>
      <c r="P683" s="30"/>
    </row>
    <row r="684" ht="14.25" customHeight="1">
      <c r="A684" s="190"/>
      <c r="B684" s="176" t="s">
        <v>25</v>
      </c>
      <c r="C684" s="182">
        <f>C679*B679 + B680*C680 + B681*C681 + B682*C682 + B683*C683</f>
        <v>0</v>
      </c>
      <c r="D684" s="98" t="s">
        <v>25</v>
      </c>
      <c r="E684" s="97">
        <f>E679*D679 + D680*E680 + D681*E681 + D682*E682 + D683*E683</f>
        <v>0</v>
      </c>
      <c r="F684" s="176" t="s">
        <v>25</v>
      </c>
      <c r="G684" s="97" t="str">
        <f>G679*F679 + F680*G680 + F681*G681 + F682*G682 + F683*G683</f>
        <v>#VALUE!</v>
      </c>
      <c r="H684" s="98" t="s">
        <v>25</v>
      </c>
      <c r="I684" s="111" t="str">
        <f>I679*H679 + H680*I680 + H681*I681 + H682*I682 + H683*I683</f>
        <v>#VALUE!</v>
      </c>
      <c r="J684" s="176" t="s">
        <v>25</v>
      </c>
      <c r="K684" s="97" t="str">
        <f>K679*J679 + J680*K680 + #REF!*K681 + J681*K682 + J683*K683</f>
        <v>#REF!</v>
      </c>
      <c r="L684" s="98" t="s">
        <v>25</v>
      </c>
      <c r="M684" s="111">
        <f>M679*L679 + L680*M680 + L681*M681 + L682*M682 + L683*M683</f>
        <v>0</v>
      </c>
      <c r="N684" s="98" t="s">
        <v>25</v>
      </c>
      <c r="O684" s="111">
        <f>O679*N679 + N680*O680 + N681*O681 + N682*O682 + N683*O683</f>
        <v>0</v>
      </c>
      <c r="P684" s="30"/>
    </row>
    <row r="685" ht="14.25" customHeight="1">
      <c r="A685" s="168"/>
      <c r="B685" s="161" t="s">
        <v>26</v>
      </c>
      <c r="C685" s="183" t="str">
        <f>(B679*C679 + B680*C680 + B681*C681 + B682*C682 + B683*C683)/SUM(C679:C683)</f>
        <v>#DIV/0!</v>
      </c>
      <c r="D685" s="66" t="s">
        <v>26</v>
      </c>
      <c r="E685" s="102" t="str">
        <f>(D679*E679 + D680*E680 + D681*E681 + D682*E682 + D683*E683)/SUM(E679:E683)</f>
        <v>#DIV/0!</v>
      </c>
      <c r="F685" s="161" t="s">
        <v>26</v>
      </c>
      <c r="G685" s="102" t="str">
        <f>(F679*G679 + F680*G680 + F681*G681 + F682*G682 + F683*G683)/SUM(G679:G683)</f>
        <v>#VALUE!</v>
      </c>
      <c r="H685" s="66" t="s">
        <v>26</v>
      </c>
      <c r="I685" s="102" t="str">
        <f>(H679*I679 + H680*I680 + H681*I681 + H682*I682 + H683*I683)/SUM(I679:I683)</f>
        <v>#VALUE!</v>
      </c>
      <c r="J685" s="161" t="s">
        <v>26</v>
      </c>
      <c r="K685" s="102" t="str">
        <f>(J679*K679 + J680*K680 + #REF!*K681 + J681*K682 + J683*K683)/SUM(K679:K683)</f>
        <v>#REF!</v>
      </c>
      <c r="L685" s="66" t="s">
        <v>26</v>
      </c>
      <c r="M685" s="102" t="str">
        <f>(L679*M679 + L680*M680 + L681*M681 + L682*M682 + L683*M683)/SUM(M679:M683)</f>
        <v>#DIV/0!</v>
      </c>
      <c r="N685" s="66" t="s">
        <v>26</v>
      </c>
      <c r="O685" s="102">
        <f>(N679*O679 + N680*O680 + N681*O681 + N682*O682 + N683*O683)/SUM(O679:O683)</f>
        <v>0</v>
      </c>
      <c r="P685" s="30"/>
    </row>
    <row r="686" ht="14.25" customHeight="1">
      <c r="A686" s="168"/>
      <c r="B686" s="23" t="s">
        <v>489</v>
      </c>
      <c r="C686" s="61"/>
      <c r="D686" s="30" t="s">
        <v>489</v>
      </c>
      <c r="E686" s="60"/>
      <c r="F686" s="53" t="s">
        <v>520</v>
      </c>
      <c r="G686" s="60"/>
      <c r="H686" s="30" t="s">
        <v>489</v>
      </c>
      <c r="I686" s="60"/>
      <c r="J686" s="23"/>
      <c r="K686" s="60"/>
      <c r="L686" s="30"/>
      <c r="M686" s="60"/>
      <c r="N686" s="30"/>
      <c r="O686" s="60"/>
      <c r="P686" s="30"/>
    </row>
    <row r="687" ht="14.25" customHeight="1">
      <c r="A687" s="168"/>
      <c r="B687" s="23" t="s">
        <v>521</v>
      </c>
      <c r="C687" s="61"/>
      <c r="D687" s="23" t="s">
        <v>522</v>
      </c>
      <c r="E687" s="60"/>
      <c r="F687" s="51" t="s">
        <v>523</v>
      </c>
      <c r="G687" s="60"/>
      <c r="H687" s="30" t="s">
        <v>500</v>
      </c>
      <c r="I687" s="60"/>
      <c r="J687" s="23"/>
      <c r="K687" s="60"/>
      <c r="L687" s="30"/>
      <c r="M687" s="60"/>
      <c r="N687" s="30"/>
      <c r="O687" s="60"/>
      <c r="P687" s="30"/>
    </row>
    <row r="688" ht="14.25" customHeight="1">
      <c r="A688" s="168"/>
      <c r="B688" s="23" t="s">
        <v>490</v>
      </c>
      <c r="C688" s="61"/>
      <c r="D688" s="23" t="s">
        <v>490</v>
      </c>
      <c r="E688" s="61"/>
      <c r="F688" s="53" t="s">
        <v>524</v>
      </c>
      <c r="G688" s="61"/>
      <c r="H688" s="30"/>
      <c r="I688" s="60"/>
      <c r="J688" s="23"/>
      <c r="K688" s="60"/>
      <c r="L688" s="23"/>
      <c r="M688" s="61"/>
      <c r="N688" s="30"/>
      <c r="O688" s="60"/>
      <c r="P688" s="30"/>
    </row>
    <row r="689" ht="14.25" customHeight="1">
      <c r="A689" s="168"/>
      <c r="B689" s="23"/>
      <c r="C689" s="61"/>
      <c r="D689" s="23"/>
      <c r="E689" s="60"/>
      <c r="F689" s="23"/>
      <c r="G689" s="60"/>
      <c r="H689" s="30"/>
      <c r="I689" s="60"/>
      <c r="J689" s="23"/>
      <c r="K689" s="60"/>
      <c r="L689" s="23"/>
      <c r="M689" s="60"/>
      <c r="N689" s="30"/>
      <c r="O689" s="60"/>
      <c r="P689" s="30"/>
    </row>
    <row r="690" ht="14.25" customHeight="1">
      <c r="A690" s="168"/>
      <c r="B690" s="23"/>
      <c r="C690" s="61"/>
      <c r="D690" s="23"/>
      <c r="E690" s="60"/>
      <c r="F690" s="23"/>
      <c r="G690" s="60"/>
      <c r="H690" s="30"/>
      <c r="I690" s="60"/>
      <c r="J690" s="23"/>
      <c r="K690" s="60"/>
      <c r="L690" s="23"/>
      <c r="M690" s="60"/>
      <c r="N690" s="30"/>
      <c r="O690" s="60"/>
      <c r="P690" s="30"/>
    </row>
    <row r="691" ht="14.25" customHeight="1">
      <c r="A691" s="168"/>
      <c r="B691" s="23"/>
      <c r="C691" s="61"/>
      <c r="D691" s="23"/>
      <c r="E691" s="60"/>
      <c r="F691" s="23"/>
      <c r="G691" s="60"/>
      <c r="H691" s="30"/>
      <c r="I691" s="60"/>
      <c r="J691" s="23"/>
      <c r="K691" s="60"/>
      <c r="L691" s="23"/>
      <c r="M691" s="60"/>
      <c r="N691" s="30"/>
      <c r="O691" s="60"/>
      <c r="P691" s="30"/>
    </row>
    <row r="692" ht="14.25" customHeight="1">
      <c r="A692" s="185"/>
      <c r="B692" s="161"/>
      <c r="C692" s="186"/>
      <c r="D692" s="66"/>
      <c r="E692" s="67"/>
      <c r="F692" s="161"/>
      <c r="G692" s="67"/>
      <c r="H692" s="66"/>
      <c r="I692" s="67"/>
      <c r="J692" s="161"/>
      <c r="K692" s="67"/>
      <c r="L692" s="161"/>
      <c r="M692" s="67"/>
      <c r="N692" s="66"/>
      <c r="O692" s="67"/>
      <c r="P692" s="30"/>
    </row>
    <row r="693" ht="14.25" customHeight="1">
      <c r="A693" s="158"/>
      <c r="B693" s="159"/>
      <c r="C693" s="159"/>
      <c r="D693" s="158"/>
      <c r="E693" s="158"/>
      <c r="F693" s="159"/>
      <c r="G693" s="158"/>
      <c r="H693" s="158"/>
      <c r="I693" s="158"/>
      <c r="J693" s="159"/>
      <c r="K693" s="158"/>
      <c r="L693" s="158"/>
      <c r="M693" s="158"/>
      <c r="N693" s="158"/>
      <c r="O693" s="158"/>
      <c r="P693" s="30"/>
    </row>
    <row r="694" ht="14.25" customHeight="1">
      <c r="A694" s="160" t="s">
        <v>2</v>
      </c>
      <c r="B694" s="161" t="s">
        <v>3</v>
      </c>
      <c r="C694" s="162">
        <f>O657+1</f>
        <v>45286</v>
      </c>
      <c r="D694" s="66" t="s">
        <v>4</v>
      </c>
      <c r="E694" s="162">
        <f>C694+1</f>
        <v>45287</v>
      </c>
      <c r="F694" s="161" t="s">
        <v>5</v>
      </c>
      <c r="G694" s="162">
        <f>E694+1</f>
        <v>45288</v>
      </c>
      <c r="H694" s="66" t="s">
        <v>6</v>
      </c>
      <c r="I694" s="162">
        <f>G694+1</f>
        <v>45289</v>
      </c>
      <c r="J694" s="161" t="s">
        <v>7</v>
      </c>
      <c r="K694" s="162">
        <f>I694+1</f>
        <v>45290</v>
      </c>
      <c r="L694" s="66" t="s">
        <v>8</v>
      </c>
      <c r="M694" s="162">
        <f>K694+1</f>
        <v>45291</v>
      </c>
      <c r="N694" s="66" t="s">
        <v>9</v>
      </c>
      <c r="O694" s="162">
        <f>M694+1</f>
        <v>45292</v>
      </c>
      <c r="P694" s="30"/>
    </row>
    <row r="695" ht="14.25" customHeight="1">
      <c r="A695" s="163">
        <f>A658+1</f>
        <v>20</v>
      </c>
      <c r="B695" s="164" t="s">
        <v>421</v>
      </c>
      <c r="C695" s="165" t="s">
        <v>422</v>
      </c>
      <c r="D695" s="166" t="s">
        <v>421</v>
      </c>
      <c r="E695" s="165" t="s">
        <v>422</v>
      </c>
      <c r="F695" s="164" t="s">
        <v>421</v>
      </c>
      <c r="G695" s="165" t="s">
        <v>422</v>
      </c>
      <c r="H695" s="166" t="s">
        <v>421</v>
      </c>
      <c r="I695" s="165" t="s">
        <v>422</v>
      </c>
      <c r="J695" s="164" t="s">
        <v>421</v>
      </c>
      <c r="K695" s="165" t="s">
        <v>422</v>
      </c>
      <c r="L695" s="166" t="s">
        <v>421</v>
      </c>
      <c r="M695" s="165" t="s">
        <v>422</v>
      </c>
      <c r="N695" s="166" t="s">
        <v>421</v>
      </c>
      <c r="O695" s="165" t="s">
        <v>422</v>
      </c>
      <c r="P695" s="30"/>
    </row>
    <row r="696" ht="14.25" customHeight="1">
      <c r="A696" s="168"/>
      <c r="B696" s="187" t="s">
        <v>525</v>
      </c>
      <c r="C696" s="170"/>
      <c r="D696" s="187" t="s">
        <v>525</v>
      </c>
      <c r="E696" s="170"/>
      <c r="F696" s="187" t="s">
        <v>525</v>
      </c>
      <c r="G696" s="170"/>
      <c r="H696" s="187" t="s">
        <v>525</v>
      </c>
      <c r="I696" s="170"/>
      <c r="J696" s="187" t="s">
        <v>525</v>
      </c>
      <c r="K696" s="170"/>
      <c r="L696" s="187" t="s">
        <v>525</v>
      </c>
      <c r="M696" s="170"/>
      <c r="N696" s="187" t="s">
        <v>525</v>
      </c>
      <c r="O696" s="170"/>
      <c r="P696" s="30"/>
    </row>
    <row r="697" ht="14.25" customHeight="1">
      <c r="A697" s="168" t="s">
        <v>12</v>
      </c>
      <c r="B697" s="147" t="s">
        <v>526</v>
      </c>
      <c r="C697" s="107"/>
      <c r="D697" s="147" t="s">
        <v>15</v>
      </c>
      <c r="E697" s="107"/>
      <c r="F697" s="194" t="s">
        <v>527</v>
      </c>
      <c r="G697" s="107"/>
      <c r="H697" s="147" t="s">
        <v>15</v>
      </c>
      <c r="I697" s="107"/>
      <c r="J697" s="147" t="s">
        <v>526</v>
      </c>
      <c r="K697" s="107"/>
      <c r="L697" s="147" t="s">
        <v>15</v>
      </c>
      <c r="M697" s="107"/>
      <c r="N697" s="147" t="s">
        <v>505</v>
      </c>
      <c r="O697" s="107"/>
      <c r="P697" s="30"/>
    </row>
    <row r="698" ht="14.25" customHeight="1">
      <c r="A698" s="168"/>
      <c r="B698" s="47">
        <v>100.0</v>
      </c>
      <c r="C698" s="48">
        <v>5.0</v>
      </c>
      <c r="D698" s="47" t="s">
        <v>528</v>
      </c>
      <c r="E698" s="22"/>
      <c r="F698" s="47">
        <v>50.0</v>
      </c>
      <c r="G698" s="54">
        <v>5.0</v>
      </c>
      <c r="H698" s="47" t="s">
        <v>528</v>
      </c>
      <c r="I698" s="26"/>
      <c r="J698" s="47">
        <v>105.0</v>
      </c>
      <c r="K698" s="48">
        <v>5.0</v>
      </c>
      <c r="L698" s="47" t="s">
        <v>528</v>
      </c>
      <c r="M698" s="22"/>
      <c r="N698" s="30"/>
      <c r="O698" s="93"/>
      <c r="P698" s="30"/>
    </row>
    <row r="699" ht="14.25" customHeight="1">
      <c r="A699" s="168"/>
      <c r="B699" s="47">
        <v>102.5</v>
      </c>
      <c r="C699" s="48">
        <v>4.0</v>
      </c>
      <c r="D699" s="47" t="s">
        <v>529</v>
      </c>
      <c r="E699" s="22"/>
      <c r="F699" s="47">
        <v>60.0</v>
      </c>
      <c r="G699" s="54">
        <v>4.0</v>
      </c>
      <c r="H699" s="47" t="s">
        <v>529</v>
      </c>
      <c r="I699" s="26"/>
      <c r="J699" s="47">
        <v>107.5</v>
      </c>
      <c r="K699" s="48">
        <v>4.0</v>
      </c>
      <c r="L699" s="47" t="s">
        <v>529</v>
      </c>
      <c r="M699" s="22"/>
      <c r="N699" s="30"/>
      <c r="O699" s="93"/>
      <c r="P699" s="30"/>
    </row>
    <row r="700" ht="14.25" customHeight="1">
      <c r="A700" s="168"/>
      <c r="B700" s="47">
        <v>105.0</v>
      </c>
      <c r="C700" s="48">
        <v>3.0</v>
      </c>
      <c r="D700" s="47" t="s">
        <v>84</v>
      </c>
      <c r="E700" s="22"/>
      <c r="F700" s="47">
        <v>65.0</v>
      </c>
      <c r="G700" s="54">
        <v>3.0</v>
      </c>
      <c r="H700" s="47" t="s">
        <v>290</v>
      </c>
      <c r="I700" s="26"/>
      <c r="J700" s="47">
        <v>110.0</v>
      </c>
      <c r="K700" s="48">
        <v>3.0</v>
      </c>
      <c r="L700" s="47" t="s">
        <v>84</v>
      </c>
      <c r="M700" s="22"/>
      <c r="N700" s="30"/>
      <c r="O700" s="93"/>
      <c r="P700" s="30"/>
    </row>
    <row r="701" ht="14.25" customHeight="1">
      <c r="A701" s="168"/>
      <c r="B701" s="1">
        <v>107.5</v>
      </c>
      <c r="C701" s="54">
        <v>3.0</v>
      </c>
      <c r="D701" s="23"/>
      <c r="E701" s="26"/>
      <c r="F701" s="69">
        <v>67.5</v>
      </c>
      <c r="G701" s="54">
        <v>3.0</v>
      </c>
      <c r="H701" s="23"/>
      <c r="I701" s="26"/>
      <c r="J701" s="1">
        <v>112.5</v>
      </c>
      <c r="K701" s="54">
        <v>3.0</v>
      </c>
      <c r="L701" s="23"/>
      <c r="M701" s="26"/>
      <c r="N701" s="30"/>
      <c r="O701" s="93"/>
      <c r="P701" s="30"/>
    </row>
    <row r="702" ht="14.25" customHeight="1">
      <c r="A702" s="168"/>
      <c r="B702" s="1">
        <v>110.0</v>
      </c>
      <c r="C702" s="54">
        <v>2.0</v>
      </c>
      <c r="D702" s="23"/>
      <c r="E702" s="26"/>
      <c r="F702" s="1">
        <v>70.0</v>
      </c>
      <c r="G702" s="54">
        <v>2.0</v>
      </c>
      <c r="H702" s="23"/>
      <c r="I702" s="93"/>
      <c r="J702" s="1">
        <v>115.0</v>
      </c>
      <c r="K702" s="54">
        <v>2.0</v>
      </c>
      <c r="L702" s="23"/>
      <c r="M702" s="26"/>
      <c r="N702" s="30"/>
      <c r="O702" s="93"/>
      <c r="P702" s="30"/>
    </row>
    <row r="703" ht="14.25" customHeight="1">
      <c r="A703" s="168"/>
      <c r="B703" s="176" t="s">
        <v>25</v>
      </c>
      <c r="C703" s="177">
        <f>C698*B698 + B699*C699 + B700*C700 + B701*C701 + B702*C702</f>
        <v>1767.5</v>
      </c>
      <c r="D703" s="98" t="s">
        <v>25</v>
      </c>
      <c r="E703" s="97" t="str">
        <f>E698*D698 + D699*#REF! + E699*E700 + D701*E701 + D702*E702</f>
        <v>#VALUE!</v>
      </c>
      <c r="F703" s="98" t="s">
        <v>25</v>
      </c>
      <c r="G703" s="111">
        <f>G698*F698 + F699*G699 + F700*G700 + F701*G701 + F702*G702</f>
        <v>1027.5</v>
      </c>
      <c r="H703" s="176" t="s">
        <v>25</v>
      </c>
      <c r="I703" s="111" t="str">
        <f>I698*H698 + H699*I699 + H700*I700 + H701*I701 + H702*I702</f>
        <v>#VALUE!</v>
      </c>
      <c r="J703" s="176" t="s">
        <v>25</v>
      </c>
      <c r="K703" s="177">
        <f>K698*J698 + J699*K699 + J700*K700 + J701*K701 + J702*K702</f>
        <v>1852.5</v>
      </c>
      <c r="L703" s="98" t="s">
        <v>25</v>
      </c>
      <c r="M703" s="97" t="str">
        <f>M698*L698 + L699*#REF! + M699*M700 + L701*M701 + L702*M702</f>
        <v>#VALUE!</v>
      </c>
      <c r="N703" s="98" t="s">
        <v>25</v>
      </c>
      <c r="O703" s="97">
        <f>O698*N698 + N699*O699 + N700*O700 + N701*O701 + N702*O702</f>
        <v>0</v>
      </c>
      <c r="P703" s="30"/>
    </row>
    <row r="704" ht="14.25" customHeight="1">
      <c r="A704" s="168"/>
      <c r="B704" s="161" t="s">
        <v>26</v>
      </c>
      <c r="C704" s="178">
        <f>(B698*C698 + B699*C699 + B700*C700 + B701*C701 + B702*C702)/SUM(C698:C702)</f>
        <v>103.9705882</v>
      </c>
      <c r="D704" s="66" t="s">
        <v>26</v>
      </c>
      <c r="E704" s="102" t="str">
        <f>(D698*E698 + D699*#REF! + E699*E700 + D701*E701 + D702*E702)/SUM(E698:E702)</f>
        <v>#VALUE!</v>
      </c>
      <c r="F704" s="66" t="s">
        <v>26</v>
      </c>
      <c r="G704" s="179">
        <f>(F698*G698 + F699*G699 + F700*G700 + F701*G701 + F702*G702)/SUM(G698:G702)</f>
        <v>60.44117647</v>
      </c>
      <c r="H704" s="161" t="s">
        <v>26</v>
      </c>
      <c r="I704" s="179" t="str">
        <f>(H698*I698 + H699*I699 + H700*I700 + H701*I701 + H702*I702)/SUM(I698:I702)</f>
        <v>#VALUE!</v>
      </c>
      <c r="J704" s="161" t="s">
        <v>26</v>
      </c>
      <c r="K704" s="178">
        <f>(J698*K698 + J699*K699 + J700*K700 + J701*K701 + J702*K702)/SUM(K698:K702)</f>
        <v>108.9705882</v>
      </c>
      <c r="L704" s="66" t="s">
        <v>26</v>
      </c>
      <c r="M704" s="102" t="str">
        <f>(L698*M698 + L699*#REF! + M699*M700 + L701*M701 + L702*M702)/SUM(M698:M702)</f>
        <v>#VALUE!</v>
      </c>
      <c r="N704" s="66" t="s">
        <v>26</v>
      </c>
      <c r="O704" s="102" t="str">
        <f>(N698*O698 + N699*O699 + N700*O700 + N701*O701 + N702*O702)/SUM(O698:O702)</f>
        <v>#DIV/0!</v>
      </c>
      <c r="P704" s="30"/>
    </row>
    <row r="705" ht="14.25" customHeight="1">
      <c r="A705" s="168"/>
      <c r="B705" s="164" t="s">
        <v>421</v>
      </c>
      <c r="C705" s="180" t="s">
        <v>422</v>
      </c>
      <c r="D705" s="166" t="s">
        <v>421</v>
      </c>
      <c r="E705" s="167" t="s">
        <v>422</v>
      </c>
      <c r="F705" s="166" t="s">
        <v>421</v>
      </c>
      <c r="G705" s="167" t="s">
        <v>422</v>
      </c>
      <c r="H705" s="164" t="s">
        <v>421</v>
      </c>
      <c r="I705" s="167" t="s">
        <v>422</v>
      </c>
      <c r="J705" s="164" t="s">
        <v>421</v>
      </c>
      <c r="K705" s="180" t="s">
        <v>422</v>
      </c>
      <c r="L705" s="166" t="s">
        <v>421</v>
      </c>
      <c r="M705" s="167" t="s">
        <v>422</v>
      </c>
      <c r="N705" s="166" t="s">
        <v>421</v>
      </c>
      <c r="O705" s="167" t="s">
        <v>422</v>
      </c>
      <c r="P705" s="30"/>
    </row>
    <row r="706" ht="14.25" customHeight="1">
      <c r="A706" s="168"/>
      <c r="B706" s="147" t="s">
        <v>530</v>
      </c>
      <c r="C706" s="50"/>
      <c r="D706" s="147" t="s">
        <v>51</v>
      </c>
      <c r="E706" s="118" t="s">
        <v>31</v>
      </c>
      <c r="F706" s="147" t="s">
        <v>301</v>
      </c>
      <c r="G706" s="50"/>
      <c r="H706" s="147" t="s">
        <v>51</v>
      </c>
      <c r="I706" s="118" t="s">
        <v>31</v>
      </c>
      <c r="J706" s="147" t="s">
        <v>530</v>
      </c>
      <c r="K706" s="50"/>
      <c r="L706" s="147" t="s">
        <v>51</v>
      </c>
      <c r="M706" s="118" t="s">
        <v>31</v>
      </c>
      <c r="N706" s="172" t="s">
        <v>91</v>
      </c>
      <c r="O706" s="107" t="s">
        <v>90</v>
      </c>
      <c r="P706" s="30"/>
    </row>
    <row r="707" ht="14.25" customHeight="1">
      <c r="A707" s="168"/>
      <c r="B707" s="1">
        <v>140.0</v>
      </c>
      <c r="C707" s="48">
        <v>5.0</v>
      </c>
      <c r="D707" s="47">
        <v>60.0</v>
      </c>
      <c r="E707" s="22">
        <v>3.0</v>
      </c>
      <c r="F707" s="47">
        <v>80.0</v>
      </c>
      <c r="G707" s="54">
        <v>5.0</v>
      </c>
      <c r="H707" s="1">
        <v>60.0</v>
      </c>
      <c r="I707" s="54">
        <v>3.0</v>
      </c>
      <c r="J707" s="1">
        <v>145.0</v>
      </c>
      <c r="K707" s="48">
        <v>5.0</v>
      </c>
      <c r="L707" s="47">
        <v>60.0</v>
      </c>
      <c r="M707" s="22">
        <v>3.0</v>
      </c>
      <c r="N707" s="30"/>
      <c r="O707" s="93"/>
      <c r="P707" s="30"/>
    </row>
    <row r="708" ht="14.25" customHeight="1">
      <c r="A708" s="168"/>
      <c r="B708" s="1">
        <v>150.0</v>
      </c>
      <c r="C708" s="48">
        <v>5.0</v>
      </c>
      <c r="D708" s="47">
        <v>80.0</v>
      </c>
      <c r="E708" s="22">
        <v>3.0</v>
      </c>
      <c r="F708" s="47">
        <v>90.0</v>
      </c>
      <c r="G708" s="54">
        <v>5.0</v>
      </c>
      <c r="H708" s="1">
        <v>60.0</v>
      </c>
      <c r="I708" s="54">
        <v>3.0</v>
      </c>
      <c r="J708" s="1">
        <v>155.0</v>
      </c>
      <c r="K708" s="48">
        <v>5.0</v>
      </c>
      <c r="L708" s="47">
        <v>80.0</v>
      </c>
      <c r="M708" s="22">
        <v>3.0</v>
      </c>
      <c r="N708" s="30"/>
      <c r="O708" s="93"/>
      <c r="P708" s="30"/>
    </row>
    <row r="709" ht="14.25" customHeight="1">
      <c r="A709" s="168"/>
      <c r="B709" s="1">
        <v>155.0</v>
      </c>
      <c r="C709" s="48">
        <v>5.0</v>
      </c>
      <c r="D709" s="47">
        <v>100.0</v>
      </c>
      <c r="E709" s="22">
        <v>3.0</v>
      </c>
      <c r="F709" s="47">
        <v>100.0</v>
      </c>
      <c r="G709" s="54">
        <v>5.0</v>
      </c>
      <c r="H709" s="1">
        <v>30.0</v>
      </c>
      <c r="I709" s="54">
        <v>3.0</v>
      </c>
      <c r="J709" s="1">
        <v>160.0</v>
      </c>
      <c r="K709" s="48">
        <v>5.0</v>
      </c>
      <c r="L709" s="47">
        <v>30.0</v>
      </c>
      <c r="M709" s="22">
        <v>3.0</v>
      </c>
      <c r="N709" s="30"/>
      <c r="O709" s="93"/>
      <c r="P709" s="30"/>
    </row>
    <row r="710" ht="14.25" customHeight="1">
      <c r="A710" s="168"/>
      <c r="B710" s="1">
        <v>160.0</v>
      </c>
      <c r="C710" s="54">
        <v>5.0</v>
      </c>
      <c r="D710" s="1">
        <v>100.0</v>
      </c>
      <c r="E710" s="54">
        <v>3.0</v>
      </c>
      <c r="F710" s="1">
        <v>105.0</v>
      </c>
      <c r="G710" s="54">
        <v>5.0</v>
      </c>
      <c r="H710" s="1">
        <v>60.0</v>
      </c>
      <c r="I710" s="54">
        <v>3.0</v>
      </c>
      <c r="J710" s="1">
        <v>165.0</v>
      </c>
      <c r="K710" s="54">
        <v>5.0</v>
      </c>
      <c r="L710" s="1">
        <v>100.0</v>
      </c>
      <c r="M710" s="54">
        <v>5.0</v>
      </c>
      <c r="N710" s="30"/>
      <c r="O710" s="93"/>
      <c r="P710" s="30"/>
    </row>
    <row r="711" ht="14.25" customHeight="1">
      <c r="A711" s="168"/>
      <c r="B711" s="1">
        <v>165.0</v>
      </c>
      <c r="C711" s="54">
        <v>5.0</v>
      </c>
      <c r="D711" s="1">
        <v>60.0</v>
      </c>
      <c r="E711" s="54">
        <v>3.0</v>
      </c>
      <c r="F711" s="1">
        <v>110.0</v>
      </c>
      <c r="G711" s="54">
        <v>5.0</v>
      </c>
      <c r="H711" s="23"/>
      <c r="I711" s="93"/>
      <c r="J711" s="1">
        <v>170.0</v>
      </c>
      <c r="K711" s="54">
        <v>5.0</v>
      </c>
      <c r="L711" s="1">
        <v>60.0</v>
      </c>
      <c r="M711" s="54">
        <v>3.0</v>
      </c>
      <c r="N711" s="30"/>
      <c r="O711" s="93"/>
      <c r="P711" s="30"/>
    </row>
    <row r="712" ht="14.25" customHeight="1">
      <c r="A712" s="168"/>
      <c r="B712" s="23"/>
      <c r="C712" s="26"/>
      <c r="D712" s="1">
        <v>60.0</v>
      </c>
      <c r="E712" s="54">
        <v>3.0</v>
      </c>
      <c r="F712" s="30"/>
      <c r="G712" s="93"/>
      <c r="H712" s="23"/>
      <c r="I712" s="93"/>
      <c r="J712" s="23"/>
      <c r="K712" s="26"/>
      <c r="L712" s="1">
        <v>60.0</v>
      </c>
      <c r="M712" s="54">
        <v>3.0</v>
      </c>
      <c r="N712" s="30"/>
      <c r="O712" s="93"/>
      <c r="P712" s="30"/>
    </row>
    <row r="713" ht="14.25" customHeight="1">
      <c r="A713" s="168"/>
      <c r="B713" s="176" t="s">
        <v>25</v>
      </c>
      <c r="C713" s="182">
        <f>C707*B707 + B708*C708 + B709*C709 + B710*C710 + B712*C712</f>
        <v>3025</v>
      </c>
      <c r="D713" s="98" t="s">
        <v>25</v>
      </c>
      <c r="E713" s="97">
        <f>E707*D707 + D708*E708 + D709*E709 + D710*E710 + D712*E712</f>
        <v>1200</v>
      </c>
      <c r="F713" s="98" t="s">
        <v>25</v>
      </c>
      <c r="G713" s="97">
        <f>G707*F707 + F708*G708 + F709*G709 + F710*G710 + F712*G712</f>
        <v>1875</v>
      </c>
      <c r="H713" s="176" t="s">
        <v>25</v>
      </c>
      <c r="I713" s="111">
        <f>I707*H707 + H708*I708 + H709*I709 + H710*I710 + H712*I712</f>
        <v>630</v>
      </c>
      <c r="J713" s="176" t="s">
        <v>25</v>
      </c>
      <c r="K713" s="182">
        <f>K707*J707 + J708*K708 + J709*K709 + J710*K710 + J712*K712</f>
        <v>3125</v>
      </c>
      <c r="L713" s="98" t="s">
        <v>25</v>
      </c>
      <c r="M713" s="97">
        <f>M707*L707 + L708*M708 + L709*M709 + L710*M710 + L712*M712</f>
        <v>1190</v>
      </c>
      <c r="N713" s="98" t="s">
        <v>25</v>
      </c>
      <c r="O713" s="97">
        <f>O707*N707 + N708*O708 + N709*O709 + N710*O710 + N712*O712</f>
        <v>0</v>
      </c>
      <c r="P713" s="30"/>
    </row>
    <row r="714" ht="14.25" customHeight="1">
      <c r="A714" s="168"/>
      <c r="B714" s="161" t="s">
        <v>26</v>
      </c>
      <c r="C714" s="183">
        <f>(B707*C707 + B708*C708 + B709*C709 + B710*C710 + B712*C712)/SUM(C707:C712)</f>
        <v>121</v>
      </c>
      <c r="D714" s="66" t="s">
        <v>26</v>
      </c>
      <c r="E714" s="102">
        <f>(D707*E707 + D708*E708 + D709*E709 + D710*E710 + D712*E712)/SUM(E707:E712)</f>
        <v>66.66666667</v>
      </c>
      <c r="F714" s="66" t="s">
        <v>26</v>
      </c>
      <c r="G714" s="102">
        <f>(F707*G707 + F708*G708 + F709*G709 + F710*G710 + F712*G712)/SUM(G707:G712)</f>
        <v>75</v>
      </c>
      <c r="H714" s="161" t="s">
        <v>26</v>
      </c>
      <c r="I714" s="102">
        <f>(H707*I707 + H708*I708 + H709*I709 + H710*I710 + H712*I712)/SUM(I707:I712)</f>
        <v>52.5</v>
      </c>
      <c r="J714" s="161" t="s">
        <v>26</v>
      </c>
      <c r="K714" s="183">
        <f>(J707*K707 + J708*K708 + J709*K709 + J710*K710 + J712*K712)/SUM(K707:K712)</f>
        <v>125</v>
      </c>
      <c r="L714" s="66" t="s">
        <v>26</v>
      </c>
      <c r="M714" s="102">
        <f>(L707*M707 + L708*M708 + L709*M709 + L710*M710 + L712*M712)/SUM(M707:M712)</f>
        <v>59.5</v>
      </c>
      <c r="N714" s="66" t="s">
        <v>26</v>
      </c>
      <c r="O714" s="102" t="str">
        <f>(N707*O707 + N708*O708 + N709*O709 + N710*O710 + N712*O712)/SUM(O707:O712)</f>
        <v>#DIV/0!</v>
      </c>
      <c r="P714" s="30"/>
    </row>
    <row r="715" ht="14.25" customHeight="1">
      <c r="A715" s="168"/>
      <c r="B715" s="147" t="s">
        <v>531</v>
      </c>
      <c r="C715" s="50"/>
      <c r="D715" s="171"/>
      <c r="E715" s="50"/>
      <c r="F715" s="194" t="s">
        <v>532</v>
      </c>
      <c r="G715" s="107"/>
      <c r="H715" s="147" t="s">
        <v>33</v>
      </c>
      <c r="I715" s="107"/>
      <c r="J715" s="147" t="s">
        <v>531</v>
      </c>
      <c r="K715" s="50"/>
      <c r="L715" s="171"/>
      <c r="M715" s="50"/>
      <c r="N715" s="172" t="s">
        <v>249</v>
      </c>
      <c r="O715" s="172"/>
      <c r="P715" s="30"/>
    </row>
    <row r="716" ht="14.25" customHeight="1">
      <c r="A716" s="168"/>
      <c r="B716" s="47">
        <v>6.0</v>
      </c>
      <c r="C716" s="26"/>
      <c r="D716" s="23"/>
      <c r="E716" s="26"/>
      <c r="F716" s="69">
        <v>4.0</v>
      </c>
      <c r="G716" s="26"/>
      <c r="H716" s="23"/>
      <c r="I716" s="93"/>
      <c r="J716" s="47">
        <v>6.0</v>
      </c>
      <c r="K716" s="26"/>
      <c r="L716" s="23"/>
      <c r="M716" s="26"/>
      <c r="N716" s="30"/>
      <c r="O716" s="109">
        <v>6.0</v>
      </c>
      <c r="P716" s="30"/>
    </row>
    <row r="717" ht="14.25" customHeight="1">
      <c r="A717" s="168"/>
      <c r="B717" s="47">
        <v>6.0</v>
      </c>
      <c r="C717" s="26"/>
      <c r="D717" s="23"/>
      <c r="E717" s="26"/>
      <c r="F717" s="69">
        <v>4.0</v>
      </c>
      <c r="G717" s="26"/>
      <c r="H717" s="30"/>
      <c r="I717" s="26"/>
      <c r="J717" s="47">
        <v>6.0</v>
      </c>
      <c r="K717" s="26"/>
      <c r="L717" s="23"/>
      <c r="M717" s="93"/>
      <c r="N717" s="30"/>
      <c r="O717" s="109">
        <v>6.0</v>
      </c>
      <c r="P717" s="30"/>
    </row>
    <row r="718" ht="14.25" customHeight="1">
      <c r="A718" s="168"/>
      <c r="B718" s="47">
        <v>6.0</v>
      </c>
      <c r="C718" s="26"/>
      <c r="D718" s="23"/>
      <c r="E718" s="26"/>
      <c r="F718" s="69">
        <v>4.0</v>
      </c>
      <c r="G718" s="26"/>
      <c r="H718" s="30"/>
      <c r="I718" s="93"/>
      <c r="J718" s="47">
        <v>6.0</v>
      </c>
      <c r="K718" s="26"/>
      <c r="L718" s="23"/>
      <c r="M718" s="93"/>
      <c r="N718" s="30"/>
      <c r="O718" s="109">
        <v>6.0</v>
      </c>
      <c r="P718" s="30"/>
    </row>
    <row r="719" ht="14.25" customHeight="1">
      <c r="A719" s="168"/>
      <c r="B719" s="1">
        <v>6.0</v>
      </c>
      <c r="C719" s="26"/>
      <c r="D719" s="30"/>
      <c r="E719" s="93"/>
      <c r="F719" s="1">
        <v>4.0</v>
      </c>
      <c r="G719" s="93"/>
      <c r="H719" s="30"/>
      <c r="I719" s="93"/>
      <c r="J719" s="1">
        <v>6.0</v>
      </c>
      <c r="K719" s="26"/>
      <c r="L719" s="23"/>
      <c r="M719" s="93"/>
      <c r="N719" s="30"/>
      <c r="O719" s="93"/>
      <c r="P719" s="30"/>
    </row>
    <row r="720" ht="14.25" customHeight="1">
      <c r="A720" s="190"/>
      <c r="B720" s="1">
        <v>6.0</v>
      </c>
      <c r="C720" s="26"/>
      <c r="D720" s="30"/>
      <c r="E720" s="93"/>
      <c r="F720" s="1">
        <v>4.0</v>
      </c>
      <c r="G720" s="93"/>
      <c r="H720" s="30"/>
      <c r="I720" s="93"/>
      <c r="J720" s="1">
        <v>6.0</v>
      </c>
      <c r="K720" s="26"/>
      <c r="L720" s="23"/>
      <c r="M720" s="93"/>
      <c r="N720" s="30"/>
      <c r="O720" s="93"/>
      <c r="P720" s="30"/>
    </row>
    <row r="721" ht="14.25" customHeight="1">
      <c r="A721" s="190"/>
      <c r="B721" s="176" t="s">
        <v>25</v>
      </c>
      <c r="C721" s="182">
        <f>C716*B716 + B717*C717 + B718*C718 + B719*C719 + B720*C720</f>
        <v>0</v>
      </c>
      <c r="D721" s="98" t="s">
        <v>25</v>
      </c>
      <c r="E721" s="97">
        <f>E716*D716 + D717*E717 + D718*E718 + D719*E719 + D720*E720</f>
        <v>0</v>
      </c>
      <c r="F721" s="176" t="s">
        <v>25</v>
      </c>
      <c r="G721" s="97">
        <f>G716*F716 + F717*G717 + F718*G718 + F719*G719 + F720*G720</f>
        <v>0</v>
      </c>
      <c r="H721" s="98" t="s">
        <v>25</v>
      </c>
      <c r="I721" s="111">
        <f>I716*H716 + H717*I717 + H718*I718 + H719*I719 + H720*I720</f>
        <v>0</v>
      </c>
      <c r="J721" s="176" t="s">
        <v>25</v>
      </c>
      <c r="K721" s="182">
        <f>K716*J716 + J717*K717 + J718*K718 + J719*K719 + J720*K720</f>
        <v>0</v>
      </c>
      <c r="L721" s="98" t="s">
        <v>25</v>
      </c>
      <c r="M721" s="111">
        <f>M716*L716 + L717*M717 + L718*M718 + L719*M719 + L720*M720</f>
        <v>0</v>
      </c>
      <c r="N721" s="98" t="s">
        <v>25</v>
      </c>
      <c r="O721" s="111">
        <f>O716*N716 + N717*O717 + N718*O718 + N719*O719 + N720*O720</f>
        <v>0</v>
      </c>
      <c r="P721" s="30"/>
    </row>
    <row r="722" ht="14.25" customHeight="1">
      <c r="A722" s="168"/>
      <c r="B722" s="161" t="s">
        <v>26</v>
      </c>
      <c r="C722" s="183" t="str">
        <f>(B716*C716 + B717*C717 + B718*C718 + B719*C719 + B720*C720)/SUM(C716:C720)</f>
        <v>#DIV/0!</v>
      </c>
      <c r="D722" s="66" t="s">
        <v>26</v>
      </c>
      <c r="E722" s="102" t="str">
        <f>(D716*E716 + D717*E717 + D718*E718 + D719*E719 + D720*E720)/SUM(E716:E720)</f>
        <v>#DIV/0!</v>
      </c>
      <c r="F722" s="161" t="s">
        <v>26</v>
      </c>
      <c r="G722" s="102" t="str">
        <f>(F716*G716 + F717*G717 + F718*G718 + F719*G719 + F720*G720)/SUM(G716:G720)</f>
        <v>#DIV/0!</v>
      </c>
      <c r="H722" s="66" t="s">
        <v>26</v>
      </c>
      <c r="I722" s="102" t="str">
        <f>(H716*I716 + H717*I717 + H718*I718 + H719*I719 + H720*I720)/SUM(I716:I720)</f>
        <v>#DIV/0!</v>
      </c>
      <c r="J722" s="161" t="s">
        <v>26</v>
      </c>
      <c r="K722" s="183" t="str">
        <f>(J716*K716 + J717*K717 + J718*K718 + J719*K719 + J720*K720)/SUM(K716:K720)</f>
        <v>#DIV/0!</v>
      </c>
      <c r="L722" s="66" t="s">
        <v>26</v>
      </c>
      <c r="M722" s="102" t="str">
        <f>(L716*M716 + L717*M717 + L718*M718 + L719*M719 + L720*M720)/SUM(M716:M720)</f>
        <v>#DIV/0!</v>
      </c>
      <c r="N722" s="66" t="s">
        <v>26</v>
      </c>
      <c r="O722" s="102">
        <f>(N716*O716 + N717*O717 + N718*O718 + N719*O719 + N720*O720)/SUM(O716:O720)</f>
        <v>0</v>
      </c>
      <c r="P722" s="30"/>
    </row>
    <row r="723" ht="14.25" customHeight="1">
      <c r="A723" s="190"/>
      <c r="B723" s="1" t="s">
        <v>533</v>
      </c>
      <c r="C723" s="61"/>
      <c r="D723" s="30"/>
      <c r="E723" s="60"/>
      <c r="F723" s="1" t="s">
        <v>533</v>
      </c>
      <c r="G723" s="60"/>
      <c r="H723" s="30"/>
      <c r="I723" s="60"/>
      <c r="J723" s="1" t="s">
        <v>533</v>
      </c>
      <c r="K723" s="61"/>
      <c r="L723" s="30"/>
      <c r="M723" s="60"/>
      <c r="N723" s="30"/>
      <c r="O723" s="60"/>
      <c r="P723" s="30"/>
    </row>
    <row r="724" ht="14.25" customHeight="1">
      <c r="A724" s="190"/>
      <c r="B724" s="23"/>
      <c r="C724" s="61"/>
      <c r="D724" s="23"/>
      <c r="E724" s="60"/>
      <c r="F724" s="23"/>
      <c r="G724" s="60"/>
      <c r="H724" s="30"/>
      <c r="I724" s="60"/>
      <c r="J724" s="23"/>
      <c r="K724" s="61"/>
      <c r="L724" s="30"/>
      <c r="M724" s="60"/>
      <c r="N724" s="30"/>
      <c r="O724" s="60"/>
      <c r="P724" s="30"/>
    </row>
    <row r="725" ht="14.25" customHeight="1">
      <c r="A725" s="168"/>
      <c r="B725" s="1" t="s">
        <v>534</v>
      </c>
      <c r="C725" s="61"/>
      <c r="D725" s="23"/>
      <c r="E725" s="61"/>
      <c r="F725" s="1" t="s">
        <v>534</v>
      </c>
      <c r="G725" s="61"/>
      <c r="H725" s="23"/>
      <c r="I725" s="60"/>
      <c r="J725" s="1" t="s">
        <v>534</v>
      </c>
      <c r="K725" s="61"/>
      <c r="L725" s="23"/>
      <c r="M725" s="61"/>
      <c r="N725" s="30"/>
      <c r="O725" s="60"/>
      <c r="P725" s="30"/>
    </row>
    <row r="726" ht="14.25" customHeight="1">
      <c r="A726" s="190"/>
      <c r="B726" s="23"/>
      <c r="C726" s="61"/>
      <c r="D726" s="23"/>
      <c r="E726" s="60"/>
      <c r="F726" s="23"/>
      <c r="G726" s="60"/>
      <c r="H726" s="30"/>
      <c r="I726" s="60"/>
      <c r="J726" s="23"/>
      <c r="K726" s="61"/>
      <c r="L726" s="23"/>
      <c r="M726" s="60"/>
      <c r="N726" s="30"/>
      <c r="O726" s="60"/>
      <c r="P726" s="30"/>
    </row>
    <row r="727" ht="14.25" customHeight="1">
      <c r="A727" s="168"/>
      <c r="B727" s="23"/>
      <c r="C727" s="61"/>
      <c r="D727" s="23"/>
      <c r="E727" s="60"/>
      <c r="F727" s="23"/>
      <c r="G727" s="60"/>
      <c r="H727" s="30"/>
      <c r="I727" s="60"/>
      <c r="J727" s="23"/>
      <c r="K727" s="61"/>
      <c r="L727" s="23"/>
      <c r="M727" s="60"/>
      <c r="N727" s="30"/>
      <c r="O727" s="60"/>
      <c r="P727" s="30"/>
    </row>
    <row r="728" ht="14.25" customHeight="1">
      <c r="A728" s="168"/>
      <c r="B728" s="23"/>
      <c r="C728" s="61"/>
      <c r="D728" s="23"/>
      <c r="E728" s="60"/>
      <c r="F728" s="23"/>
      <c r="G728" s="60"/>
      <c r="H728" s="30"/>
      <c r="I728" s="60"/>
      <c r="J728" s="23"/>
      <c r="K728" s="61"/>
      <c r="L728" s="23"/>
      <c r="M728" s="60"/>
      <c r="N728" s="30"/>
      <c r="O728" s="60"/>
      <c r="P728" s="30"/>
    </row>
    <row r="729" ht="14.25" customHeight="1">
      <c r="A729" s="185"/>
      <c r="B729" s="161"/>
      <c r="C729" s="186"/>
      <c r="D729" s="66"/>
      <c r="E729" s="67"/>
      <c r="F729" s="161"/>
      <c r="G729" s="67"/>
      <c r="H729" s="66"/>
      <c r="I729" s="67"/>
      <c r="J729" s="161"/>
      <c r="K729" s="186"/>
      <c r="L729" s="161"/>
      <c r="M729" s="67"/>
      <c r="N729" s="66"/>
      <c r="O729" s="67"/>
      <c r="P729" s="30"/>
    </row>
    <row r="730" ht="14.25" customHeight="1">
      <c r="A730" s="158"/>
      <c r="B730" s="159"/>
      <c r="C730" s="159"/>
      <c r="D730" s="158"/>
      <c r="E730" s="158"/>
      <c r="F730" s="159"/>
      <c r="G730" s="158"/>
      <c r="H730" s="158"/>
      <c r="I730" s="158"/>
      <c r="J730" s="159"/>
      <c r="K730" s="158"/>
      <c r="L730" s="158"/>
      <c r="M730" s="158"/>
      <c r="N730" s="158"/>
      <c r="O730" s="158"/>
      <c r="P730" s="30"/>
    </row>
    <row r="731" ht="14.25" customHeight="1">
      <c r="A731" s="160" t="s">
        <v>2</v>
      </c>
      <c r="B731" s="161" t="s">
        <v>3</v>
      </c>
      <c r="C731" s="162">
        <f>O694+1</f>
        <v>45293</v>
      </c>
      <c r="D731" s="66" t="s">
        <v>4</v>
      </c>
      <c r="E731" s="162">
        <f>C731+1</f>
        <v>45294</v>
      </c>
      <c r="F731" s="161" t="s">
        <v>5</v>
      </c>
      <c r="G731" s="162">
        <f>E731+1</f>
        <v>45295</v>
      </c>
      <c r="H731" s="66" t="s">
        <v>6</v>
      </c>
      <c r="I731" s="162">
        <f>G731+1</f>
        <v>45296</v>
      </c>
      <c r="J731" s="161" t="s">
        <v>7</v>
      </c>
      <c r="K731" s="162">
        <f>I731+1</f>
        <v>45297</v>
      </c>
      <c r="L731" s="66" t="s">
        <v>8</v>
      </c>
      <c r="M731" s="162">
        <f>K731+1</f>
        <v>45298</v>
      </c>
      <c r="N731" s="66" t="s">
        <v>9</v>
      </c>
      <c r="O731" s="162">
        <f>M731+1</f>
        <v>45299</v>
      </c>
      <c r="P731" s="30"/>
    </row>
    <row r="732" ht="14.25" customHeight="1">
      <c r="A732" s="163">
        <f>A695+1</f>
        <v>21</v>
      </c>
      <c r="B732" s="164" t="s">
        <v>421</v>
      </c>
      <c r="C732" s="165" t="s">
        <v>422</v>
      </c>
      <c r="D732" s="166" t="s">
        <v>421</v>
      </c>
      <c r="E732" s="165" t="s">
        <v>422</v>
      </c>
      <c r="F732" s="164" t="s">
        <v>421</v>
      </c>
      <c r="G732" s="165" t="s">
        <v>422</v>
      </c>
      <c r="H732" s="166" t="s">
        <v>421</v>
      </c>
      <c r="I732" s="165" t="s">
        <v>422</v>
      </c>
      <c r="J732" s="164" t="s">
        <v>421</v>
      </c>
      <c r="K732" s="165" t="s">
        <v>422</v>
      </c>
      <c r="L732" s="166" t="s">
        <v>421</v>
      </c>
      <c r="M732" s="165" t="s">
        <v>422</v>
      </c>
      <c r="N732" s="166" t="s">
        <v>421</v>
      </c>
      <c r="O732" s="165" t="s">
        <v>422</v>
      </c>
    </row>
    <row r="733" ht="14.25" customHeight="1">
      <c r="A733" s="168"/>
      <c r="B733" s="193" t="s">
        <v>525</v>
      </c>
      <c r="C733" s="170"/>
      <c r="D733" s="169" t="s">
        <v>525</v>
      </c>
      <c r="E733" s="170"/>
      <c r="F733" s="169" t="s">
        <v>525</v>
      </c>
      <c r="G733" s="170"/>
      <c r="H733" s="169" t="s">
        <v>525</v>
      </c>
      <c r="I733" s="170"/>
      <c r="J733" s="169" t="s">
        <v>525</v>
      </c>
      <c r="K733" s="170"/>
      <c r="L733" s="169" t="s">
        <v>525</v>
      </c>
      <c r="M733" s="170"/>
      <c r="N733" s="169" t="s">
        <v>525</v>
      </c>
      <c r="O733" s="170"/>
    </row>
    <row r="734" ht="14.25" customHeight="1">
      <c r="A734" s="168" t="s">
        <v>12</v>
      </c>
      <c r="B734" s="192" t="s">
        <v>526</v>
      </c>
      <c r="C734" s="107"/>
      <c r="D734" s="171" t="s">
        <v>15</v>
      </c>
      <c r="E734" s="107"/>
      <c r="F734" s="192" t="s">
        <v>527</v>
      </c>
      <c r="G734" s="107"/>
      <c r="H734" s="171" t="s">
        <v>15</v>
      </c>
      <c r="I734" s="107"/>
      <c r="J734" s="192" t="s">
        <v>526</v>
      </c>
      <c r="K734" s="107"/>
      <c r="L734" s="171" t="s">
        <v>15</v>
      </c>
      <c r="M734" s="107"/>
      <c r="N734" s="172" t="s">
        <v>505</v>
      </c>
      <c r="O734" s="107"/>
    </row>
    <row r="735" ht="14.25" customHeight="1">
      <c r="A735" s="168"/>
      <c r="B735" s="47">
        <v>105.0</v>
      </c>
      <c r="C735" s="22">
        <v>5.0</v>
      </c>
      <c r="D735" s="25" t="s">
        <v>528</v>
      </c>
      <c r="E735" s="26"/>
      <c r="F735" s="47">
        <v>55.0</v>
      </c>
      <c r="G735" s="22">
        <v>5.0</v>
      </c>
      <c r="H735" s="25" t="s">
        <v>528</v>
      </c>
      <c r="I735" s="26"/>
      <c r="J735" s="47">
        <v>110.0</v>
      </c>
      <c r="K735" s="22">
        <v>5.0</v>
      </c>
      <c r="L735" s="25" t="s">
        <v>528</v>
      </c>
      <c r="M735" s="26"/>
      <c r="N735" s="30"/>
      <c r="O735" s="93"/>
    </row>
    <row r="736" ht="14.25" customHeight="1">
      <c r="A736" s="168"/>
      <c r="B736" s="47">
        <v>107.5</v>
      </c>
      <c r="C736" s="22">
        <v>4.0</v>
      </c>
      <c r="D736" s="25" t="s">
        <v>529</v>
      </c>
      <c r="E736" s="26"/>
      <c r="F736" s="47">
        <v>65.0</v>
      </c>
      <c r="G736" s="22">
        <v>4.0</v>
      </c>
      <c r="H736" s="25" t="s">
        <v>529</v>
      </c>
      <c r="I736" s="26"/>
      <c r="J736" s="47">
        <v>115.0</v>
      </c>
      <c r="K736" s="22">
        <v>4.0</v>
      </c>
      <c r="L736" s="25" t="s">
        <v>529</v>
      </c>
      <c r="M736" s="26"/>
      <c r="N736" s="30"/>
      <c r="O736" s="93"/>
    </row>
    <row r="737" ht="14.25" customHeight="1">
      <c r="A737" s="168"/>
      <c r="B737" s="47">
        <v>110.0</v>
      </c>
      <c r="C737" s="22">
        <v>3.0</v>
      </c>
      <c r="D737" s="25" t="s">
        <v>84</v>
      </c>
      <c r="E737" s="26"/>
      <c r="F737" s="47">
        <v>70.0</v>
      </c>
      <c r="G737" s="22">
        <v>3.0</v>
      </c>
      <c r="H737" s="25" t="s">
        <v>290</v>
      </c>
      <c r="I737" s="26"/>
      <c r="J737" s="47">
        <v>117.5</v>
      </c>
      <c r="K737" s="22">
        <v>3.0</v>
      </c>
      <c r="L737" s="25" t="s">
        <v>84</v>
      </c>
      <c r="M737" s="26"/>
      <c r="N737" s="30"/>
      <c r="O737" s="93"/>
    </row>
    <row r="738" ht="14.25" customHeight="1">
      <c r="A738" s="168"/>
      <c r="B738" s="47">
        <v>112.5</v>
      </c>
      <c r="C738" s="22">
        <v>3.0</v>
      </c>
      <c r="D738" s="23"/>
      <c r="E738" s="26"/>
      <c r="F738" s="47">
        <v>72.5</v>
      </c>
      <c r="G738" s="22">
        <v>3.0</v>
      </c>
      <c r="H738" s="23"/>
      <c r="I738" s="26"/>
      <c r="J738" s="47">
        <v>120.0</v>
      </c>
      <c r="K738" s="22">
        <v>3.0</v>
      </c>
      <c r="L738" s="23"/>
      <c r="M738" s="26"/>
      <c r="N738" s="30"/>
      <c r="O738" s="93"/>
    </row>
    <row r="739" ht="14.25" customHeight="1">
      <c r="A739" s="168"/>
      <c r="B739" s="47">
        <v>115.0</v>
      </c>
      <c r="C739" s="22">
        <v>2.0</v>
      </c>
      <c r="D739" s="23"/>
      <c r="E739" s="26"/>
      <c r="F739" s="47">
        <v>75.0</v>
      </c>
      <c r="G739" s="109">
        <v>2.0</v>
      </c>
      <c r="H739" s="23"/>
      <c r="I739" s="93"/>
      <c r="J739" s="47">
        <v>122.5</v>
      </c>
      <c r="K739" s="109">
        <v>2.0</v>
      </c>
      <c r="L739" s="30"/>
      <c r="M739" s="93"/>
      <c r="N739" s="30"/>
      <c r="O739" s="93"/>
    </row>
    <row r="740" ht="14.25" customHeight="1">
      <c r="A740" s="168"/>
      <c r="B740" s="98" t="s">
        <v>25</v>
      </c>
      <c r="C740" s="111">
        <f>C735*B735 + B736*C736 + B737*C737 + B738*C738 + B739*C739</f>
        <v>1852.5</v>
      </c>
      <c r="D740" s="98" t="s">
        <v>25</v>
      </c>
      <c r="E740" s="97" t="str">
        <f>E735*D735 + D736*#REF! + E736*E737 + D738*E738 + D739*E739</f>
        <v>#VALUE!</v>
      </c>
      <c r="F740" s="176" t="s">
        <v>25</v>
      </c>
      <c r="G740" s="111">
        <f>G735*F735 + F736*G736 + F737*G737 + F738*G738 + F739*G739</f>
        <v>1112.5</v>
      </c>
      <c r="H740" s="176" t="s">
        <v>25</v>
      </c>
      <c r="I740" s="111" t="str">
        <f>I735*H735 + H736*I736 + H737*I737 + H738*I738 + H739*I739</f>
        <v>#VALUE!</v>
      </c>
      <c r="J740" s="176" t="s">
        <v>25</v>
      </c>
      <c r="K740" s="111">
        <f>K735*J735 + J736*K736 + J737*K737 + J738*K738 + J739*K739</f>
        <v>1967.5</v>
      </c>
      <c r="L740" s="98" t="s">
        <v>25</v>
      </c>
      <c r="M740" s="97" t="str">
        <f>M735*L735 + L736*#REF! + M736*M737 + L738*M738 + L739*M739</f>
        <v>#VALUE!</v>
      </c>
      <c r="N740" s="98" t="s">
        <v>25</v>
      </c>
      <c r="O740" s="97">
        <f>O735*N735 + N736*O736 + N737*O737 + N738*O738 + N739*O739</f>
        <v>0</v>
      </c>
    </row>
    <row r="741" ht="14.25" customHeight="1">
      <c r="A741" s="168"/>
      <c r="B741" s="66" t="s">
        <v>26</v>
      </c>
      <c r="C741" s="179">
        <f>(B735*C735 + B736*C736 + B737*C737 + B738*C738 + B739*C739)/SUM(C735:C739)</f>
        <v>108.9705882</v>
      </c>
      <c r="D741" s="66" t="s">
        <v>26</v>
      </c>
      <c r="E741" s="102" t="str">
        <f>(D735*E735 + D736*#REF! + E736*E737 + D738*E738 + D739*E739)/SUM(E735:E739)</f>
        <v>#VALUE!</v>
      </c>
      <c r="F741" s="161" t="s">
        <v>26</v>
      </c>
      <c r="G741" s="179">
        <f>(F735*G735 + F736*G736 + F737*G737 + F738*G738 + F739*G739)/SUM(G735:G739)</f>
        <v>65.44117647</v>
      </c>
      <c r="H741" s="161" t="s">
        <v>26</v>
      </c>
      <c r="I741" s="179" t="str">
        <f>(H735*I735 + H736*I736 + H737*I737 + H738*I738 + H739*I739)/SUM(I735:I739)</f>
        <v>#VALUE!</v>
      </c>
      <c r="J741" s="161" t="s">
        <v>26</v>
      </c>
      <c r="K741" s="179">
        <f>(J735*K735 + J736*K736 + J737*K737 + J738*K738 + J739*K739)/SUM(K735:K739)</f>
        <v>115.7352941</v>
      </c>
      <c r="L741" s="66" t="s">
        <v>26</v>
      </c>
      <c r="M741" s="102" t="str">
        <f>(L735*M735 + L736*#REF! + M736*M737 + L738*M738 + L739*M739)/SUM(M735:M739)</f>
        <v>#VALUE!</v>
      </c>
      <c r="N741" s="66" t="s">
        <v>26</v>
      </c>
      <c r="O741" s="102" t="str">
        <f>(N735*O735 + N736*O736 + N737*O737 + N738*O738 + N739*O739)/SUM(O735:O739)</f>
        <v>#DIV/0!</v>
      </c>
    </row>
    <row r="742" ht="14.25" customHeight="1">
      <c r="A742" s="168"/>
      <c r="B742" s="166" t="s">
        <v>421</v>
      </c>
      <c r="C742" s="167" t="s">
        <v>422</v>
      </c>
      <c r="D742" s="166" t="s">
        <v>421</v>
      </c>
      <c r="E742" s="167" t="s">
        <v>422</v>
      </c>
      <c r="F742" s="164" t="s">
        <v>421</v>
      </c>
      <c r="G742" s="167" t="s">
        <v>422</v>
      </c>
      <c r="H742" s="164" t="s">
        <v>421</v>
      </c>
      <c r="I742" s="167" t="s">
        <v>422</v>
      </c>
      <c r="J742" s="164" t="s">
        <v>421</v>
      </c>
      <c r="K742" s="167" t="s">
        <v>422</v>
      </c>
      <c r="L742" s="166" t="s">
        <v>421</v>
      </c>
      <c r="M742" s="167" t="s">
        <v>422</v>
      </c>
      <c r="N742" s="166" t="s">
        <v>421</v>
      </c>
      <c r="O742" s="167" t="s">
        <v>422</v>
      </c>
    </row>
    <row r="743" ht="14.25" customHeight="1">
      <c r="A743" s="168"/>
      <c r="B743" s="171" t="s">
        <v>530</v>
      </c>
      <c r="C743" s="107"/>
      <c r="D743" s="171" t="s">
        <v>51</v>
      </c>
      <c r="E743" s="107" t="s">
        <v>31</v>
      </c>
      <c r="F743" s="192" t="s">
        <v>301</v>
      </c>
      <c r="G743" s="50"/>
      <c r="H743" s="171" t="s">
        <v>51</v>
      </c>
      <c r="I743" s="107" t="s">
        <v>31</v>
      </c>
      <c r="J743" s="171" t="s">
        <v>530</v>
      </c>
      <c r="K743" s="107"/>
      <c r="L743" s="171" t="s">
        <v>51</v>
      </c>
      <c r="M743" s="107" t="s">
        <v>31</v>
      </c>
      <c r="N743" s="172" t="s">
        <v>91</v>
      </c>
      <c r="O743" s="107" t="s">
        <v>90</v>
      </c>
    </row>
    <row r="744" ht="14.25" customHeight="1">
      <c r="A744" s="168"/>
      <c r="B744" s="47">
        <v>145.0</v>
      </c>
      <c r="C744" s="22">
        <v>5.0</v>
      </c>
      <c r="D744" s="25">
        <v>60.0</v>
      </c>
      <c r="E744" s="22">
        <v>3.0</v>
      </c>
      <c r="F744" s="47">
        <v>85.0</v>
      </c>
      <c r="G744" s="22">
        <v>5.0</v>
      </c>
      <c r="H744" s="47">
        <v>30.0</v>
      </c>
      <c r="I744" s="22">
        <v>3.0</v>
      </c>
      <c r="J744" s="47">
        <v>150.0</v>
      </c>
      <c r="K744" s="22">
        <v>5.0</v>
      </c>
      <c r="L744" s="25">
        <v>60.0</v>
      </c>
      <c r="M744" s="22">
        <v>3.0</v>
      </c>
      <c r="N744" s="30"/>
      <c r="O744" s="93"/>
    </row>
    <row r="745" ht="14.25" customHeight="1">
      <c r="A745" s="168"/>
      <c r="B745" s="47">
        <v>155.0</v>
      </c>
      <c r="C745" s="22">
        <v>5.0</v>
      </c>
      <c r="D745" s="25">
        <v>80.0</v>
      </c>
      <c r="E745" s="22">
        <v>3.0</v>
      </c>
      <c r="F745" s="47">
        <v>95.0</v>
      </c>
      <c r="G745" s="22">
        <v>5.0</v>
      </c>
      <c r="H745" s="25">
        <v>60.0</v>
      </c>
      <c r="I745" s="22">
        <v>3.0</v>
      </c>
      <c r="J745" s="25">
        <v>155.0</v>
      </c>
      <c r="K745" s="22">
        <v>5.0</v>
      </c>
      <c r="L745" s="47">
        <v>60.0</v>
      </c>
      <c r="M745" s="22">
        <v>3.0</v>
      </c>
      <c r="N745" s="30"/>
      <c r="O745" s="93"/>
    </row>
    <row r="746" ht="14.25" customHeight="1">
      <c r="A746" s="168"/>
      <c r="B746" s="47">
        <v>160.0</v>
      </c>
      <c r="C746" s="22">
        <v>5.0</v>
      </c>
      <c r="D746" s="25">
        <v>100.0</v>
      </c>
      <c r="E746" s="22">
        <v>3.0</v>
      </c>
      <c r="F746" s="47">
        <v>102.5</v>
      </c>
      <c r="G746" s="22">
        <v>5.0</v>
      </c>
      <c r="H746" s="25">
        <v>30.0</v>
      </c>
      <c r="I746" s="22">
        <v>3.0</v>
      </c>
      <c r="J746" s="47">
        <v>162.5</v>
      </c>
      <c r="K746" s="22">
        <v>5.0</v>
      </c>
      <c r="L746" s="25">
        <v>30.0</v>
      </c>
      <c r="M746" s="22">
        <v>3.0</v>
      </c>
      <c r="N746" s="30"/>
      <c r="O746" s="93"/>
    </row>
    <row r="747" ht="14.25" customHeight="1">
      <c r="A747" s="168"/>
      <c r="B747" s="47">
        <v>165.0</v>
      </c>
      <c r="C747" s="22">
        <v>5.0</v>
      </c>
      <c r="D747" s="25">
        <v>100.0</v>
      </c>
      <c r="E747" s="22">
        <v>3.0</v>
      </c>
      <c r="F747" s="25">
        <v>105.0</v>
      </c>
      <c r="G747" s="109">
        <v>5.0</v>
      </c>
      <c r="H747" s="25">
        <v>60.0</v>
      </c>
      <c r="I747" s="22">
        <v>3.0</v>
      </c>
      <c r="J747" s="25">
        <v>165.0</v>
      </c>
      <c r="K747" s="22">
        <v>5.0</v>
      </c>
      <c r="L747" s="47">
        <v>60.0</v>
      </c>
      <c r="M747" s="22">
        <v>5.0</v>
      </c>
      <c r="N747" s="30"/>
      <c r="O747" s="93"/>
    </row>
    <row r="748" ht="14.25" customHeight="1">
      <c r="A748" s="168"/>
      <c r="B748" s="47">
        <v>170.0</v>
      </c>
      <c r="C748" s="109">
        <v>5.0</v>
      </c>
      <c r="D748" s="173">
        <v>60.0</v>
      </c>
      <c r="E748" s="109">
        <v>3.0</v>
      </c>
      <c r="F748" s="25">
        <v>110.0</v>
      </c>
      <c r="G748" s="109">
        <v>5.0</v>
      </c>
      <c r="H748" s="23"/>
      <c r="I748" s="93"/>
      <c r="J748" s="47">
        <v>167.5</v>
      </c>
      <c r="K748" s="109">
        <v>5.0</v>
      </c>
      <c r="L748" s="47">
        <v>30.0</v>
      </c>
      <c r="M748" s="109">
        <v>3.0</v>
      </c>
      <c r="N748" s="30"/>
      <c r="O748" s="93"/>
    </row>
    <row r="749" ht="14.25" customHeight="1">
      <c r="A749" s="168"/>
      <c r="B749" s="30"/>
      <c r="C749" s="93"/>
      <c r="D749" s="173">
        <v>60.0</v>
      </c>
      <c r="E749" s="109">
        <v>3.0</v>
      </c>
      <c r="F749" s="23"/>
      <c r="G749" s="93"/>
      <c r="H749" s="23"/>
      <c r="I749" s="93"/>
      <c r="J749" s="23"/>
      <c r="K749" s="93"/>
      <c r="L749" s="47">
        <v>30.0</v>
      </c>
      <c r="M749" s="109">
        <v>3.0</v>
      </c>
      <c r="N749" s="30"/>
      <c r="O749" s="93"/>
    </row>
    <row r="750" ht="14.25" customHeight="1">
      <c r="A750" s="168"/>
      <c r="B750" s="98" t="s">
        <v>25</v>
      </c>
      <c r="C750" s="97">
        <f>C744*B744 + B745*C745 + B746*C746 + B747*C747 + B749*C749</f>
        <v>3125</v>
      </c>
      <c r="D750" s="98" t="s">
        <v>25</v>
      </c>
      <c r="E750" s="97">
        <f>E744*D744 + D745*E745 + D746*E746 + D747*E747 + D749*E749</f>
        <v>1200</v>
      </c>
      <c r="F750" s="176" t="s">
        <v>25</v>
      </c>
      <c r="G750" s="97">
        <f>G744*F744 + F745*G745 + F746*G746 + F747*G747 + F749*G749</f>
        <v>1937.5</v>
      </c>
      <c r="H750" s="176" t="s">
        <v>25</v>
      </c>
      <c r="I750" s="111">
        <f>I744*H744 + H745*I745 + H746*I746 + H747*I747 + H749*I749</f>
        <v>540</v>
      </c>
      <c r="J750" s="176" t="s">
        <v>25</v>
      </c>
      <c r="K750" s="97">
        <f>K744*J744 + J745*K745 + J746*K746 + J747*K747 + J749*K749</f>
        <v>3162.5</v>
      </c>
      <c r="L750" s="98" t="s">
        <v>25</v>
      </c>
      <c r="M750" s="97">
        <f>M744*L744 + L745*M745 + L746*M746 + L747*M747 + L749*M749</f>
        <v>840</v>
      </c>
      <c r="N750" s="98" t="s">
        <v>25</v>
      </c>
      <c r="O750" s="97">
        <f>O744*N744 + N745*O745 + N746*O746 + N747*O747 + N749*O749</f>
        <v>0</v>
      </c>
    </row>
    <row r="751" ht="14.25" customHeight="1">
      <c r="A751" s="168"/>
      <c r="B751" s="66" t="s">
        <v>26</v>
      </c>
      <c r="C751" s="102">
        <f>(B744*C744 + B745*C745 + B746*C746 + B747*C747 + B749*C749)/SUM(C744:C749)</f>
        <v>125</v>
      </c>
      <c r="D751" s="66" t="s">
        <v>26</v>
      </c>
      <c r="E751" s="102">
        <f>(D744*E744 + D745*E745 + D746*E746 + D747*E747 + D749*E749)/SUM(E744:E749)</f>
        <v>66.66666667</v>
      </c>
      <c r="F751" s="161" t="s">
        <v>26</v>
      </c>
      <c r="G751" s="102">
        <f>(F744*G744 + F745*G745 + F746*G746 + F747*G747 + F749*G749)/SUM(G744:G749)</f>
        <v>77.5</v>
      </c>
      <c r="H751" s="161" t="s">
        <v>26</v>
      </c>
      <c r="I751" s="102">
        <f>(H744*I744 + H745*I745 + H746*I746 + H747*I747 + H749*I749)/SUM(I744:I749)</f>
        <v>45</v>
      </c>
      <c r="J751" s="161" t="s">
        <v>26</v>
      </c>
      <c r="K751" s="102">
        <f>(J744*K744 + J745*K745 + J746*K746 + J747*K747 + J749*K749)/SUM(K744:K749)</f>
        <v>126.5</v>
      </c>
      <c r="L751" s="66" t="s">
        <v>26</v>
      </c>
      <c r="M751" s="102">
        <f>(L744*M744 + L745*M745 + L746*M746 + L747*M747 + L749*M749)/SUM(M744:M749)</f>
        <v>42</v>
      </c>
      <c r="N751" s="66" t="s">
        <v>26</v>
      </c>
      <c r="O751" s="102" t="str">
        <f>(N744*O744 + N745*O745 + N746*O746 + N747*O747 + N749*O749)/SUM(O744:O749)</f>
        <v>#DIV/0!</v>
      </c>
    </row>
    <row r="752" ht="14.25" customHeight="1">
      <c r="A752" s="168"/>
      <c r="B752" s="192" t="s">
        <v>531</v>
      </c>
      <c r="C752" s="107"/>
      <c r="D752" s="171"/>
      <c r="E752" s="107"/>
      <c r="F752" s="192" t="s">
        <v>532</v>
      </c>
      <c r="G752" s="50"/>
      <c r="H752" s="171" t="s">
        <v>33</v>
      </c>
      <c r="I752" s="107"/>
      <c r="J752" s="192" t="s">
        <v>531</v>
      </c>
      <c r="K752" s="107"/>
      <c r="L752" s="171"/>
      <c r="M752" s="50"/>
      <c r="N752" s="172" t="s">
        <v>249</v>
      </c>
      <c r="O752" s="172"/>
    </row>
    <row r="753" ht="14.25" customHeight="1">
      <c r="A753" s="168"/>
      <c r="B753" s="25">
        <v>6.0</v>
      </c>
      <c r="C753" s="93"/>
      <c r="D753" s="23"/>
      <c r="E753" s="93"/>
      <c r="F753" s="25">
        <v>4.0</v>
      </c>
      <c r="G753" s="93"/>
      <c r="H753" s="23"/>
      <c r="I753" s="93"/>
      <c r="J753" s="25">
        <v>6.0</v>
      </c>
      <c r="K753" s="26"/>
      <c r="L753" s="23"/>
      <c r="M753" s="26"/>
      <c r="N753" s="30"/>
      <c r="O753" s="109">
        <v>6.0</v>
      </c>
    </row>
    <row r="754" ht="14.25" customHeight="1">
      <c r="A754" s="168"/>
      <c r="B754" s="173">
        <v>6.0</v>
      </c>
      <c r="C754" s="26"/>
      <c r="D754" s="30"/>
      <c r="E754" s="26"/>
      <c r="F754" s="25">
        <v>4.0</v>
      </c>
      <c r="G754" s="93"/>
      <c r="H754" s="30"/>
      <c r="I754" s="26"/>
      <c r="J754" s="25">
        <v>6.0</v>
      </c>
      <c r="K754" s="26"/>
      <c r="L754" s="23"/>
      <c r="M754" s="26"/>
      <c r="N754" s="30"/>
      <c r="O754" s="109">
        <v>6.0</v>
      </c>
    </row>
    <row r="755" ht="14.25" customHeight="1">
      <c r="A755" s="168"/>
      <c r="B755" s="25">
        <v>6.0</v>
      </c>
      <c r="C755" s="26"/>
      <c r="D755" s="23"/>
      <c r="E755" s="26"/>
      <c r="F755" s="25">
        <v>4.0</v>
      </c>
      <c r="G755" s="93"/>
      <c r="H755" s="30"/>
      <c r="I755" s="93"/>
      <c r="J755" s="25">
        <v>6.0</v>
      </c>
      <c r="K755" s="26"/>
      <c r="L755" s="23"/>
      <c r="M755" s="26"/>
      <c r="N755" s="30"/>
      <c r="O755" s="109">
        <v>6.0</v>
      </c>
    </row>
    <row r="756" ht="14.25" customHeight="1">
      <c r="A756" s="168"/>
      <c r="B756" s="173">
        <v>6.0</v>
      </c>
      <c r="C756" s="93"/>
      <c r="D756" s="30"/>
      <c r="E756" s="93"/>
      <c r="F756" s="25">
        <v>4.0</v>
      </c>
      <c r="G756" s="93"/>
      <c r="H756" s="30"/>
      <c r="I756" s="93"/>
      <c r="J756" s="25">
        <v>6.0</v>
      </c>
      <c r="K756" s="93"/>
      <c r="L756" s="23"/>
      <c r="M756" s="93"/>
      <c r="N756" s="30"/>
      <c r="O756" s="93"/>
    </row>
    <row r="757" ht="14.25" customHeight="1">
      <c r="A757" s="190"/>
      <c r="B757" s="25">
        <v>6.0</v>
      </c>
      <c r="C757" s="26"/>
      <c r="D757" s="30"/>
      <c r="E757" s="93"/>
      <c r="F757" s="25">
        <v>4.0</v>
      </c>
      <c r="G757" s="93"/>
      <c r="H757" s="30"/>
      <c r="I757" s="93"/>
      <c r="J757" s="25">
        <v>6.0</v>
      </c>
      <c r="K757" s="93"/>
      <c r="L757" s="23"/>
      <c r="M757" s="93"/>
      <c r="N757" s="30"/>
      <c r="O757" s="93"/>
    </row>
    <row r="758" ht="14.25" customHeight="1">
      <c r="A758" s="190"/>
      <c r="B758" s="176" t="s">
        <v>25</v>
      </c>
      <c r="C758" s="182">
        <f>C753*B753 + B754*C754 + B755*C755 + B756*C756 + B757*C757</f>
        <v>0</v>
      </c>
      <c r="D758" s="98" t="s">
        <v>25</v>
      </c>
      <c r="E758" s="97">
        <f>E753*D753 + D754*E754 + D755*E755 + D756*E756 + D757*E757</f>
        <v>0</v>
      </c>
      <c r="F758" s="176" t="s">
        <v>25</v>
      </c>
      <c r="G758" s="97">
        <f>G753*F753 + F754*G754 + F755*G755 + F756*G756 + F757*G757</f>
        <v>0</v>
      </c>
      <c r="H758" s="98" t="s">
        <v>25</v>
      </c>
      <c r="I758" s="111">
        <f>I753*H753 + H754*I754 + H755*I755 + H756*I756 + H757*I757</f>
        <v>0</v>
      </c>
      <c r="J758" s="176" t="s">
        <v>25</v>
      </c>
      <c r="K758" s="97">
        <f>K753*J753 + J754*K754 + J755*K755 + J756*K756 + J757*K757</f>
        <v>0</v>
      </c>
      <c r="L758" s="98" t="s">
        <v>25</v>
      </c>
      <c r="M758" s="111">
        <f>M753*L753 + L754*M754 + L755*M755 + L756*M756 + L757*M757</f>
        <v>0</v>
      </c>
      <c r="N758" s="98" t="s">
        <v>25</v>
      </c>
      <c r="O758" s="111">
        <f>O753*N753 + N754*O754 + N755*O755 + N756*O756 + N757*O757</f>
        <v>0</v>
      </c>
    </row>
    <row r="759" ht="14.25" customHeight="1">
      <c r="A759" s="168"/>
      <c r="B759" s="161" t="s">
        <v>26</v>
      </c>
      <c r="C759" s="183" t="str">
        <f>(B753*C753 + B754*C754 + B755*C755 + B756*C756 + B757*C757)/SUM(C753:C757)</f>
        <v>#DIV/0!</v>
      </c>
      <c r="D759" s="66" t="s">
        <v>26</v>
      </c>
      <c r="E759" s="102" t="str">
        <f>(D753*E753 + D754*E754 + D755*E755 + D756*E756 + D757*E757)/SUM(E753:E757)</f>
        <v>#DIV/0!</v>
      </c>
      <c r="F759" s="161" t="s">
        <v>26</v>
      </c>
      <c r="G759" s="102" t="str">
        <f>(F753*G753 + F754*G754 + F755*G755 + F756*G756 + F757*G757)/SUM(G753:G757)</f>
        <v>#DIV/0!</v>
      </c>
      <c r="H759" s="66" t="s">
        <v>26</v>
      </c>
      <c r="I759" s="102" t="str">
        <f>(H753*I753 + H754*I754 + H755*I755 + H756*I756 + H757*I757)/SUM(I753:I757)</f>
        <v>#DIV/0!</v>
      </c>
      <c r="J759" s="161" t="s">
        <v>26</v>
      </c>
      <c r="K759" s="102" t="str">
        <f>(J753*K753 + J754*K754 + J755*K755 + J756*K756 + J757*K757)/SUM(K753:K757)</f>
        <v>#DIV/0!</v>
      </c>
      <c r="L759" s="66" t="s">
        <v>26</v>
      </c>
      <c r="M759" s="102" t="str">
        <f>(L753*M753 + L754*M754 + L755*M755 + L756*M756 + L757*M757)/SUM(M753:M757)</f>
        <v>#DIV/0!</v>
      </c>
      <c r="N759" s="66" t="s">
        <v>26</v>
      </c>
      <c r="O759" s="102">
        <f>(N753*O753 + N754*O754 + N755*O755 + N756*O756 + N757*O757)/SUM(O753:O757)</f>
        <v>0</v>
      </c>
    </row>
    <row r="760" ht="14.25" customHeight="1">
      <c r="A760" s="190"/>
      <c r="B760" s="23" t="s">
        <v>533</v>
      </c>
      <c r="C760" s="61"/>
      <c r="D760" s="30"/>
      <c r="E760" s="60"/>
      <c r="F760" s="23" t="s">
        <v>533</v>
      </c>
      <c r="G760" s="60"/>
      <c r="H760" s="30"/>
      <c r="I760" s="60"/>
      <c r="J760" s="23" t="s">
        <v>533</v>
      </c>
      <c r="K760" s="60"/>
      <c r="L760" s="30"/>
      <c r="M760" s="60"/>
      <c r="N760" s="30"/>
      <c r="O760" s="60"/>
    </row>
    <row r="761" ht="14.25" customHeight="1">
      <c r="A761" s="190"/>
      <c r="B761" s="23"/>
      <c r="C761" s="61"/>
      <c r="D761" s="23"/>
      <c r="E761" s="60"/>
      <c r="F761" s="23"/>
      <c r="G761" s="60"/>
      <c r="H761" s="23"/>
      <c r="I761" s="60"/>
      <c r="J761" s="23"/>
      <c r="K761" s="60"/>
      <c r="L761" s="30"/>
      <c r="M761" s="60"/>
      <c r="N761" s="30"/>
      <c r="O761" s="60"/>
    </row>
    <row r="762" ht="14.25" customHeight="1">
      <c r="A762" s="168"/>
      <c r="B762" s="23" t="s">
        <v>534</v>
      </c>
      <c r="C762" s="61"/>
      <c r="D762" s="23"/>
      <c r="E762" s="61"/>
      <c r="F762" s="23" t="s">
        <v>534</v>
      </c>
      <c r="G762" s="61"/>
      <c r="H762" s="23"/>
      <c r="I762" s="60"/>
      <c r="J762" s="23" t="s">
        <v>534</v>
      </c>
      <c r="K762" s="60"/>
      <c r="L762" s="23"/>
      <c r="M762" s="61"/>
      <c r="N762" s="30"/>
      <c r="O762" s="60"/>
    </row>
    <row r="763" ht="14.25" customHeight="1">
      <c r="A763" s="190"/>
      <c r="B763" s="23"/>
      <c r="C763" s="61"/>
      <c r="D763" s="23"/>
      <c r="E763" s="60"/>
      <c r="F763" s="23"/>
      <c r="G763" s="60"/>
      <c r="H763" s="23"/>
      <c r="I763" s="60"/>
      <c r="J763" s="23"/>
      <c r="K763" s="60"/>
      <c r="L763" s="23"/>
      <c r="M763" s="60"/>
      <c r="N763" s="30"/>
      <c r="O763" s="60"/>
    </row>
    <row r="764" ht="14.25" customHeight="1">
      <c r="A764" s="168"/>
      <c r="B764" s="23"/>
      <c r="C764" s="61"/>
      <c r="D764" s="23"/>
      <c r="E764" s="60"/>
      <c r="F764" s="23"/>
      <c r="G764" s="60"/>
      <c r="H764" s="23"/>
      <c r="I764" s="60"/>
      <c r="J764" s="23"/>
      <c r="K764" s="60"/>
      <c r="L764" s="23"/>
      <c r="M764" s="60"/>
      <c r="N764" s="30"/>
      <c r="O764" s="60"/>
    </row>
    <row r="765" ht="14.25" customHeight="1">
      <c r="A765" s="168"/>
      <c r="B765" s="23"/>
      <c r="C765" s="61"/>
      <c r="D765" s="23"/>
      <c r="E765" s="60"/>
      <c r="F765" s="23"/>
      <c r="G765" s="60"/>
      <c r="H765" s="23"/>
      <c r="I765" s="60"/>
      <c r="J765" s="23"/>
      <c r="K765" s="60"/>
      <c r="L765" s="23"/>
      <c r="M765" s="60"/>
      <c r="N765" s="30"/>
      <c r="O765" s="60"/>
    </row>
    <row r="766" ht="14.25" customHeight="1">
      <c r="A766" s="185"/>
      <c r="B766" s="161"/>
      <c r="C766" s="186"/>
      <c r="D766" s="66"/>
      <c r="E766" s="67"/>
      <c r="F766" s="161"/>
      <c r="G766" s="67"/>
      <c r="H766" s="66"/>
      <c r="I766" s="67"/>
      <c r="J766" s="161"/>
      <c r="K766" s="67"/>
      <c r="L766" s="161"/>
      <c r="M766" s="67"/>
      <c r="N766" s="66"/>
      <c r="O766" s="67"/>
    </row>
    <row r="767" ht="14.25" customHeight="1">
      <c r="A767" s="158"/>
      <c r="B767" s="159"/>
      <c r="C767" s="159"/>
      <c r="D767" s="158"/>
      <c r="E767" s="158"/>
      <c r="F767" s="159"/>
      <c r="G767" s="158"/>
      <c r="H767" s="158"/>
      <c r="I767" s="158"/>
      <c r="J767" s="159"/>
      <c r="K767" s="158"/>
      <c r="L767" s="158"/>
      <c r="M767" s="158"/>
      <c r="N767" s="158"/>
      <c r="O767" s="158"/>
    </row>
    <row r="768" ht="14.25" customHeight="1">
      <c r="A768" s="160" t="s">
        <v>2</v>
      </c>
      <c r="B768" s="161" t="s">
        <v>3</v>
      </c>
      <c r="C768" s="162">
        <f>O731+1</f>
        <v>45300</v>
      </c>
      <c r="D768" s="66" t="s">
        <v>4</v>
      </c>
      <c r="E768" s="162">
        <f>C768+1</f>
        <v>45301</v>
      </c>
      <c r="F768" s="161" t="s">
        <v>5</v>
      </c>
      <c r="G768" s="162">
        <f>E768+1</f>
        <v>45302</v>
      </c>
      <c r="H768" s="66" t="s">
        <v>6</v>
      </c>
      <c r="I768" s="162">
        <f>G768+1</f>
        <v>45303</v>
      </c>
      <c r="J768" s="161" t="s">
        <v>7</v>
      </c>
      <c r="K768" s="162">
        <f>I768+1</f>
        <v>45304</v>
      </c>
      <c r="L768" s="66"/>
      <c r="M768" s="162"/>
      <c r="N768" s="66"/>
      <c r="O768" s="162"/>
    </row>
    <row r="769" ht="14.25" customHeight="1">
      <c r="A769" s="163">
        <f>A732+1</f>
        <v>22</v>
      </c>
      <c r="B769" s="164" t="s">
        <v>421</v>
      </c>
      <c r="C769" s="165" t="s">
        <v>422</v>
      </c>
      <c r="D769" s="166" t="s">
        <v>421</v>
      </c>
      <c r="E769" s="165" t="s">
        <v>422</v>
      </c>
      <c r="F769" s="164" t="s">
        <v>421</v>
      </c>
      <c r="G769" s="165" t="s">
        <v>422</v>
      </c>
      <c r="H769" s="166" t="s">
        <v>421</v>
      </c>
      <c r="I769" s="165" t="s">
        <v>422</v>
      </c>
      <c r="J769" s="164" t="s">
        <v>421</v>
      </c>
      <c r="K769" s="165" t="s">
        <v>422</v>
      </c>
      <c r="L769" s="166"/>
      <c r="M769" s="165"/>
      <c r="N769" s="166"/>
      <c r="O769" s="165"/>
    </row>
    <row r="770" ht="14.25" customHeight="1">
      <c r="A770" s="168"/>
      <c r="B770" s="193" t="s">
        <v>525</v>
      </c>
      <c r="C770" s="170"/>
      <c r="D770" s="169" t="s">
        <v>525</v>
      </c>
      <c r="E770" s="170"/>
      <c r="F770" s="169" t="s">
        <v>525</v>
      </c>
      <c r="G770" s="170"/>
      <c r="H770" s="187" t="s">
        <v>535</v>
      </c>
      <c r="I770" s="170"/>
      <c r="J770" s="187" t="s">
        <v>535</v>
      </c>
      <c r="K770" s="170"/>
      <c r="L770" s="169"/>
      <c r="M770" s="170"/>
      <c r="N770" s="169"/>
      <c r="O770" s="170"/>
    </row>
    <row r="771" ht="14.25" customHeight="1">
      <c r="A771" s="168" t="s">
        <v>12</v>
      </c>
      <c r="B771" s="192" t="s">
        <v>526</v>
      </c>
      <c r="C771" s="107"/>
      <c r="D771" s="171" t="s">
        <v>15</v>
      </c>
      <c r="E771" s="107"/>
      <c r="F771" s="192" t="s">
        <v>527</v>
      </c>
      <c r="G771" s="107"/>
      <c r="H771" s="171"/>
      <c r="I771" s="107"/>
      <c r="J771" s="192"/>
      <c r="K771" s="107"/>
      <c r="L771" s="171"/>
      <c r="M771" s="107"/>
      <c r="N771" s="172"/>
      <c r="O771" s="107"/>
    </row>
    <row r="772" ht="14.25" customHeight="1">
      <c r="A772" s="168"/>
      <c r="B772" s="47">
        <v>105.0</v>
      </c>
      <c r="C772" s="22">
        <v>5.0</v>
      </c>
      <c r="D772" s="25" t="s">
        <v>528</v>
      </c>
      <c r="E772" s="26"/>
      <c r="F772" s="47">
        <v>55.0</v>
      </c>
      <c r="G772" s="22">
        <v>5.0</v>
      </c>
      <c r="H772" s="25"/>
      <c r="I772" s="26"/>
      <c r="J772" s="47"/>
      <c r="K772" s="22"/>
      <c r="L772" s="25"/>
      <c r="M772" s="26"/>
      <c r="N772" s="30"/>
      <c r="O772" s="93"/>
    </row>
    <row r="773" ht="14.25" customHeight="1">
      <c r="A773" s="168"/>
      <c r="B773" s="47">
        <v>107.5</v>
      </c>
      <c r="C773" s="22">
        <v>4.0</v>
      </c>
      <c r="D773" s="25" t="s">
        <v>529</v>
      </c>
      <c r="E773" s="26"/>
      <c r="F773" s="47">
        <v>65.0</v>
      </c>
      <c r="G773" s="22">
        <v>4.0</v>
      </c>
      <c r="H773" s="25"/>
      <c r="I773" s="26"/>
      <c r="J773" s="47"/>
      <c r="K773" s="22"/>
      <c r="L773" s="25"/>
      <c r="M773" s="26"/>
      <c r="N773" s="30"/>
      <c r="O773" s="93"/>
    </row>
    <row r="774" ht="14.25" customHeight="1">
      <c r="A774" s="168"/>
      <c r="B774" s="47">
        <v>110.0</v>
      </c>
      <c r="C774" s="22">
        <v>3.0</v>
      </c>
      <c r="D774" s="25" t="s">
        <v>84</v>
      </c>
      <c r="E774" s="26"/>
      <c r="F774" s="47">
        <v>70.0</v>
      </c>
      <c r="G774" s="22">
        <v>3.0</v>
      </c>
      <c r="H774" s="25"/>
      <c r="I774" s="26"/>
      <c r="J774" s="47"/>
      <c r="K774" s="22"/>
      <c r="L774" s="25"/>
      <c r="M774" s="26"/>
      <c r="N774" s="30"/>
      <c r="O774" s="93"/>
    </row>
    <row r="775" ht="14.25" customHeight="1">
      <c r="A775" s="168"/>
      <c r="B775" s="47">
        <v>112.5</v>
      </c>
      <c r="C775" s="22">
        <v>3.0</v>
      </c>
      <c r="D775" s="23"/>
      <c r="E775" s="26"/>
      <c r="F775" s="47">
        <v>72.5</v>
      </c>
      <c r="G775" s="22">
        <v>3.0</v>
      </c>
      <c r="H775" s="23"/>
      <c r="I775" s="26"/>
      <c r="J775" s="47"/>
      <c r="K775" s="22"/>
      <c r="L775" s="23"/>
      <c r="M775" s="26"/>
      <c r="N775" s="30"/>
      <c r="O775" s="93"/>
    </row>
    <row r="776" ht="14.25" customHeight="1">
      <c r="A776" s="168"/>
      <c r="B776" s="47">
        <v>115.0</v>
      </c>
      <c r="C776" s="22">
        <v>2.0</v>
      </c>
      <c r="D776" s="23"/>
      <c r="E776" s="26"/>
      <c r="F776" s="47">
        <v>75.0</v>
      </c>
      <c r="G776" s="109">
        <v>2.0</v>
      </c>
      <c r="H776" s="23"/>
      <c r="I776" s="93"/>
      <c r="J776" s="47"/>
      <c r="K776" s="109"/>
      <c r="L776" s="30"/>
      <c r="M776" s="93"/>
      <c r="N776" s="30"/>
      <c r="O776" s="93"/>
    </row>
    <row r="777" ht="14.25" customHeight="1">
      <c r="A777" s="168"/>
      <c r="B777" s="98" t="s">
        <v>25</v>
      </c>
      <c r="C777" s="111">
        <f>C772*B772 + B773*C773 + B774*C774 + B775*C775 + B776*C776</f>
        <v>1852.5</v>
      </c>
      <c r="D777" s="98" t="s">
        <v>25</v>
      </c>
      <c r="E777" s="97" t="str">
        <f>E772*D772 + D773*#REF! + E773*E774 + D775*E775 + D776*E776</f>
        <v>#VALUE!</v>
      </c>
      <c r="F777" s="176" t="s">
        <v>25</v>
      </c>
      <c r="G777" s="111">
        <f>G772*F772 + F773*G773 + F774*G774 + F775*G775 + F776*G776</f>
        <v>1112.5</v>
      </c>
      <c r="H777" s="176"/>
      <c r="I777" s="111"/>
      <c r="J777" s="176"/>
      <c r="K777" s="111"/>
      <c r="L777" s="98"/>
      <c r="M777" s="97"/>
      <c r="N777" s="98"/>
      <c r="O777" s="97"/>
    </row>
    <row r="778" ht="14.25" customHeight="1">
      <c r="A778" s="168"/>
      <c r="B778" s="66" t="s">
        <v>26</v>
      </c>
      <c r="C778" s="179">
        <f>(B772*C772 + B773*C773 + B774*C774 + B775*C775 + B776*C776)/SUM(C772:C776)</f>
        <v>108.9705882</v>
      </c>
      <c r="D778" s="66" t="s">
        <v>26</v>
      </c>
      <c r="E778" s="102" t="str">
        <f>(D772*E772 + D773*#REF! + E773*E774 + D775*E775 + D776*E776)/SUM(E772:E776)</f>
        <v>#VALUE!</v>
      </c>
      <c r="F778" s="161" t="s">
        <v>26</v>
      </c>
      <c r="G778" s="179">
        <f>(F772*G772 + F773*G773 + F774*G774 + F775*G775 + F776*G776)/SUM(G772:G776)</f>
        <v>65.44117647</v>
      </c>
      <c r="H778" s="161"/>
      <c r="I778" s="179"/>
      <c r="J778" s="161"/>
      <c r="K778" s="179"/>
      <c r="L778" s="66"/>
      <c r="M778" s="102"/>
      <c r="N778" s="66"/>
      <c r="O778" s="102"/>
    </row>
    <row r="779" ht="14.25" customHeight="1">
      <c r="A779" s="168"/>
      <c r="B779" s="166" t="s">
        <v>421</v>
      </c>
      <c r="C779" s="167" t="s">
        <v>422</v>
      </c>
      <c r="D779" s="166" t="s">
        <v>421</v>
      </c>
      <c r="E779" s="167" t="s">
        <v>422</v>
      </c>
      <c r="F779" s="164" t="s">
        <v>421</v>
      </c>
      <c r="G779" s="167" t="s">
        <v>422</v>
      </c>
      <c r="H779" s="164"/>
      <c r="I779" s="167"/>
      <c r="J779" s="164"/>
      <c r="K779" s="167"/>
      <c r="L779" s="166"/>
      <c r="M779" s="167"/>
      <c r="N779" s="166"/>
      <c r="O779" s="167"/>
    </row>
    <row r="780" ht="14.25" customHeight="1">
      <c r="A780" s="168"/>
      <c r="B780" s="171" t="s">
        <v>530</v>
      </c>
      <c r="C780" s="107"/>
      <c r="D780" s="171" t="s">
        <v>51</v>
      </c>
      <c r="E780" s="107" t="s">
        <v>31</v>
      </c>
      <c r="F780" s="192" t="s">
        <v>301</v>
      </c>
      <c r="G780" s="50"/>
      <c r="H780" s="171"/>
      <c r="I780" s="107"/>
      <c r="J780" s="171"/>
      <c r="K780" s="107"/>
      <c r="L780" s="171"/>
      <c r="M780" s="107"/>
      <c r="N780" s="172"/>
      <c r="O780" s="107"/>
    </row>
    <row r="781" ht="14.25" customHeight="1">
      <c r="A781" s="168"/>
      <c r="B781" s="47">
        <v>145.0</v>
      </c>
      <c r="C781" s="22">
        <v>5.0</v>
      </c>
      <c r="D781" s="25">
        <v>60.0</v>
      </c>
      <c r="E781" s="22">
        <v>3.0</v>
      </c>
      <c r="F781" s="47">
        <v>85.0</v>
      </c>
      <c r="G781" s="22">
        <v>5.0</v>
      </c>
      <c r="H781" s="47"/>
      <c r="I781" s="22"/>
      <c r="J781" s="47"/>
      <c r="K781" s="22"/>
      <c r="L781" s="25"/>
      <c r="M781" s="22"/>
      <c r="N781" s="30"/>
      <c r="O781" s="93"/>
    </row>
    <row r="782" ht="14.25" customHeight="1">
      <c r="A782" s="168"/>
      <c r="B782" s="47">
        <v>155.0</v>
      </c>
      <c r="C782" s="22">
        <v>5.0</v>
      </c>
      <c r="D782" s="25">
        <v>80.0</v>
      </c>
      <c r="E782" s="22">
        <v>3.0</v>
      </c>
      <c r="F782" s="47">
        <v>95.0</v>
      </c>
      <c r="G782" s="22">
        <v>5.0</v>
      </c>
      <c r="H782" s="25"/>
      <c r="I782" s="22"/>
      <c r="J782" s="25"/>
      <c r="K782" s="22"/>
      <c r="L782" s="47"/>
      <c r="M782" s="22"/>
      <c r="N782" s="30"/>
      <c r="O782" s="93"/>
    </row>
    <row r="783" ht="14.25" customHeight="1">
      <c r="A783" s="168"/>
      <c r="B783" s="47">
        <v>160.0</v>
      </c>
      <c r="C783" s="22">
        <v>5.0</v>
      </c>
      <c r="D783" s="25">
        <v>100.0</v>
      </c>
      <c r="E783" s="22">
        <v>3.0</v>
      </c>
      <c r="F783" s="47">
        <v>102.5</v>
      </c>
      <c r="G783" s="22">
        <v>5.0</v>
      </c>
      <c r="H783" s="25"/>
      <c r="I783" s="22"/>
      <c r="J783" s="47"/>
      <c r="K783" s="22"/>
      <c r="L783" s="25"/>
      <c r="M783" s="22"/>
      <c r="N783" s="30"/>
      <c r="O783" s="93"/>
    </row>
    <row r="784" ht="14.25" customHeight="1">
      <c r="A784" s="168"/>
      <c r="B784" s="47">
        <v>165.0</v>
      </c>
      <c r="C784" s="22">
        <v>5.0</v>
      </c>
      <c r="D784" s="25">
        <v>100.0</v>
      </c>
      <c r="E784" s="22">
        <v>3.0</v>
      </c>
      <c r="F784" s="25">
        <v>105.0</v>
      </c>
      <c r="G784" s="109">
        <v>5.0</v>
      </c>
      <c r="H784" s="25"/>
      <c r="I784" s="22"/>
      <c r="J784" s="25"/>
      <c r="K784" s="22"/>
      <c r="L784" s="47"/>
      <c r="M784" s="22"/>
      <c r="N784" s="30"/>
      <c r="O784" s="93"/>
    </row>
    <row r="785" ht="14.25" customHeight="1">
      <c r="A785" s="168"/>
      <c r="B785" s="47">
        <v>170.0</v>
      </c>
      <c r="C785" s="109">
        <v>5.0</v>
      </c>
      <c r="D785" s="173">
        <v>60.0</v>
      </c>
      <c r="E785" s="109">
        <v>3.0</v>
      </c>
      <c r="F785" s="25">
        <v>110.0</v>
      </c>
      <c r="G785" s="109">
        <v>5.0</v>
      </c>
      <c r="H785" s="23"/>
      <c r="I785" s="93"/>
      <c r="J785" s="47"/>
      <c r="K785" s="109"/>
      <c r="L785" s="47"/>
      <c r="M785" s="109"/>
      <c r="N785" s="30"/>
      <c r="O785" s="93"/>
    </row>
    <row r="786" ht="14.25" customHeight="1">
      <c r="A786" s="168"/>
      <c r="B786" s="30"/>
      <c r="C786" s="93"/>
      <c r="D786" s="173">
        <v>60.0</v>
      </c>
      <c r="E786" s="109">
        <v>3.0</v>
      </c>
      <c r="F786" s="23"/>
      <c r="G786" s="93"/>
      <c r="H786" s="23"/>
      <c r="I786" s="93"/>
      <c r="J786" s="23"/>
      <c r="K786" s="93"/>
      <c r="L786" s="47"/>
      <c r="M786" s="109"/>
      <c r="N786" s="30"/>
      <c r="O786" s="93"/>
    </row>
    <row r="787" ht="14.25" customHeight="1">
      <c r="A787" s="168"/>
      <c r="B787" s="98" t="s">
        <v>25</v>
      </c>
      <c r="C787" s="97">
        <f>C781*B781 + B782*C782 + B783*C783 + B784*C784 + B786*C786</f>
        <v>3125</v>
      </c>
      <c r="D787" s="98" t="s">
        <v>25</v>
      </c>
      <c r="E787" s="97">
        <f>E781*D781 + D782*E782 + D783*E783 + D784*E784 + D786*E786</f>
        <v>1200</v>
      </c>
      <c r="F787" s="176" t="s">
        <v>25</v>
      </c>
      <c r="G787" s="97">
        <f>G781*F781 + F782*G782 + F783*G783 + F784*G784 + F786*G786</f>
        <v>1937.5</v>
      </c>
      <c r="H787" s="176" t="s">
        <v>25</v>
      </c>
      <c r="I787" s="111">
        <f>I781*H781 + H782*I782 + H783*I783 + H784*I784 + H786*I786</f>
        <v>0</v>
      </c>
      <c r="J787" s="176" t="s">
        <v>25</v>
      </c>
      <c r="K787" s="97">
        <f>K781*J781 + J782*K782 + J783*K783 + J784*K784 + J786*K786</f>
        <v>0</v>
      </c>
      <c r="L787" s="98"/>
      <c r="M787" s="97"/>
      <c r="N787" s="98"/>
      <c r="O787" s="97"/>
    </row>
    <row r="788" ht="14.25" customHeight="1">
      <c r="A788" s="168"/>
      <c r="B788" s="66" t="s">
        <v>26</v>
      </c>
      <c r="C788" s="102">
        <f>(B781*C781 + B782*C782 + B783*C783 + B784*C784 + B786*C786)/SUM(C781:C786)</f>
        <v>125</v>
      </c>
      <c r="D788" s="66" t="s">
        <v>26</v>
      </c>
      <c r="E788" s="102">
        <f>(D781*E781 + D782*E782 + D783*E783 + D784*E784 + D786*E786)/SUM(E781:E786)</f>
        <v>66.66666667</v>
      </c>
      <c r="F788" s="161" t="s">
        <v>26</v>
      </c>
      <c r="G788" s="102">
        <f>(F781*G781 + F782*G782 + F783*G783 + F784*G784 + F786*G786)/SUM(G781:G786)</f>
        <v>77.5</v>
      </c>
      <c r="H788" s="161" t="s">
        <v>26</v>
      </c>
      <c r="I788" s="102" t="str">
        <f>(H781*I781 + H782*I782 + H783*I783 + H784*I784 + H786*I786)/SUM(I781:I786)</f>
        <v>#DIV/0!</v>
      </c>
      <c r="J788" s="161" t="s">
        <v>26</v>
      </c>
      <c r="K788" s="102" t="str">
        <f>(J781*K781 + J782*K782 + J783*K783 + J784*K784 + J786*K786)/SUM(K781:K786)</f>
        <v>#DIV/0!</v>
      </c>
      <c r="L788" s="66"/>
      <c r="M788" s="102"/>
      <c r="N788" s="66"/>
      <c r="O788" s="102"/>
    </row>
    <row r="789" ht="14.25" customHeight="1">
      <c r="A789" s="168"/>
      <c r="B789" s="192" t="s">
        <v>531</v>
      </c>
      <c r="C789" s="107"/>
      <c r="D789" s="171"/>
      <c r="E789" s="107"/>
      <c r="F789" s="192" t="s">
        <v>532</v>
      </c>
      <c r="G789" s="50"/>
      <c r="H789" s="171"/>
      <c r="I789" s="107"/>
      <c r="J789" s="192"/>
      <c r="K789" s="107"/>
      <c r="L789" s="171"/>
      <c r="M789" s="50"/>
      <c r="N789" s="172"/>
      <c r="O789" s="172"/>
    </row>
    <row r="790" ht="14.25" customHeight="1">
      <c r="A790" s="168"/>
      <c r="B790" s="25">
        <v>6.0</v>
      </c>
      <c r="C790" s="93"/>
      <c r="D790" s="23"/>
      <c r="E790" s="93"/>
      <c r="F790" s="25">
        <v>4.0</v>
      </c>
      <c r="G790" s="93"/>
      <c r="H790" s="23"/>
      <c r="I790" s="93"/>
      <c r="J790" s="25"/>
      <c r="K790" s="26"/>
      <c r="L790" s="23"/>
      <c r="M790" s="26"/>
      <c r="N790" s="30"/>
      <c r="O790" s="109"/>
    </row>
    <row r="791" ht="14.25" customHeight="1">
      <c r="A791" s="168"/>
      <c r="B791" s="173">
        <v>6.0</v>
      </c>
      <c r="C791" s="26"/>
      <c r="D791" s="30"/>
      <c r="E791" s="26"/>
      <c r="F791" s="25">
        <v>4.0</v>
      </c>
      <c r="G791" s="93"/>
      <c r="H791" s="30"/>
      <c r="I791" s="26"/>
      <c r="J791" s="25"/>
      <c r="K791" s="26"/>
      <c r="L791" s="23"/>
      <c r="M791" s="26"/>
      <c r="N791" s="30"/>
      <c r="O791" s="109"/>
    </row>
    <row r="792" ht="14.25" customHeight="1">
      <c r="A792" s="168"/>
      <c r="B792" s="25">
        <v>6.0</v>
      </c>
      <c r="C792" s="26"/>
      <c r="D792" s="23"/>
      <c r="E792" s="26"/>
      <c r="F792" s="25">
        <v>4.0</v>
      </c>
      <c r="G792" s="93"/>
      <c r="H792" s="30"/>
      <c r="I792" s="93"/>
      <c r="J792" s="25"/>
      <c r="K792" s="26"/>
      <c r="L792" s="23"/>
      <c r="M792" s="26"/>
      <c r="N792" s="30"/>
      <c r="O792" s="109"/>
    </row>
    <row r="793" ht="14.25" customHeight="1">
      <c r="A793" s="168"/>
      <c r="B793" s="173">
        <v>6.0</v>
      </c>
      <c r="C793" s="93"/>
      <c r="D793" s="30"/>
      <c r="E793" s="93"/>
      <c r="F793" s="25">
        <v>4.0</v>
      </c>
      <c r="G793" s="93"/>
      <c r="H793" s="30"/>
      <c r="I793" s="93"/>
      <c r="J793" s="25"/>
      <c r="K793" s="93"/>
      <c r="L793" s="23"/>
      <c r="M793" s="93"/>
      <c r="N793" s="30"/>
      <c r="O793" s="93"/>
    </row>
    <row r="794" ht="14.25" customHeight="1">
      <c r="A794" s="190"/>
      <c r="B794" s="25">
        <v>6.0</v>
      </c>
      <c r="C794" s="26"/>
      <c r="D794" s="30"/>
      <c r="E794" s="93"/>
      <c r="F794" s="25">
        <v>4.0</v>
      </c>
      <c r="G794" s="93"/>
      <c r="H794" s="30"/>
      <c r="I794" s="93"/>
      <c r="J794" s="25"/>
      <c r="K794" s="93"/>
      <c r="L794" s="23"/>
      <c r="M794" s="93"/>
      <c r="N794" s="30"/>
      <c r="O794" s="93"/>
    </row>
    <row r="795" ht="14.25" customHeight="1">
      <c r="A795" s="190"/>
      <c r="B795" s="176" t="s">
        <v>25</v>
      </c>
      <c r="C795" s="182">
        <f>C790*B790 + B791*C791 + B792*C792 + B793*C793 + B794*C794</f>
        <v>0</v>
      </c>
      <c r="D795" s="98" t="s">
        <v>25</v>
      </c>
      <c r="E795" s="97">
        <f>E790*D790 + D791*E791 + D792*E792 + D793*E793 + D794*E794</f>
        <v>0</v>
      </c>
      <c r="F795" s="176" t="s">
        <v>25</v>
      </c>
      <c r="G795" s="97">
        <f>G790*F790 + F791*G791 + F792*G792 + F793*G793 + F794*G794</f>
        <v>0</v>
      </c>
      <c r="H795" s="98" t="s">
        <v>25</v>
      </c>
      <c r="I795" s="111">
        <f>I790*H790 + H791*I791 + H792*I792 + H793*I793 + H794*I794</f>
        <v>0</v>
      </c>
      <c r="J795" s="176" t="s">
        <v>25</v>
      </c>
      <c r="K795" s="97">
        <f>K790*J790 + J791*K791 + J792*K792 + J793*K793 + J794*K794</f>
        <v>0</v>
      </c>
      <c r="L795" s="98"/>
      <c r="M795" s="111"/>
      <c r="N795" s="98"/>
      <c r="O795" s="111"/>
    </row>
    <row r="796" ht="14.25" customHeight="1">
      <c r="A796" s="168"/>
      <c r="B796" s="161" t="s">
        <v>26</v>
      </c>
      <c r="C796" s="183" t="str">
        <f>(B790*C790 + B791*C791 + B792*C792 + B793*C793 + B794*C794)/SUM(C790:C794)</f>
        <v>#DIV/0!</v>
      </c>
      <c r="D796" s="66" t="s">
        <v>26</v>
      </c>
      <c r="E796" s="102" t="str">
        <f>(D790*E790 + D791*E791 + D792*E792 + D793*E793 + D794*E794)/SUM(E790:E794)</f>
        <v>#DIV/0!</v>
      </c>
      <c r="F796" s="161" t="s">
        <v>26</v>
      </c>
      <c r="G796" s="102" t="str">
        <f>(F790*G790 + F791*G791 + F792*G792 + F793*G793 + F794*G794)/SUM(G790:G794)</f>
        <v>#DIV/0!</v>
      </c>
      <c r="H796" s="66" t="s">
        <v>26</v>
      </c>
      <c r="I796" s="102" t="str">
        <f>(H790*I790 + H791*I791 + H792*I792 + H793*I793 + H794*I794)/SUM(I790:I794)</f>
        <v>#DIV/0!</v>
      </c>
      <c r="J796" s="161" t="s">
        <v>26</v>
      </c>
      <c r="K796" s="102" t="str">
        <f>(J790*K790 + J791*K791 + J792*K792 + J793*K793 + J794*K794)/SUM(K790:K794)</f>
        <v>#DIV/0!</v>
      </c>
      <c r="L796" s="66"/>
      <c r="M796" s="102"/>
      <c r="N796" s="66"/>
      <c r="O796" s="102"/>
    </row>
    <row r="797" ht="14.25" customHeight="1">
      <c r="A797" s="190"/>
      <c r="B797" s="23" t="s">
        <v>533</v>
      </c>
      <c r="C797" s="61"/>
      <c r="D797" s="30"/>
      <c r="E797" s="60"/>
      <c r="F797" s="23" t="s">
        <v>533</v>
      </c>
      <c r="G797" s="60"/>
      <c r="H797" s="30"/>
      <c r="I797" s="60"/>
      <c r="J797" s="23" t="s">
        <v>533</v>
      </c>
      <c r="K797" s="60"/>
      <c r="L797" s="30"/>
      <c r="M797" s="60"/>
      <c r="N797" s="30"/>
      <c r="O797" s="60"/>
    </row>
    <row r="798" ht="14.25" customHeight="1">
      <c r="A798" s="190"/>
      <c r="B798" s="23"/>
      <c r="C798" s="61"/>
      <c r="D798" s="23"/>
      <c r="E798" s="60"/>
      <c r="F798" s="23"/>
      <c r="G798" s="60"/>
      <c r="H798" s="23"/>
      <c r="I798" s="60"/>
      <c r="J798" s="23"/>
      <c r="K798" s="60"/>
      <c r="L798" s="30"/>
      <c r="M798" s="60"/>
      <c r="N798" s="30"/>
      <c r="O798" s="60"/>
    </row>
    <row r="799" ht="14.25" customHeight="1">
      <c r="A799" s="168"/>
      <c r="B799" s="23" t="s">
        <v>534</v>
      </c>
      <c r="C799" s="61"/>
      <c r="D799" s="23"/>
      <c r="E799" s="61"/>
      <c r="F799" s="23" t="s">
        <v>534</v>
      </c>
      <c r="G799" s="61"/>
      <c r="H799" s="23"/>
      <c r="I799" s="60"/>
      <c r="J799" s="23" t="s">
        <v>534</v>
      </c>
      <c r="K799" s="60"/>
      <c r="L799" s="23"/>
      <c r="M799" s="61"/>
      <c r="N799" s="30"/>
      <c r="O799" s="60"/>
    </row>
    <row r="800" ht="14.25" customHeight="1">
      <c r="A800" s="190"/>
      <c r="B800" s="23"/>
      <c r="C800" s="61"/>
      <c r="D800" s="23"/>
      <c r="E800" s="60"/>
      <c r="F800" s="23"/>
      <c r="G800" s="60"/>
      <c r="H800" s="23"/>
      <c r="I800" s="60"/>
      <c r="J800" s="23"/>
      <c r="K800" s="60"/>
      <c r="L800" s="23"/>
      <c r="M800" s="60"/>
      <c r="N800" s="30"/>
      <c r="O800" s="60"/>
    </row>
    <row r="801" ht="14.25" customHeight="1">
      <c r="A801" s="168"/>
      <c r="B801" s="23"/>
      <c r="C801" s="61"/>
      <c r="D801" s="23"/>
      <c r="E801" s="60"/>
      <c r="F801" s="23"/>
      <c r="G801" s="60"/>
      <c r="H801" s="23"/>
      <c r="I801" s="60"/>
      <c r="J801" s="23"/>
      <c r="K801" s="60"/>
      <c r="L801" s="23"/>
      <c r="M801" s="60"/>
      <c r="N801" s="30"/>
      <c r="O801" s="60"/>
    </row>
    <row r="802" ht="14.25" customHeight="1">
      <c r="A802" s="168"/>
      <c r="B802" s="23"/>
      <c r="C802" s="61"/>
      <c r="D802" s="23"/>
      <c r="E802" s="60"/>
      <c r="F802" s="23"/>
      <c r="G802" s="60"/>
      <c r="H802" s="23"/>
      <c r="I802" s="60"/>
      <c r="J802" s="23"/>
      <c r="K802" s="60"/>
      <c r="L802" s="23"/>
      <c r="M802" s="60"/>
      <c r="N802" s="30"/>
      <c r="O802" s="60"/>
    </row>
    <row r="803" ht="14.25" customHeight="1">
      <c r="A803" s="185"/>
      <c r="B803" s="161"/>
      <c r="C803" s="186"/>
      <c r="D803" s="66"/>
      <c r="E803" s="67"/>
      <c r="F803" s="161"/>
      <c r="G803" s="67"/>
      <c r="H803" s="66"/>
      <c r="I803" s="67"/>
      <c r="J803" s="161"/>
      <c r="K803" s="67"/>
      <c r="L803" s="161"/>
      <c r="M803" s="67"/>
      <c r="N803" s="66"/>
      <c r="O803" s="67"/>
    </row>
    <row r="804" ht="14.25" customHeight="1">
      <c r="A804" s="158"/>
      <c r="B804" s="159"/>
      <c r="C804" s="159"/>
      <c r="D804" s="158"/>
      <c r="E804" s="158"/>
      <c r="F804" s="159"/>
      <c r="G804" s="158"/>
      <c r="H804" s="158"/>
      <c r="I804" s="158"/>
      <c r="J804" s="159"/>
      <c r="K804" s="158"/>
      <c r="L804" s="158"/>
      <c r="M804" s="158"/>
      <c r="N804" s="158"/>
      <c r="O804" s="158"/>
    </row>
    <row r="805" ht="14.25" customHeight="1">
      <c r="A805" s="160" t="s">
        <v>2</v>
      </c>
      <c r="B805" s="161" t="s">
        <v>3</v>
      </c>
      <c r="C805" s="162">
        <f>K768+1</f>
        <v>45305</v>
      </c>
      <c r="D805" s="66" t="s">
        <v>4</v>
      </c>
      <c r="E805" s="162">
        <f>C805+1</f>
        <v>45306</v>
      </c>
      <c r="F805" s="161" t="s">
        <v>5</v>
      </c>
      <c r="G805" s="162">
        <f>E805+1</f>
        <v>45307</v>
      </c>
      <c r="H805" s="66" t="s">
        <v>6</v>
      </c>
      <c r="I805" s="162">
        <f>G805+1</f>
        <v>45308</v>
      </c>
      <c r="J805" s="161" t="s">
        <v>7</v>
      </c>
      <c r="K805" s="162">
        <f>I805+1</f>
        <v>45309</v>
      </c>
      <c r="L805" s="114" t="s">
        <v>8</v>
      </c>
      <c r="M805" s="162">
        <f>K805+1</f>
        <v>45310</v>
      </c>
      <c r="N805" s="114" t="s">
        <v>9</v>
      </c>
      <c r="O805" s="162">
        <f>M805+1</f>
        <v>45311</v>
      </c>
    </row>
    <row r="806" ht="14.25" customHeight="1">
      <c r="A806" s="163">
        <f>A769+1</f>
        <v>23</v>
      </c>
      <c r="B806" s="164" t="s">
        <v>421</v>
      </c>
      <c r="C806" s="165" t="s">
        <v>422</v>
      </c>
      <c r="D806" s="166" t="s">
        <v>421</v>
      </c>
      <c r="E806" s="165" t="s">
        <v>422</v>
      </c>
      <c r="F806" s="164" t="s">
        <v>421</v>
      </c>
      <c r="G806" s="165" t="s">
        <v>422</v>
      </c>
      <c r="H806" s="166" t="s">
        <v>421</v>
      </c>
      <c r="I806" s="165" t="s">
        <v>422</v>
      </c>
      <c r="J806" s="164" t="s">
        <v>421</v>
      </c>
      <c r="K806" s="165" t="s">
        <v>422</v>
      </c>
      <c r="L806" s="166" t="s">
        <v>421</v>
      </c>
      <c r="M806" s="165" t="s">
        <v>422</v>
      </c>
      <c r="N806" s="166" t="s">
        <v>421</v>
      </c>
      <c r="O806" s="165" t="s">
        <v>422</v>
      </c>
    </row>
    <row r="807" ht="14.25" customHeight="1">
      <c r="A807" s="168"/>
      <c r="B807" s="187" t="s">
        <v>536</v>
      </c>
      <c r="C807" s="170"/>
      <c r="D807" s="169" t="s">
        <v>306</v>
      </c>
      <c r="E807" s="170"/>
      <c r="F807" s="169" t="s">
        <v>306</v>
      </c>
      <c r="G807" s="170"/>
      <c r="H807" s="169" t="s">
        <v>306</v>
      </c>
      <c r="I807" s="170"/>
      <c r="J807" s="187" t="s">
        <v>537</v>
      </c>
      <c r="K807" s="170"/>
      <c r="L807" s="187" t="s">
        <v>505</v>
      </c>
      <c r="M807" s="170"/>
      <c r="N807" s="187" t="s">
        <v>315</v>
      </c>
      <c r="O807" s="170"/>
    </row>
    <row r="808" ht="14.25" customHeight="1">
      <c r="A808" s="168" t="s">
        <v>12</v>
      </c>
      <c r="B808" s="171" t="s">
        <v>507</v>
      </c>
      <c r="C808" s="107"/>
      <c r="D808" s="147" t="s">
        <v>506</v>
      </c>
      <c r="E808" s="107"/>
      <c r="F808" s="171" t="s">
        <v>245</v>
      </c>
      <c r="G808" s="107"/>
      <c r="H808" s="192" t="s">
        <v>508</v>
      </c>
      <c r="I808" s="107"/>
      <c r="J808" s="147" t="s">
        <v>538</v>
      </c>
      <c r="K808" s="107"/>
      <c r="L808" s="147" t="s">
        <v>506</v>
      </c>
      <c r="M808" s="107"/>
      <c r="N808" s="147" t="s">
        <v>539</v>
      </c>
      <c r="O808" s="107"/>
    </row>
    <row r="809" ht="14.25" customHeight="1">
      <c r="A809" s="168"/>
      <c r="B809" s="25">
        <v>80.0</v>
      </c>
      <c r="C809" s="22">
        <v>3.0</v>
      </c>
      <c r="D809" s="47">
        <v>50.0</v>
      </c>
      <c r="E809" s="22">
        <v>3.0</v>
      </c>
      <c r="F809" s="25">
        <v>45.0</v>
      </c>
      <c r="G809" s="22">
        <v>3.0</v>
      </c>
      <c r="H809" s="25" t="s">
        <v>510</v>
      </c>
      <c r="I809" s="26"/>
      <c r="J809" s="1" t="s">
        <v>540</v>
      </c>
      <c r="K809" s="26"/>
      <c r="L809" s="1">
        <v>40.0</v>
      </c>
      <c r="M809" s="54">
        <v>3.0</v>
      </c>
      <c r="N809" s="1" t="s">
        <v>540</v>
      </c>
      <c r="O809" s="93"/>
    </row>
    <row r="810" ht="14.25" customHeight="1">
      <c r="A810" s="168"/>
      <c r="B810" s="25">
        <v>90.0</v>
      </c>
      <c r="C810" s="22">
        <v>2.0</v>
      </c>
      <c r="D810" s="47">
        <v>60.0</v>
      </c>
      <c r="E810" s="22">
        <v>2.0</v>
      </c>
      <c r="F810" s="25">
        <v>45.0</v>
      </c>
      <c r="G810" s="22">
        <v>3.0</v>
      </c>
      <c r="H810" s="25" t="s">
        <v>511</v>
      </c>
      <c r="I810" s="26"/>
      <c r="J810" s="23"/>
      <c r="K810" s="26"/>
      <c r="L810" s="1">
        <v>50.0</v>
      </c>
      <c r="M810" s="54">
        <v>2.0</v>
      </c>
      <c r="N810" s="30"/>
      <c r="O810" s="93"/>
    </row>
    <row r="811" ht="14.25" customHeight="1">
      <c r="A811" s="168"/>
      <c r="B811" s="25">
        <v>100.0</v>
      </c>
      <c r="C811" s="22">
        <v>1.0</v>
      </c>
      <c r="D811" s="47">
        <v>65.0</v>
      </c>
      <c r="E811" s="22">
        <v>1.0</v>
      </c>
      <c r="F811" s="25">
        <v>45.0</v>
      </c>
      <c r="G811" s="22">
        <v>3.0</v>
      </c>
      <c r="H811" s="25" t="s">
        <v>15</v>
      </c>
      <c r="I811" s="26"/>
      <c r="J811" s="23"/>
      <c r="K811" s="26"/>
      <c r="L811" s="1">
        <v>55.0</v>
      </c>
      <c r="M811" s="54">
        <v>1.0</v>
      </c>
      <c r="N811" s="30"/>
      <c r="O811" s="93"/>
    </row>
    <row r="812" ht="14.25" customHeight="1">
      <c r="A812" s="168"/>
      <c r="B812" s="23"/>
      <c r="C812" s="93"/>
      <c r="D812" s="23"/>
      <c r="E812" s="26"/>
      <c r="F812" s="53"/>
      <c r="G812" s="26"/>
      <c r="H812" s="53" t="s">
        <v>512</v>
      </c>
      <c r="I812" s="26"/>
      <c r="J812" s="23"/>
      <c r="K812" s="26"/>
      <c r="L812" s="1" t="s">
        <v>541</v>
      </c>
      <c r="M812" s="26"/>
      <c r="N812" s="30"/>
      <c r="O812" s="93"/>
    </row>
    <row r="813" ht="14.25" customHeight="1">
      <c r="A813" s="168"/>
      <c r="B813" s="23"/>
      <c r="C813" s="26"/>
      <c r="D813" s="23"/>
      <c r="E813" s="26"/>
      <c r="F813" s="23"/>
      <c r="G813" s="93"/>
      <c r="H813" s="23"/>
      <c r="I813" s="93"/>
      <c r="J813" s="23"/>
      <c r="K813" s="93"/>
      <c r="L813" s="30"/>
      <c r="M813" s="93"/>
      <c r="N813" s="30"/>
      <c r="O813" s="93"/>
    </row>
    <row r="814" ht="14.25" customHeight="1">
      <c r="A814" s="168"/>
      <c r="B814" s="176" t="s">
        <v>25</v>
      </c>
      <c r="C814" s="177">
        <f>C809*B809 + B810*C810 + B811*C811 + B812*C812 + B813*C813</f>
        <v>520</v>
      </c>
      <c r="D814" s="98" t="s">
        <v>25</v>
      </c>
      <c r="E814" s="97" t="str">
        <f>E809*D809 + D810*#REF! + E810*E811 + D812*E812 + D813*E813</f>
        <v>#REF!</v>
      </c>
      <c r="F814" s="176" t="s">
        <v>25</v>
      </c>
      <c r="G814" s="111">
        <f>G809*F809 + F810*G810 + F811*G811 + F812*G812 + F813*G813</f>
        <v>405</v>
      </c>
      <c r="H814" s="176" t="s">
        <v>25</v>
      </c>
      <c r="I814" s="111" t="str">
        <f>I809*H809 + H810*I810 + H811*I811 + H812*I812 + H813*I813</f>
        <v>#VALUE!</v>
      </c>
      <c r="J814" s="176" t="s">
        <v>25</v>
      </c>
      <c r="K814" s="111" t="str">
        <f>K809*J809 + J810*K810 + J811*K811 + J812*K812 + J813*K813</f>
        <v>#VALUE!</v>
      </c>
      <c r="L814" s="98" t="s">
        <v>25</v>
      </c>
      <c r="M814" s="97" t="str">
        <f>M809*L809 + L810*M810 + L811*M811 + L812*M812 + L813*M813</f>
        <v>#VALUE!</v>
      </c>
      <c r="N814" s="98" t="s">
        <v>25</v>
      </c>
      <c r="O814" s="97" t="str">
        <f>O809*N809 + N810*O810 + N811*O811 + N812*O812 + N813*O813</f>
        <v>#VALUE!</v>
      </c>
    </row>
    <row r="815" ht="14.25" customHeight="1">
      <c r="A815" s="168"/>
      <c r="B815" s="161" t="s">
        <v>26</v>
      </c>
      <c r="C815" s="178">
        <f>(B809*C809 + B810*C810 + B811*C811 + B812*C812 + B813*C813)/SUM(C809:C813)</f>
        <v>86.66666667</v>
      </c>
      <c r="D815" s="66" t="s">
        <v>26</v>
      </c>
      <c r="E815" s="102" t="str">
        <f>(D809*E809 + D810*#REF! + E810*E811 + D812*E812 + D813*E813)/SUM(E809:E813)</f>
        <v>#REF!</v>
      </c>
      <c r="F815" s="161" t="s">
        <v>26</v>
      </c>
      <c r="G815" s="179">
        <f>(F809*G809 + F810*G810 + F811*G811 + F812*G812 + F813*G813)/SUM(G809:G813)</f>
        <v>45</v>
      </c>
      <c r="H815" s="161" t="s">
        <v>26</v>
      </c>
      <c r="I815" s="179" t="str">
        <f>(H809*I809 + H810*I810 + H811*I811 + H812*I812 + H813*I813)/SUM(I809:I813)</f>
        <v>#VALUE!</v>
      </c>
      <c r="J815" s="161" t="s">
        <v>26</v>
      </c>
      <c r="K815" s="179" t="str">
        <f>(J809*K809 + J810*K810 + J811*K811 + J812*K812 + J813*K813)/SUM(K809:K813)</f>
        <v>#VALUE!</v>
      </c>
      <c r="L815" s="66" t="s">
        <v>26</v>
      </c>
      <c r="M815" s="102" t="str">
        <f>(L809*M809 + L810*M810 + L811*M811 + L812*M812 + L813*M813)/SUM(M809:M813)</f>
        <v>#VALUE!</v>
      </c>
      <c r="N815" s="66" t="s">
        <v>26</v>
      </c>
      <c r="O815" s="102" t="str">
        <f>(N809*O809 + N810*O810 + N811*O811 + N812*O812 + N813*O813)/SUM(O809:O813)</f>
        <v>#VALUE!</v>
      </c>
    </row>
    <row r="816" ht="14.25" customHeight="1">
      <c r="A816" s="168"/>
      <c r="B816" s="164" t="s">
        <v>421</v>
      </c>
      <c r="C816" s="180" t="s">
        <v>422</v>
      </c>
      <c r="D816" s="166" t="s">
        <v>421</v>
      </c>
      <c r="E816" s="167" t="s">
        <v>422</v>
      </c>
      <c r="F816" s="164" t="s">
        <v>421</v>
      </c>
      <c r="G816" s="167" t="s">
        <v>422</v>
      </c>
      <c r="H816" s="164" t="s">
        <v>421</v>
      </c>
      <c r="I816" s="167" t="s">
        <v>422</v>
      </c>
      <c r="J816" s="164" t="s">
        <v>421</v>
      </c>
      <c r="K816" s="167" t="s">
        <v>422</v>
      </c>
      <c r="L816" s="166" t="s">
        <v>421</v>
      </c>
      <c r="M816" s="167" t="s">
        <v>422</v>
      </c>
      <c r="N816" s="166" t="s">
        <v>421</v>
      </c>
      <c r="O816" s="167" t="s">
        <v>422</v>
      </c>
    </row>
    <row r="817" ht="14.25" customHeight="1">
      <c r="A817" s="168"/>
      <c r="B817" s="147" t="s">
        <v>363</v>
      </c>
      <c r="C817" s="107"/>
      <c r="D817" s="171" t="s">
        <v>245</v>
      </c>
      <c r="E817" s="107"/>
      <c r="F817" s="147" t="s">
        <v>542</v>
      </c>
      <c r="G817" s="50"/>
      <c r="H817" s="171" t="s">
        <v>91</v>
      </c>
      <c r="I817" s="50" t="s">
        <v>49</v>
      </c>
      <c r="J817" s="147" t="s">
        <v>543</v>
      </c>
      <c r="K817" s="107"/>
      <c r="L817" s="171" t="s">
        <v>91</v>
      </c>
      <c r="M817" s="107" t="s">
        <v>90</v>
      </c>
      <c r="N817" s="172" t="s">
        <v>91</v>
      </c>
      <c r="O817" s="107" t="s">
        <v>90</v>
      </c>
    </row>
    <row r="818" ht="14.25" customHeight="1">
      <c r="A818" s="168"/>
      <c r="B818" s="47">
        <v>160.0</v>
      </c>
      <c r="C818" s="22">
        <v>3.0</v>
      </c>
      <c r="D818" s="25">
        <v>45.0</v>
      </c>
      <c r="E818" s="22">
        <v>3.0</v>
      </c>
      <c r="F818" s="47"/>
      <c r="G818" s="54">
        <v>5.0</v>
      </c>
      <c r="H818" s="25" t="s">
        <v>513</v>
      </c>
      <c r="I818" s="26" t="s">
        <v>514</v>
      </c>
      <c r="J818" s="1" t="s">
        <v>544</v>
      </c>
      <c r="K818" s="26"/>
      <c r="L818" s="23"/>
      <c r="M818" s="26"/>
      <c r="N818" s="30"/>
      <c r="O818" s="93"/>
    </row>
    <row r="819" ht="14.25" customHeight="1">
      <c r="A819" s="168"/>
      <c r="B819" s="47">
        <v>170.0</v>
      </c>
      <c r="C819" s="22">
        <v>3.0</v>
      </c>
      <c r="D819" s="25">
        <v>45.0</v>
      </c>
      <c r="E819" s="22">
        <v>3.0</v>
      </c>
      <c r="F819" s="47"/>
      <c r="G819" s="54">
        <v>5.0</v>
      </c>
      <c r="H819" s="25">
        <v>60.0</v>
      </c>
      <c r="I819" s="26"/>
      <c r="J819" s="1" t="s">
        <v>545</v>
      </c>
      <c r="K819" s="26"/>
      <c r="L819" s="23"/>
      <c r="M819" s="26"/>
      <c r="N819" s="30"/>
      <c r="O819" s="93"/>
    </row>
    <row r="820" ht="14.25" customHeight="1">
      <c r="A820" s="168"/>
      <c r="B820" s="47">
        <v>175.0</v>
      </c>
      <c r="C820" s="22">
        <v>3.0</v>
      </c>
      <c r="D820" s="25">
        <v>45.0</v>
      </c>
      <c r="E820" s="22">
        <v>3.0</v>
      </c>
      <c r="F820" s="47"/>
      <c r="G820" s="54">
        <v>5.0</v>
      </c>
      <c r="H820" s="25">
        <v>60.0</v>
      </c>
      <c r="I820" s="26"/>
      <c r="J820" s="1" t="s">
        <v>546</v>
      </c>
      <c r="K820" s="26"/>
      <c r="L820" s="23"/>
      <c r="M820" s="26"/>
      <c r="N820" s="30"/>
      <c r="O820" s="93"/>
    </row>
    <row r="821" ht="14.25" customHeight="1">
      <c r="A821" s="168"/>
      <c r="B821" s="1" t="s">
        <v>547</v>
      </c>
      <c r="C821" s="26"/>
      <c r="D821" s="23"/>
      <c r="E821" s="26"/>
      <c r="F821" s="23"/>
      <c r="G821" s="93"/>
      <c r="H821" s="23"/>
      <c r="I821" s="93"/>
      <c r="J821" s="23"/>
      <c r="K821" s="26"/>
      <c r="L821" s="23"/>
      <c r="M821" s="26"/>
      <c r="N821" s="30"/>
      <c r="O821" s="93"/>
    </row>
    <row r="822" ht="14.25" customHeight="1">
      <c r="A822" s="168"/>
      <c r="B822" s="23"/>
      <c r="C822" s="26"/>
      <c r="D822" s="30"/>
      <c r="E822" s="93"/>
      <c r="F822" s="23"/>
      <c r="G822" s="93"/>
      <c r="H822" s="23"/>
      <c r="I822" s="93"/>
      <c r="J822" s="23"/>
      <c r="K822" s="93"/>
      <c r="L822" s="30"/>
      <c r="M822" s="93"/>
      <c r="N822" s="30"/>
      <c r="O822" s="93"/>
    </row>
    <row r="823" ht="14.25" customHeight="1">
      <c r="A823" s="168"/>
      <c r="B823" s="23"/>
      <c r="C823" s="26"/>
      <c r="D823" s="30"/>
      <c r="E823" s="93"/>
      <c r="F823" s="23"/>
      <c r="G823" s="93"/>
      <c r="H823" s="23"/>
      <c r="I823" s="93"/>
      <c r="J823" s="23"/>
      <c r="K823" s="93"/>
      <c r="L823" s="30"/>
      <c r="M823" s="93"/>
      <c r="N823" s="30"/>
      <c r="O823" s="93"/>
    </row>
    <row r="824" ht="14.25" customHeight="1">
      <c r="A824" s="168"/>
      <c r="B824" s="176" t="s">
        <v>25</v>
      </c>
      <c r="C824" s="182" t="str">
        <f>C818*B818 + B819*C819 + B820*C820 + B821*C821 + B823*C823</f>
        <v>#VALUE!</v>
      </c>
      <c r="D824" s="98" t="s">
        <v>25</v>
      </c>
      <c r="E824" s="97">
        <f>E818*D818 + D819*E819 + D820*E820 + D821*E821 + D823*E823</f>
        <v>405</v>
      </c>
      <c r="F824" s="176" t="s">
        <v>25</v>
      </c>
      <c r="G824" s="97">
        <f>G818*F818 + F819*G819 + F820*G820 + F821*G821 + F823*G823</f>
        <v>0</v>
      </c>
      <c r="H824" s="176" t="s">
        <v>25</v>
      </c>
      <c r="I824" s="97" t="str">
        <f>I818*H818 + H819*I819 + H820*I820 + H821*I821 + H823*I823</f>
        <v>#VALUE!</v>
      </c>
      <c r="J824" s="176" t="s">
        <v>25</v>
      </c>
      <c r="K824" s="97" t="str">
        <f>K818*J818 + J819*K819 + J820*K820 + J821*K821 + J823*K823</f>
        <v>#VALUE!</v>
      </c>
      <c r="L824" s="98" t="s">
        <v>25</v>
      </c>
      <c r="M824" s="97">
        <f>M818*L818 + L819*M819 + L820*M820 + L821*M821 + L823*M823</f>
        <v>0</v>
      </c>
      <c r="N824" s="98" t="s">
        <v>25</v>
      </c>
      <c r="O824" s="97">
        <f>O818*N818 + N819*O819 + N820*O820 + N821*O821 + N823*O823</f>
        <v>0</v>
      </c>
    </row>
    <row r="825" ht="14.25" customHeight="1">
      <c r="A825" s="168"/>
      <c r="B825" s="161" t="s">
        <v>26</v>
      </c>
      <c r="C825" s="183" t="str">
        <f>(B818*C818 + B819*C819 + B820*C820 + B821*C821 + B823*C823)/SUM(C818:C823)</f>
        <v>#VALUE!</v>
      </c>
      <c r="D825" s="66" t="s">
        <v>26</v>
      </c>
      <c r="E825" s="102">
        <f>(D818*E818 + D819*E819 + D820*E820 + D821*E821 + D823*E823)/SUM(E818:E823)</f>
        <v>45</v>
      </c>
      <c r="F825" s="161" t="s">
        <v>26</v>
      </c>
      <c r="G825" s="102">
        <f>(F818*G818 + F819*G819 + F820*G820 + F821*G821 + F823*G823)/SUM(G818:G823)</f>
        <v>0</v>
      </c>
      <c r="H825" s="161" t="s">
        <v>26</v>
      </c>
      <c r="I825" s="102" t="str">
        <f>(H818*I818 + H819*I819 + H820*I820 + H821*I821 + H823*I823)/SUM(I818:I823)</f>
        <v>#VALUE!</v>
      </c>
      <c r="J825" s="161" t="s">
        <v>26</v>
      </c>
      <c r="K825" s="102" t="str">
        <f>(J818*K818 + J819*K819 + J820*K820 + J821*K821 + J823*K823)/SUM(K818:K823)</f>
        <v>#VALUE!</v>
      </c>
      <c r="L825" s="66" t="s">
        <v>26</v>
      </c>
      <c r="M825" s="102" t="str">
        <f>(L818*M818 + L819*M819 + L820*M820 + L821*M821 + L823*M823)/SUM(M818:M823)</f>
        <v>#DIV/0!</v>
      </c>
      <c r="N825" s="66" t="s">
        <v>26</v>
      </c>
      <c r="O825" s="102" t="str">
        <f>(N818*O818 + N819*O819 + N820*O820 + N821*O821 + N823*O823)/SUM(O818:O823)</f>
        <v>#DIV/0!</v>
      </c>
    </row>
    <row r="826" ht="14.25" customHeight="1">
      <c r="A826" s="168"/>
      <c r="B826" s="147" t="s">
        <v>548</v>
      </c>
      <c r="C826" s="50"/>
      <c r="D826" s="147" t="s">
        <v>51</v>
      </c>
      <c r="E826" s="50"/>
      <c r="F826" s="194" t="s">
        <v>290</v>
      </c>
      <c r="G826" s="50"/>
      <c r="H826" s="192" t="s">
        <v>515</v>
      </c>
      <c r="I826" s="50"/>
      <c r="J826" s="147" t="s">
        <v>549</v>
      </c>
      <c r="K826" s="107"/>
      <c r="L826" s="192" t="s">
        <v>515</v>
      </c>
      <c r="M826" s="50"/>
      <c r="N826" s="172"/>
      <c r="O826" s="172"/>
    </row>
    <row r="827" ht="14.25" customHeight="1">
      <c r="A827" s="168"/>
      <c r="B827" s="47">
        <v>30.0</v>
      </c>
      <c r="C827" s="26"/>
      <c r="D827" s="1">
        <v>20.0</v>
      </c>
      <c r="E827" s="93"/>
      <c r="F827" s="69" t="s">
        <v>228</v>
      </c>
      <c r="G827" s="54" t="s">
        <v>550</v>
      </c>
      <c r="H827" s="53" t="s">
        <v>517</v>
      </c>
      <c r="I827" s="93"/>
      <c r="J827" s="1" t="s">
        <v>551</v>
      </c>
      <c r="K827" s="26"/>
      <c r="L827" s="53" t="s">
        <v>517</v>
      </c>
      <c r="M827" s="93"/>
      <c r="N827" s="30"/>
      <c r="O827" s="109"/>
    </row>
    <row r="828" ht="14.25" customHeight="1">
      <c r="A828" s="168"/>
      <c r="B828" s="47">
        <v>60.0</v>
      </c>
      <c r="C828" s="26"/>
      <c r="D828" s="1">
        <v>30.0</v>
      </c>
      <c r="E828" s="93"/>
      <c r="F828" s="69" t="s">
        <v>552</v>
      </c>
      <c r="G828" s="54" t="s">
        <v>553</v>
      </c>
      <c r="H828" s="53" t="s">
        <v>518</v>
      </c>
      <c r="I828" s="93"/>
      <c r="J828" s="1" t="s">
        <v>554</v>
      </c>
      <c r="K828" s="26"/>
      <c r="L828" s="53" t="s">
        <v>518</v>
      </c>
      <c r="M828" s="93"/>
      <c r="N828" s="30"/>
      <c r="O828" s="109"/>
    </row>
    <row r="829" ht="14.25" customHeight="1">
      <c r="A829" s="168"/>
      <c r="B829" s="47">
        <v>30.0</v>
      </c>
      <c r="C829" s="26"/>
      <c r="D829" s="1">
        <v>40.0</v>
      </c>
      <c r="E829" s="93"/>
      <c r="F829" s="69" t="s">
        <v>346</v>
      </c>
      <c r="G829" s="54" t="s">
        <v>555</v>
      </c>
      <c r="H829" s="53" t="s">
        <v>519</v>
      </c>
      <c r="I829" s="93"/>
      <c r="J829" s="23"/>
      <c r="K829" s="26"/>
      <c r="L829" s="53" t="s">
        <v>519</v>
      </c>
      <c r="M829" s="93"/>
      <c r="N829" s="30"/>
      <c r="O829" s="109"/>
    </row>
    <row r="830" ht="14.25" customHeight="1">
      <c r="A830" s="168"/>
      <c r="B830" s="1">
        <v>20.0</v>
      </c>
      <c r="C830" s="26"/>
      <c r="D830" s="1">
        <v>20.0</v>
      </c>
      <c r="E830" s="93"/>
      <c r="F830" s="1" t="s">
        <v>556</v>
      </c>
      <c r="G830" s="93"/>
      <c r="H830" s="23"/>
      <c r="I830" s="93"/>
      <c r="J830" s="23"/>
      <c r="K830" s="93"/>
      <c r="L830" s="23"/>
      <c r="M830" s="93"/>
      <c r="N830" s="30"/>
      <c r="O830" s="93"/>
    </row>
    <row r="831" ht="14.25" customHeight="1">
      <c r="A831" s="190"/>
      <c r="B831" s="1"/>
      <c r="C831" s="26"/>
      <c r="D831" s="30"/>
      <c r="E831" s="93"/>
      <c r="F831" s="23"/>
      <c r="G831" s="93"/>
      <c r="H831" s="23"/>
      <c r="I831" s="93"/>
      <c r="J831" s="23"/>
      <c r="K831" s="93"/>
      <c r="L831" s="23"/>
      <c r="M831" s="93"/>
      <c r="N831" s="30"/>
      <c r="O831" s="93"/>
    </row>
    <row r="832" ht="14.25" customHeight="1">
      <c r="A832" s="190"/>
      <c r="B832" s="176" t="s">
        <v>25</v>
      </c>
      <c r="C832" s="182">
        <f>C827*B827 + B828*C828 + B829*C829 + B830*C830 + B831*C831</f>
        <v>0</v>
      </c>
      <c r="D832" s="98" t="s">
        <v>25</v>
      </c>
      <c r="E832" s="97">
        <f>E827*D827 + D828*E828 + D829*E829 + D830*E830 + D831*E831</f>
        <v>0</v>
      </c>
      <c r="F832" s="176" t="s">
        <v>25</v>
      </c>
      <c r="G832" s="97" t="str">
        <f>G827*F827 + F828*G828 + F829*G829 + F830*G830 + F831*G831</f>
        <v>#VALUE!</v>
      </c>
      <c r="H832" s="176" t="s">
        <v>25</v>
      </c>
      <c r="I832" s="97" t="str">
        <f>I827*H827 + H828*I828 + H829*I829 + H830*I830 + H831*I831</f>
        <v>#VALUE!</v>
      </c>
      <c r="J832" s="176" t="s">
        <v>25</v>
      </c>
      <c r="K832" s="97" t="str">
        <f>K827*J827 + J828*K828 + #REF!*K829 + J829*K830 + J831*K831</f>
        <v>#VALUE!</v>
      </c>
      <c r="L832" s="176" t="s">
        <v>25</v>
      </c>
      <c r="M832" s="97" t="str">
        <f>M827*L827 + L828*M828 + L829*M829 + L830*M830 + L831*M831</f>
        <v>#VALUE!</v>
      </c>
      <c r="N832" s="98" t="s">
        <v>25</v>
      </c>
      <c r="O832" s="111">
        <f>O827*N827 + N828*O828 + N829*O829 + N830*O830 + N831*O831</f>
        <v>0</v>
      </c>
    </row>
    <row r="833" ht="14.25" customHeight="1">
      <c r="A833" s="168"/>
      <c r="B833" s="161" t="s">
        <v>26</v>
      </c>
      <c r="C833" s="183" t="str">
        <f>(B827*C827 + B828*C828 + B829*C829 + B830*C830 + B831*C831)/SUM(C827:C831)</f>
        <v>#DIV/0!</v>
      </c>
      <c r="D833" s="66" t="s">
        <v>26</v>
      </c>
      <c r="E833" s="102" t="str">
        <f>(D827*E827 + D828*E828 + D829*E829 + D830*E830 + D831*E831)/SUM(E827:E831)</f>
        <v>#DIV/0!</v>
      </c>
      <c r="F833" s="161" t="s">
        <v>26</v>
      </c>
      <c r="G833" s="102" t="str">
        <f>(F827*G827 + F828*G828 + F829*G829 + F830*G830 + F831*G831)/SUM(G827:G831)</f>
        <v>#VALUE!</v>
      </c>
      <c r="H833" s="161" t="s">
        <v>26</v>
      </c>
      <c r="I833" s="102" t="str">
        <f>(H827*I827 + H828*I828 + H829*I829 + H830*I830 + H831*I831)/SUM(I827:I831)</f>
        <v>#VALUE!</v>
      </c>
      <c r="J833" s="161" t="s">
        <v>26</v>
      </c>
      <c r="K833" s="102" t="str">
        <f>(J827*K827 + J828*K828 + #REF!*K829 + J829*K830 + J831*K831)/SUM(K827:K831)</f>
        <v>#VALUE!</v>
      </c>
      <c r="L833" s="161" t="s">
        <v>26</v>
      </c>
      <c r="M833" s="102" t="str">
        <f>(L827*M827 + L828*M828 + L829*M829 + L830*M830 + L831*M831)/SUM(M827:M831)</f>
        <v>#VALUE!</v>
      </c>
      <c r="N833" s="66" t="s">
        <v>26</v>
      </c>
      <c r="O833" s="102" t="str">
        <f>(N827*O827 + N828*O828 + N829*O829 + N830*O830 + N831*O831)/SUM(O827:O831)</f>
        <v>#DIV/0!</v>
      </c>
    </row>
    <row r="834" ht="14.25" customHeight="1">
      <c r="A834" s="190"/>
      <c r="B834" s="23"/>
      <c r="C834" s="61"/>
      <c r="D834" s="30" t="s">
        <v>489</v>
      </c>
      <c r="E834" s="60"/>
      <c r="F834" s="30" t="s">
        <v>489</v>
      </c>
      <c r="G834" s="60"/>
      <c r="H834" s="53" t="s">
        <v>520</v>
      </c>
      <c r="I834" s="60"/>
      <c r="J834" s="53" t="s">
        <v>517</v>
      </c>
      <c r="K834" s="60"/>
      <c r="L834" s="53" t="s">
        <v>520</v>
      </c>
      <c r="M834" s="60"/>
      <c r="N834" s="30"/>
      <c r="O834" s="60"/>
    </row>
    <row r="835" ht="14.25" customHeight="1">
      <c r="A835" s="190"/>
      <c r="B835" s="23"/>
      <c r="C835" s="61"/>
      <c r="D835" s="23" t="s">
        <v>522</v>
      </c>
      <c r="E835" s="60"/>
      <c r="F835" s="23" t="s">
        <v>522</v>
      </c>
      <c r="G835" s="60"/>
      <c r="H835" s="51" t="s">
        <v>523</v>
      </c>
      <c r="I835" s="60"/>
      <c r="J835" s="53" t="s">
        <v>518</v>
      </c>
      <c r="K835" s="60"/>
      <c r="L835" s="51" t="s">
        <v>523</v>
      </c>
      <c r="M835" s="60"/>
      <c r="N835" s="30"/>
      <c r="O835" s="60"/>
    </row>
    <row r="836" ht="14.25" customHeight="1">
      <c r="A836" s="168"/>
      <c r="B836" s="23"/>
      <c r="C836" s="61"/>
      <c r="D836" s="23" t="s">
        <v>490</v>
      </c>
      <c r="E836" s="61"/>
      <c r="F836" s="23" t="s">
        <v>490</v>
      </c>
      <c r="G836" s="61"/>
      <c r="H836" s="53" t="s">
        <v>524</v>
      </c>
      <c r="I836" s="61"/>
      <c r="J836" s="53" t="s">
        <v>519</v>
      </c>
      <c r="K836" s="60"/>
      <c r="L836" s="53" t="s">
        <v>524</v>
      </c>
      <c r="M836" s="61"/>
      <c r="N836" s="30"/>
      <c r="O836" s="60"/>
    </row>
    <row r="837" ht="14.25" customHeight="1">
      <c r="A837" s="190"/>
      <c r="B837" s="23"/>
      <c r="C837" s="61"/>
      <c r="D837" s="23"/>
      <c r="E837" s="60"/>
      <c r="F837" s="23"/>
      <c r="G837" s="60"/>
      <c r="H837" s="30"/>
      <c r="I837" s="60"/>
      <c r="J837" s="23"/>
      <c r="K837" s="60"/>
      <c r="L837" s="23"/>
      <c r="M837" s="60"/>
      <c r="N837" s="30"/>
      <c r="O837" s="60"/>
    </row>
    <row r="838" ht="14.25" customHeight="1">
      <c r="A838" s="168"/>
      <c r="B838" s="23"/>
      <c r="C838" s="61"/>
      <c r="D838" s="23"/>
      <c r="E838" s="60"/>
      <c r="F838" s="23"/>
      <c r="G838" s="60"/>
      <c r="H838" s="30"/>
      <c r="I838" s="60"/>
      <c r="J838" s="23"/>
      <c r="K838" s="60"/>
      <c r="L838" s="23"/>
      <c r="M838" s="60"/>
      <c r="N838" s="30"/>
      <c r="O838" s="60"/>
    </row>
    <row r="839" ht="14.25" customHeight="1">
      <c r="A839" s="168"/>
      <c r="B839" s="23"/>
      <c r="C839" s="61"/>
      <c r="D839" s="23"/>
      <c r="E839" s="60"/>
      <c r="F839" s="23"/>
      <c r="G839" s="60"/>
      <c r="H839" s="30"/>
      <c r="I839" s="60"/>
      <c r="J839" s="23"/>
      <c r="K839" s="60"/>
      <c r="L839" s="23"/>
      <c r="M839" s="60"/>
      <c r="N839" s="30"/>
      <c r="O839" s="60"/>
    </row>
    <row r="840" ht="14.25" customHeight="1">
      <c r="A840" s="185"/>
      <c r="B840" s="161"/>
      <c r="C840" s="186"/>
      <c r="D840" s="66"/>
      <c r="E840" s="67"/>
      <c r="F840" s="161"/>
      <c r="G840" s="67"/>
      <c r="H840" s="66"/>
      <c r="I840" s="67"/>
      <c r="J840" s="161"/>
      <c r="K840" s="67"/>
      <c r="L840" s="161"/>
      <c r="M840" s="67"/>
      <c r="N840" s="66"/>
      <c r="O840" s="67"/>
    </row>
    <row r="841" ht="14.25" customHeight="1">
      <c r="A841" s="158"/>
      <c r="B841" s="159"/>
      <c r="C841" s="159"/>
      <c r="D841" s="158"/>
      <c r="E841" s="158"/>
      <c r="F841" s="159"/>
      <c r="G841" s="158"/>
      <c r="H841" s="158"/>
      <c r="I841" s="158"/>
      <c r="J841" s="159"/>
      <c r="K841" s="158"/>
      <c r="L841" s="158"/>
      <c r="M841" s="158"/>
      <c r="N841" s="158"/>
      <c r="O841" s="158"/>
    </row>
    <row r="842" ht="14.25" customHeight="1">
      <c r="A842" s="160" t="s">
        <v>2</v>
      </c>
      <c r="B842" s="161" t="s">
        <v>3</v>
      </c>
      <c r="C842" s="162">
        <f>O805+1</f>
        <v>45312</v>
      </c>
      <c r="D842" s="66" t="s">
        <v>4</v>
      </c>
      <c r="E842" s="162">
        <f>C842+1</f>
        <v>45313</v>
      </c>
      <c r="F842" s="161" t="s">
        <v>5</v>
      </c>
      <c r="G842" s="162">
        <f>E842+1</f>
        <v>45314</v>
      </c>
      <c r="H842" s="66" t="s">
        <v>6</v>
      </c>
      <c r="I842" s="162">
        <f>G842+1</f>
        <v>45315</v>
      </c>
      <c r="J842" s="161" t="s">
        <v>7</v>
      </c>
      <c r="K842" s="162">
        <f>I842+1</f>
        <v>45316</v>
      </c>
      <c r="L842" s="66" t="s">
        <v>8</v>
      </c>
      <c r="M842" s="162">
        <f>K842+1</f>
        <v>45317</v>
      </c>
      <c r="N842" s="66" t="s">
        <v>9</v>
      </c>
      <c r="O842" s="162">
        <f>M842+1</f>
        <v>45318</v>
      </c>
    </row>
    <row r="843" ht="14.25" customHeight="1">
      <c r="A843" s="163">
        <f>A806+1</f>
        <v>24</v>
      </c>
      <c r="B843" s="164" t="s">
        <v>421</v>
      </c>
      <c r="C843" s="165" t="s">
        <v>422</v>
      </c>
      <c r="D843" s="166" t="s">
        <v>421</v>
      </c>
      <c r="E843" s="165" t="s">
        <v>422</v>
      </c>
      <c r="F843" s="164" t="s">
        <v>421</v>
      </c>
      <c r="G843" s="165" t="s">
        <v>422</v>
      </c>
      <c r="H843" s="166" t="s">
        <v>421</v>
      </c>
      <c r="I843" s="165" t="s">
        <v>422</v>
      </c>
      <c r="J843" s="164" t="s">
        <v>421</v>
      </c>
      <c r="K843" s="165" t="s">
        <v>422</v>
      </c>
      <c r="L843" s="166" t="s">
        <v>421</v>
      </c>
      <c r="M843" s="165" t="s">
        <v>422</v>
      </c>
      <c r="N843" s="164" t="s">
        <v>421</v>
      </c>
      <c r="O843" s="165" t="s">
        <v>422</v>
      </c>
    </row>
    <row r="844" ht="14.25" customHeight="1">
      <c r="A844" s="168"/>
      <c r="B844" s="193" t="s">
        <v>536</v>
      </c>
      <c r="C844" s="170"/>
      <c r="D844" s="193" t="s">
        <v>536</v>
      </c>
      <c r="E844" s="170"/>
      <c r="F844" s="169" t="s">
        <v>306</v>
      </c>
      <c r="G844" s="170"/>
      <c r="H844" s="169" t="s">
        <v>306</v>
      </c>
      <c r="I844" s="170"/>
      <c r="J844" s="169" t="s">
        <v>306</v>
      </c>
      <c r="K844" s="170"/>
      <c r="L844" s="187" t="s">
        <v>17</v>
      </c>
      <c r="M844" s="170"/>
      <c r="N844" s="187" t="s">
        <v>17</v>
      </c>
      <c r="O844" s="170"/>
    </row>
    <row r="845" ht="14.25" customHeight="1">
      <c r="A845" s="168" t="s">
        <v>12</v>
      </c>
      <c r="B845" s="171"/>
      <c r="C845" s="107"/>
      <c r="D845" s="192"/>
      <c r="E845" s="107"/>
      <c r="F845" s="171"/>
      <c r="G845" s="107"/>
      <c r="H845" s="171" t="s">
        <v>507</v>
      </c>
      <c r="I845" s="107"/>
      <c r="J845" s="147" t="s">
        <v>506</v>
      </c>
      <c r="K845" s="107"/>
      <c r="L845" s="171" t="s">
        <v>245</v>
      </c>
      <c r="M845" s="107"/>
      <c r="N845" s="171"/>
      <c r="O845" s="107"/>
    </row>
    <row r="846" ht="14.25" customHeight="1">
      <c r="A846" s="190"/>
      <c r="B846" s="25"/>
      <c r="C846" s="22"/>
      <c r="D846" s="25"/>
      <c r="E846" s="22"/>
      <c r="F846" s="25"/>
      <c r="G846" s="22"/>
      <c r="H846" s="47">
        <v>85.0</v>
      </c>
      <c r="I846" s="22">
        <v>3.0</v>
      </c>
      <c r="J846" s="47">
        <v>55.0</v>
      </c>
      <c r="K846" s="22">
        <v>3.0</v>
      </c>
      <c r="L846" s="25">
        <v>45.0</v>
      </c>
      <c r="M846" s="22">
        <v>3.0</v>
      </c>
      <c r="N846" s="53"/>
      <c r="O846" s="26"/>
    </row>
    <row r="847" ht="14.25" customHeight="1">
      <c r="A847" s="168"/>
      <c r="B847" s="25"/>
      <c r="C847" s="22"/>
      <c r="D847" s="25"/>
      <c r="E847" s="22"/>
      <c r="F847" s="25"/>
      <c r="G847" s="22"/>
      <c r="H847" s="47">
        <v>95.0</v>
      </c>
      <c r="I847" s="22">
        <v>2.0</v>
      </c>
      <c r="J847" s="47">
        <v>62.5</v>
      </c>
      <c r="K847" s="22">
        <v>2.0</v>
      </c>
      <c r="L847" s="47">
        <v>50.0</v>
      </c>
      <c r="M847" s="22">
        <v>3.0</v>
      </c>
      <c r="N847" s="23"/>
      <c r="O847" s="26"/>
    </row>
    <row r="848" ht="14.25" customHeight="1">
      <c r="A848" s="190"/>
      <c r="B848" s="25"/>
      <c r="C848" s="22"/>
      <c r="D848" s="25"/>
      <c r="E848" s="22"/>
      <c r="F848" s="25"/>
      <c r="G848" s="22"/>
      <c r="H848" s="25">
        <v>100.0</v>
      </c>
      <c r="I848" s="22">
        <v>1.0</v>
      </c>
      <c r="J848" s="47">
        <v>65.0</v>
      </c>
      <c r="K848" s="22">
        <v>1.0</v>
      </c>
      <c r="L848" s="47">
        <v>55.0</v>
      </c>
      <c r="M848" s="22">
        <v>3.0</v>
      </c>
      <c r="N848" s="23"/>
      <c r="O848" s="26"/>
    </row>
    <row r="849" ht="14.25" customHeight="1">
      <c r="A849" s="168"/>
      <c r="B849" s="23"/>
      <c r="C849" s="93"/>
      <c r="D849" s="23"/>
      <c r="E849" s="26"/>
      <c r="F849" s="23"/>
      <c r="G849" s="93"/>
      <c r="H849" s="53"/>
      <c r="I849" s="26"/>
      <c r="J849" s="23"/>
      <c r="K849" s="26"/>
      <c r="L849" s="53"/>
      <c r="M849" s="26"/>
      <c r="N849" s="23"/>
      <c r="O849" s="26"/>
    </row>
    <row r="850" ht="14.25" customHeight="1">
      <c r="A850" s="168"/>
      <c r="B850" s="23"/>
      <c r="C850" s="26"/>
      <c r="D850" s="23"/>
      <c r="E850" s="26"/>
      <c r="F850" s="23"/>
      <c r="G850" s="26"/>
      <c r="H850" s="23"/>
      <c r="I850" s="93"/>
      <c r="J850" s="23"/>
      <c r="K850" s="26"/>
      <c r="L850" s="23"/>
      <c r="M850" s="93"/>
      <c r="N850" s="30"/>
      <c r="O850" s="93"/>
    </row>
    <row r="851" ht="14.25" customHeight="1">
      <c r="A851" s="168"/>
      <c r="B851" s="176" t="s">
        <v>25</v>
      </c>
      <c r="C851" s="177">
        <f>C846*B846 + B847*C847 + B848*C848 + B849*C849 + B850*C850</f>
        <v>0</v>
      </c>
      <c r="D851" s="98" t="s">
        <v>25</v>
      </c>
      <c r="E851" s="97" t="str">
        <f>E846*D846 + D847*#REF! + E847*E848 + D849*E849 + D850*E850</f>
        <v>#REF!</v>
      </c>
      <c r="F851" s="176" t="s">
        <v>25</v>
      </c>
      <c r="G851" s="177">
        <f>G846*F846 + F847*G847 + F848*G848 + F849*G849 + F850*G850</f>
        <v>0</v>
      </c>
      <c r="H851" s="176" t="s">
        <v>25</v>
      </c>
      <c r="I851" s="111">
        <f>I846*H846 + H847*I847 + H848*I848 + H849*I849 + H850*I850</f>
        <v>545</v>
      </c>
      <c r="J851" s="98" t="s">
        <v>25</v>
      </c>
      <c r="K851" s="97" t="str">
        <f>K846*J846 + J847*#REF! + K847*K848 + J849*K849 + J850*K850</f>
        <v>#REF!</v>
      </c>
      <c r="L851" s="176" t="s">
        <v>25</v>
      </c>
      <c r="M851" s="111">
        <f>M846*L846 + L847*M847 + L848*M848 + L849*M849 + L850*M850</f>
        <v>450</v>
      </c>
      <c r="N851" s="98" t="s">
        <v>25</v>
      </c>
      <c r="O851" s="97">
        <f>O846*N846 + N847*O847 + N848*O848 + N849*O849 + N850*O850</f>
        <v>0</v>
      </c>
    </row>
    <row r="852" ht="14.25" customHeight="1">
      <c r="A852" s="168"/>
      <c r="B852" s="161" t="s">
        <v>26</v>
      </c>
      <c r="C852" s="178" t="str">
        <f>(B846*C846 + B847*C847 + B848*C848 + B849*C849 + B850*C850)/SUM(C846:C850)</f>
        <v>#DIV/0!</v>
      </c>
      <c r="D852" s="66" t="s">
        <v>26</v>
      </c>
      <c r="E852" s="102" t="str">
        <f>(D846*E846 + D847*#REF! + E847*E848 + D849*E849 + D850*E850)/SUM(E846:E850)</f>
        <v>#REF!</v>
      </c>
      <c r="F852" s="161" t="s">
        <v>26</v>
      </c>
      <c r="G852" s="178" t="str">
        <f>(F846*G846 + F847*G847 + F848*G848 + F849*G849 + F850*G850)/SUM(G846:G850)</f>
        <v>#DIV/0!</v>
      </c>
      <c r="H852" s="161" t="s">
        <v>26</v>
      </c>
      <c r="I852" s="179">
        <f>(H846*I846 + H847*I847 + H848*I848 + H849*I849 + H850*I850)/SUM(I846:I850)</f>
        <v>90.83333333</v>
      </c>
      <c r="J852" s="66" t="s">
        <v>26</v>
      </c>
      <c r="K852" s="102" t="str">
        <f>(J846*K846 + J847*#REF! + K847*K848 + J849*K849 + J850*K850)/SUM(K846:K850)</f>
        <v>#REF!</v>
      </c>
      <c r="L852" s="161" t="s">
        <v>26</v>
      </c>
      <c r="M852" s="179">
        <f>(L846*M846 + L847*M847 + L848*M848 + L849*M849 + L850*M850)/SUM(M846:M850)</f>
        <v>50</v>
      </c>
      <c r="N852" s="66" t="s">
        <v>26</v>
      </c>
      <c r="O852" s="102" t="str">
        <f>(N846*O846 + N847*O847 + N848*O848 + N849*O849 + N850*O850)/SUM(O846:O850)</f>
        <v>#DIV/0!</v>
      </c>
    </row>
    <row r="853" ht="14.25" customHeight="1">
      <c r="A853" s="168"/>
      <c r="B853" s="164" t="s">
        <v>421</v>
      </c>
      <c r="C853" s="180" t="s">
        <v>422</v>
      </c>
      <c r="D853" s="166" t="s">
        <v>421</v>
      </c>
      <c r="E853" s="167" t="s">
        <v>422</v>
      </c>
      <c r="F853" s="164" t="s">
        <v>421</v>
      </c>
      <c r="G853" s="180" t="s">
        <v>422</v>
      </c>
      <c r="H853" s="164" t="s">
        <v>421</v>
      </c>
      <c r="I853" s="167" t="s">
        <v>422</v>
      </c>
      <c r="J853" s="166" t="s">
        <v>421</v>
      </c>
      <c r="K853" s="167" t="s">
        <v>422</v>
      </c>
      <c r="L853" s="164" t="s">
        <v>421</v>
      </c>
      <c r="M853" s="167" t="s">
        <v>422</v>
      </c>
      <c r="N853" s="166" t="s">
        <v>421</v>
      </c>
      <c r="O853" s="167" t="s">
        <v>422</v>
      </c>
    </row>
    <row r="854" ht="14.25" customHeight="1">
      <c r="A854" s="168"/>
      <c r="B854" s="171"/>
      <c r="C854" s="50"/>
      <c r="D854" s="171"/>
      <c r="E854" s="107"/>
      <c r="F854" s="171"/>
      <c r="G854" s="50"/>
      <c r="H854" s="147" t="s">
        <v>363</v>
      </c>
      <c r="I854" s="107"/>
      <c r="J854" s="171" t="s">
        <v>245</v>
      </c>
      <c r="K854" s="107"/>
      <c r="L854" s="147" t="s">
        <v>542</v>
      </c>
      <c r="M854" s="50"/>
      <c r="N854" s="171" t="s">
        <v>91</v>
      </c>
      <c r="O854" s="107" t="s">
        <v>90</v>
      </c>
    </row>
    <row r="855" ht="14.25" customHeight="1">
      <c r="A855" s="168"/>
      <c r="B855" s="25"/>
      <c r="C855" s="22"/>
      <c r="D855" s="25"/>
      <c r="E855" s="22"/>
      <c r="F855" s="23"/>
      <c r="G855" s="22"/>
      <c r="H855" s="47">
        <v>165.0</v>
      </c>
      <c r="I855" s="22">
        <v>3.0</v>
      </c>
      <c r="J855" s="25">
        <v>45.0</v>
      </c>
      <c r="K855" s="22">
        <v>3.0</v>
      </c>
      <c r="L855" s="47"/>
      <c r="M855" s="54">
        <v>5.0</v>
      </c>
      <c r="N855" s="23"/>
      <c r="O855" s="26"/>
    </row>
    <row r="856" ht="14.25" customHeight="1">
      <c r="A856" s="168"/>
      <c r="B856" s="25"/>
      <c r="C856" s="22"/>
      <c r="D856" s="25"/>
      <c r="E856" s="22"/>
      <c r="F856" s="23"/>
      <c r="G856" s="22"/>
      <c r="H856" s="47">
        <v>175.0</v>
      </c>
      <c r="I856" s="22">
        <v>3.0</v>
      </c>
      <c r="J856" s="25">
        <v>45.0</v>
      </c>
      <c r="K856" s="22">
        <v>3.0</v>
      </c>
      <c r="L856" s="47"/>
      <c r="M856" s="54">
        <v>5.0</v>
      </c>
      <c r="N856" s="23"/>
      <c r="O856" s="26"/>
    </row>
    <row r="857" ht="14.25" customHeight="1">
      <c r="A857" s="168"/>
      <c r="B857" s="25"/>
      <c r="C857" s="22"/>
      <c r="D857" s="25"/>
      <c r="E857" s="22"/>
      <c r="F857" s="23"/>
      <c r="G857" s="22"/>
      <c r="H857" s="47">
        <v>170.0</v>
      </c>
      <c r="I857" s="22">
        <v>3.0</v>
      </c>
      <c r="J857" s="25">
        <v>45.0</v>
      </c>
      <c r="K857" s="22">
        <v>3.0</v>
      </c>
      <c r="L857" s="47"/>
      <c r="M857" s="54">
        <v>5.0</v>
      </c>
      <c r="N857" s="23"/>
      <c r="O857" s="26"/>
    </row>
    <row r="858" ht="14.25" customHeight="1">
      <c r="A858" s="168"/>
      <c r="B858" s="53"/>
      <c r="C858" s="26"/>
      <c r="D858" s="23"/>
      <c r="E858" s="26"/>
      <c r="F858" s="23"/>
      <c r="G858" s="93"/>
      <c r="H858" s="1" t="s">
        <v>547</v>
      </c>
      <c r="I858" s="26"/>
      <c r="J858" s="23"/>
      <c r="K858" s="26"/>
      <c r="L858" s="23"/>
      <c r="M858" s="93"/>
      <c r="N858" s="23"/>
      <c r="O858" s="26"/>
    </row>
    <row r="859" ht="14.25" customHeight="1">
      <c r="A859" s="168"/>
      <c r="B859" s="23"/>
      <c r="C859" s="26"/>
      <c r="D859" s="30"/>
      <c r="E859" s="93"/>
      <c r="F859" s="23"/>
      <c r="G859" s="93"/>
      <c r="H859" s="23"/>
      <c r="I859" s="93"/>
      <c r="J859" s="30"/>
      <c r="K859" s="93"/>
      <c r="L859" s="23"/>
      <c r="M859" s="93"/>
      <c r="N859" s="30"/>
      <c r="O859" s="93"/>
    </row>
    <row r="860" ht="14.25" customHeight="1">
      <c r="A860" s="168"/>
      <c r="B860" s="23"/>
      <c r="C860" s="26"/>
      <c r="D860" s="30"/>
      <c r="E860" s="93"/>
      <c r="F860" s="23"/>
      <c r="G860" s="93"/>
      <c r="H860" s="23"/>
      <c r="I860" s="93"/>
      <c r="J860" s="30"/>
      <c r="K860" s="93"/>
      <c r="L860" s="23"/>
      <c r="M860" s="93"/>
      <c r="N860" s="30"/>
      <c r="O860" s="93"/>
    </row>
    <row r="861" ht="14.25" customHeight="1">
      <c r="A861" s="168"/>
      <c r="B861" s="176" t="s">
        <v>25</v>
      </c>
      <c r="C861" s="182">
        <f>C855*B855 + B856*C856 + B857*C857 + B858*C858 + B860*C860</f>
        <v>0</v>
      </c>
      <c r="D861" s="98" t="s">
        <v>25</v>
      </c>
      <c r="E861" s="97">
        <f>E855*D855 + D856*E856 + D857*E857 + D858*E858 + D860*E860</f>
        <v>0</v>
      </c>
      <c r="F861" s="176" t="s">
        <v>25</v>
      </c>
      <c r="G861" s="97">
        <f>G855*F855 + F856*G856 + F857*G857 + F858*G858 + F860*G860</f>
        <v>0</v>
      </c>
      <c r="H861" s="176" t="s">
        <v>25</v>
      </c>
      <c r="I861" s="97" t="str">
        <f>I855*H855 + H856*I856 + H857*I857 + H858*I858 + H860*I860</f>
        <v>#VALUE!</v>
      </c>
      <c r="J861" s="98" t="s">
        <v>25</v>
      </c>
      <c r="K861" s="97">
        <f>K855*J855 + J856*K856 + J857*K857 + J858*K858 + J860*K860</f>
        <v>405</v>
      </c>
      <c r="L861" s="176" t="s">
        <v>25</v>
      </c>
      <c r="M861" s="97">
        <f>M855*L855 + L856*M856 + L857*M857 + L858*M858 + L860*M860</f>
        <v>0</v>
      </c>
      <c r="N861" s="98" t="s">
        <v>25</v>
      </c>
      <c r="O861" s="97">
        <f>O855*N855 + N856*O856 + N857*O857 + N858*O858 + N860*O860</f>
        <v>0</v>
      </c>
    </row>
    <row r="862" ht="14.25" customHeight="1">
      <c r="A862" s="168"/>
      <c r="B862" s="161" t="s">
        <v>26</v>
      </c>
      <c r="C862" s="183" t="str">
        <f>(B855*C855 + B856*C856 + B857*C857 + B858*C858 + B860*C860)/SUM(C855:C860)</f>
        <v>#DIV/0!</v>
      </c>
      <c r="D862" s="66" t="s">
        <v>26</v>
      </c>
      <c r="E862" s="102" t="str">
        <f>(D855*E855 + D856*E856 + D857*E857 + D858*E858 + D860*E860)/SUM(E855:E860)</f>
        <v>#DIV/0!</v>
      </c>
      <c r="F862" s="161" t="s">
        <v>26</v>
      </c>
      <c r="G862" s="102" t="str">
        <f>(F855*G855 + F856*G856 + F857*G857 + F858*G858 + F860*G860)/SUM(G855:G860)</f>
        <v>#DIV/0!</v>
      </c>
      <c r="H862" s="161" t="s">
        <v>26</v>
      </c>
      <c r="I862" s="102" t="str">
        <f>(H855*I855 + H856*I856 + H857*I857 + H858*I858 + H860*I860)/SUM(I855:I860)</f>
        <v>#VALUE!</v>
      </c>
      <c r="J862" s="66" t="s">
        <v>26</v>
      </c>
      <c r="K862" s="102">
        <f>(J855*K855 + J856*K856 + J857*K857 + J858*K858 + J860*K860)/SUM(K855:K860)</f>
        <v>45</v>
      </c>
      <c r="L862" s="161" t="s">
        <v>26</v>
      </c>
      <c r="M862" s="102">
        <f>(L855*M855 + L856*M856 + L857*M857 + L858*M858 + L860*M860)/SUM(M855:M860)</f>
        <v>0</v>
      </c>
      <c r="N862" s="66" t="s">
        <v>26</v>
      </c>
      <c r="O862" s="102" t="str">
        <f>(N855*O855 + N856*O856 + N857*O857 + N858*O858 + N860*O860)/SUM(O855:O860)</f>
        <v>#DIV/0!</v>
      </c>
    </row>
    <row r="863" ht="14.25" customHeight="1">
      <c r="A863" s="168"/>
      <c r="B863" s="192"/>
      <c r="C863" s="50"/>
      <c r="D863" s="171"/>
      <c r="E863" s="107"/>
      <c r="F863" s="171"/>
      <c r="G863" s="107"/>
      <c r="H863" s="147" t="s">
        <v>548</v>
      </c>
      <c r="I863" s="50"/>
      <c r="J863" s="147" t="s">
        <v>51</v>
      </c>
      <c r="K863" s="50"/>
      <c r="L863" s="194" t="s">
        <v>290</v>
      </c>
      <c r="M863" s="50"/>
      <c r="N863" s="171"/>
      <c r="O863" s="171"/>
    </row>
    <row r="864" ht="14.25" customHeight="1">
      <c r="A864" s="168"/>
      <c r="B864" s="25"/>
      <c r="C864" s="26"/>
      <c r="D864" s="25"/>
      <c r="E864" s="26"/>
      <c r="F864" s="23"/>
      <c r="G864" s="26"/>
      <c r="H864" s="47">
        <v>30.0</v>
      </c>
      <c r="I864" s="26"/>
      <c r="J864" s="1">
        <v>20.0</v>
      </c>
      <c r="K864" s="93"/>
      <c r="L864" s="69" t="s">
        <v>228</v>
      </c>
      <c r="M864" s="54" t="s">
        <v>550</v>
      </c>
      <c r="N864" s="23"/>
      <c r="O864" s="26"/>
    </row>
    <row r="865" ht="14.25" customHeight="1">
      <c r="A865" s="168"/>
      <c r="B865" s="25"/>
      <c r="C865" s="26"/>
      <c r="D865" s="25"/>
      <c r="E865" s="26"/>
      <c r="F865" s="23"/>
      <c r="G865" s="26"/>
      <c r="H865" s="47">
        <v>20.0</v>
      </c>
      <c r="I865" s="26"/>
      <c r="J865" s="1">
        <v>30.0</v>
      </c>
      <c r="K865" s="93"/>
      <c r="L865" s="69" t="s">
        <v>552</v>
      </c>
      <c r="M865" s="54" t="s">
        <v>553</v>
      </c>
      <c r="N865" s="23"/>
      <c r="O865" s="26"/>
    </row>
    <row r="866" ht="14.25" customHeight="1">
      <c r="A866" s="168"/>
      <c r="B866" s="25"/>
      <c r="C866" s="26"/>
      <c r="D866" s="25"/>
      <c r="E866" s="26"/>
      <c r="F866" s="23"/>
      <c r="G866" s="26"/>
      <c r="H866" s="47">
        <v>30.0</v>
      </c>
      <c r="I866" s="26"/>
      <c r="J866" s="1">
        <v>20.0</v>
      </c>
      <c r="K866" s="93"/>
      <c r="L866" s="69" t="s">
        <v>346</v>
      </c>
      <c r="M866" s="54" t="s">
        <v>555</v>
      </c>
      <c r="N866" s="23"/>
      <c r="O866" s="26"/>
    </row>
    <row r="867" ht="14.25" customHeight="1">
      <c r="A867" s="168"/>
      <c r="B867" s="25"/>
      <c r="C867" s="26"/>
      <c r="D867" s="173"/>
      <c r="E867" s="93"/>
      <c r="F867" s="53"/>
      <c r="G867" s="26"/>
      <c r="H867" s="1"/>
      <c r="I867" s="26"/>
      <c r="J867" s="1"/>
      <c r="K867" s="93"/>
      <c r="L867" s="1" t="s">
        <v>556</v>
      </c>
      <c r="M867" s="93"/>
      <c r="N867" s="23"/>
      <c r="O867" s="93"/>
    </row>
    <row r="868" ht="14.25" customHeight="1">
      <c r="A868" s="190"/>
      <c r="B868" s="23"/>
      <c r="C868" s="26"/>
      <c r="D868" s="30"/>
      <c r="E868" s="93"/>
      <c r="F868" s="23"/>
      <c r="G868" s="93"/>
      <c r="H868" s="30"/>
      <c r="I868" s="93"/>
      <c r="J868" s="23"/>
      <c r="K868" s="93"/>
      <c r="L868" s="23"/>
      <c r="M868" s="93"/>
      <c r="N868" s="23"/>
      <c r="O868" s="93"/>
    </row>
    <row r="869" ht="14.25" customHeight="1">
      <c r="A869" s="190"/>
      <c r="B869" s="176" t="s">
        <v>25</v>
      </c>
      <c r="C869" s="182">
        <f>C864*B864 + B865*C865 + B866*C866 + B867*C867 + B868*C868</f>
        <v>0</v>
      </c>
      <c r="D869" s="98" t="s">
        <v>25</v>
      </c>
      <c r="E869" s="97">
        <f>E864*D864 + D865*E865 + D866*E866 + D867*E867 + D868*E868</f>
        <v>0</v>
      </c>
      <c r="F869" s="176" t="s">
        <v>25</v>
      </c>
      <c r="G869" s="97">
        <f>G864*F864 + F865*G865 + F866*G866 + F867*G867 + F868*G868</f>
        <v>0</v>
      </c>
      <c r="H869" s="98" t="s">
        <v>25</v>
      </c>
      <c r="I869" s="97">
        <f>I864*H864 + H865*I865 + H866*I866 + H867*I867 + H868*I868</f>
        <v>0</v>
      </c>
      <c r="J869" s="176" t="s">
        <v>25</v>
      </c>
      <c r="K869" s="97" t="str">
        <f>K864*J864 + J865*K865 + #REF!*K866 + J866*K867 + J868*K868</f>
        <v>#REF!</v>
      </c>
      <c r="L869" s="176" t="s">
        <v>25</v>
      </c>
      <c r="M869" s="97" t="str">
        <f>M864*L864 + L865*M865 + L866*M866 + L867*M867 + L868*M868</f>
        <v>#VALUE!</v>
      </c>
      <c r="N869" s="98" t="s">
        <v>25</v>
      </c>
      <c r="O869" s="111">
        <f>O864*N864 + N865*O865 + N866*O866 + N867*O867 + N868*O868</f>
        <v>0</v>
      </c>
    </row>
    <row r="870" ht="14.25" customHeight="1">
      <c r="A870" s="168"/>
      <c r="B870" s="161" t="s">
        <v>26</v>
      </c>
      <c r="C870" s="183" t="str">
        <f>(B864*C864 + B865*C865 + B866*C866 + B867*C867 + B868*C868)/SUM(C864:C868)</f>
        <v>#DIV/0!</v>
      </c>
      <c r="D870" s="66" t="s">
        <v>26</v>
      </c>
      <c r="E870" s="102" t="str">
        <f>(D864*E864 + D865*E865 + D866*E866 + D867*E867 + D868*E868)/SUM(E864:E868)</f>
        <v>#DIV/0!</v>
      </c>
      <c r="F870" s="161" t="s">
        <v>26</v>
      </c>
      <c r="G870" s="102" t="str">
        <f>(F864*G864 + F865*G865 + F866*G866 + F867*G867 + F868*G868)/SUM(G864:G868)</f>
        <v>#DIV/0!</v>
      </c>
      <c r="H870" s="66" t="s">
        <v>26</v>
      </c>
      <c r="I870" s="102" t="str">
        <f>(H864*I864 + H865*I865 + H866*I866 + H867*I867 + H868*I868)/SUM(I864:I868)</f>
        <v>#DIV/0!</v>
      </c>
      <c r="J870" s="161" t="s">
        <v>26</v>
      </c>
      <c r="K870" s="102" t="str">
        <f>(J864*K864 + J865*K865 + #REF!*K866 + J866*K867 + J868*K868)/SUM(K864:K868)</f>
        <v>#REF!</v>
      </c>
      <c r="L870" s="161" t="s">
        <v>26</v>
      </c>
      <c r="M870" s="102" t="str">
        <f>(L864*M864 + L865*M865 + L866*M866 + L867*M867 + L868*M868)/SUM(M864:M868)</f>
        <v>#VALUE!</v>
      </c>
      <c r="N870" s="66" t="s">
        <v>26</v>
      </c>
      <c r="O870" s="102" t="str">
        <f>(N864*O864 + N865*O865 + N866*O866 + N867*O867 + N868*O868)/SUM(O864:O868)</f>
        <v>#DIV/0!</v>
      </c>
    </row>
    <row r="871" ht="14.25" customHeight="1">
      <c r="A871" s="190"/>
      <c r="B871" s="23"/>
      <c r="C871" s="61"/>
      <c r="D871" s="30"/>
      <c r="E871" s="60"/>
      <c r="F871" s="23"/>
      <c r="G871" s="60"/>
      <c r="H871" s="30" t="s">
        <v>489</v>
      </c>
      <c r="I871" s="60"/>
      <c r="J871" s="30" t="s">
        <v>489</v>
      </c>
      <c r="K871" s="60"/>
      <c r="L871" s="30"/>
      <c r="M871" s="60"/>
      <c r="N871" s="30"/>
      <c r="O871" s="60"/>
    </row>
    <row r="872" ht="14.25" customHeight="1">
      <c r="A872" s="190"/>
      <c r="B872" s="23"/>
      <c r="C872" s="61"/>
      <c r="D872" s="23"/>
      <c r="E872" s="60"/>
      <c r="F872" s="23"/>
      <c r="G872" s="60"/>
      <c r="H872" s="1" t="s">
        <v>557</v>
      </c>
      <c r="I872" s="60"/>
      <c r="J872" s="1" t="s">
        <v>490</v>
      </c>
      <c r="K872" s="60"/>
      <c r="L872" s="23"/>
      <c r="M872" s="60"/>
      <c r="N872" s="30"/>
      <c r="O872" s="60"/>
    </row>
    <row r="873" ht="14.25" customHeight="1">
      <c r="A873" s="168"/>
      <c r="B873" s="23"/>
      <c r="C873" s="61"/>
      <c r="D873" s="23"/>
      <c r="E873" s="61"/>
      <c r="F873" s="23"/>
      <c r="G873" s="61"/>
      <c r="H873" s="1" t="s">
        <v>557</v>
      </c>
      <c r="I873" s="60"/>
      <c r="J873" s="23" t="s">
        <v>490</v>
      </c>
      <c r="K873" s="60"/>
      <c r="L873" s="1"/>
      <c r="M873" s="61"/>
      <c r="N873" s="23"/>
      <c r="O873" s="61"/>
    </row>
    <row r="874" ht="14.25" customHeight="1">
      <c r="A874" s="190"/>
      <c r="B874" s="23"/>
      <c r="C874" s="61"/>
      <c r="D874" s="23"/>
      <c r="E874" s="60"/>
      <c r="F874" s="23"/>
      <c r="G874" s="60"/>
      <c r="H874" s="23"/>
      <c r="I874" s="60"/>
      <c r="J874" s="1" t="s">
        <v>558</v>
      </c>
      <c r="K874" s="60"/>
      <c r="L874" s="23"/>
      <c r="M874" s="60"/>
      <c r="N874" s="23"/>
      <c r="O874" s="60"/>
    </row>
    <row r="875" ht="14.25" customHeight="1">
      <c r="A875" s="168"/>
      <c r="B875" s="23"/>
      <c r="C875" s="61"/>
      <c r="D875" s="23"/>
      <c r="E875" s="60"/>
      <c r="F875" s="23"/>
      <c r="G875" s="60"/>
      <c r="H875" s="23"/>
      <c r="I875" s="60"/>
      <c r="J875" s="23"/>
      <c r="K875" s="60"/>
      <c r="L875" s="23"/>
      <c r="M875" s="60"/>
      <c r="N875" s="23"/>
      <c r="O875" s="60"/>
    </row>
    <row r="876" ht="14.25" customHeight="1">
      <c r="A876" s="168"/>
      <c r="B876" s="23"/>
      <c r="C876" s="61"/>
      <c r="D876" s="23"/>
      <c r="E876" s="60"/>
      <c r="F876" s="23"/>
      <c r="G876" s="60"/>
      <c r="H876" s="23"/>
      <c r="I876" s="60"/>
      <c r="J876" s="23"/>
      <c r="K876" s="60"/>
      <c r="L876" s="23"/>
      <c r="M876" s="60"/>
      <c r="N876" s="23"/>
      <c r="O876" s="60"/>
    </row>
    <row r="877" ht="14.25" customHeight="1">
      <c r="A877" s="185"/>
      <c r="B877" s="161"/>
      <c r="C877" s="186"/>
      <c r="D877" s="66"/>
      <c r="E877" s="67"/>
      <c r="F877" s="161"/>
      <c r="G877" s="67"/>
      <c r="H877" s="66"/>
      <c r="I877" s="67"/>
      <c r="J877" s="161"/>
      <c r="K877" s="67"/>
      <c r="L877" s="161"/>
      <c r="M877" s="67"/>
      <c r="N877" s="161"/>
      <c r="O877" s="67"/>
    </row>
    <row r="878" ht="14.25" customHeight="1">
      <c r="A878" s="158"/>
      <c r="B878" s="159"/>
      <c r="C878" s="159"/>
      <c r="D878" s="158"/>
      <c r="E878" s="158"/>
      <c r="F878" s="159"/>
      <c r="G878" s="158"/>
      <c r="H878" s="158"/>
      <c r="I878" s="158"/>
      <c r="J878" s="159"/>
      <c r="K878" s="158"/>
      <c r="L878" s="158"/>
      <c r="M878" s="158"/>
      <c r="N878" s="158"/>
      <c r="O878" s="158"/>
    </row>
    <row r="879" ht="14.25" customHeight="1">
      <c r="A879" s="160" t="s">
        <v>2</v>
      </c>
      <c r="B879" s="161" t="s">
        <v>3</v>
      </c>
      <c r="C879" s="162">
        <f>O842+1</f>
        <v>45319</v>
      </c>
      <c r="D879" s="66" t="s">
        <v>4</v>
      </c>
      <c r="E879" s="162">
        <f>C879+1</f>
        <v>45320</v>
      </c>
      <c r="F879" s="161" t="s">
        <v>5</v>
      </c>
      <c r="G879" s="162">
        <f>E879+1</f>
        <v>45321</v>
      </c>
      <c r="H879" s="66" t="s">
        <v>6</v>
      </c>
      <c r="I879" s="162">
        <f>G879+1</f>
        <v>45322</v>
      </c>
      <c r="J879" s="161" t="s">
        <v>7</v>
      </c>
      <c r="K879" s="162">
        <f>I879+1</f>
        <v>45323</v>
      </c>
      <c r="L879" s="66" t="s">
        <v>8</v>
      </c>
      <c r="M879" s="162">
        <f>K879+1</f>
        <v>45324</v>
      </c>
      <c r="N879" s="66" t="s">
        <v>9</v>
      </c>
      <c r="O879" s="162">
        <f>M879+1</f>
        <v>45325</v>
      </c>
    </row>
    <row r="880" ht="14.25" customHeight="1">
      <c r="A880" s="163">
        <f>A843+1</f>
        <v>25</v>
      </c>
      <c r="B880" s="164" t="s">
        <v>421</v>
      </c>
      <c r="C880" s="165" t="s">
        <v>422</v>
      </c>
      <c r="D880" s="166" t="s">
        <v>421</v>
      </c>
      <c r="E880" s="165" t="s">
        <v>422</v>
      </c>
      <c r="F880" s="164" t="s">
        <v>421</v>
      </c>
      <c r="G880" s="165" t="s">
        <v>422</v>
      </c>
      <c r="H880" s="166" t="s">
        <v>421</v>
      </c>
      <c r="I880" s="165" t="s">
        <v>422</v>
      </c>
      <c r="J880" s="164" t="s">
        <v>421</v>
      </c>
      <c r="K880" s="165" t="s">
        <v>422</v>
      </c>
      <c r="L880" s="166" t="s">
        <v>421</v>
      </c>
      <c r="M880" s="165" t="s">
        <v>422</v>
      </c>
      <c r="N880" s="164" t="s">
        <v>421</v>
      </c>
      <c r="O880" s="165" t="s">
        <v>422</v>
      </c>
    </row>
    <row r="881" ht="14.25" customHeight="1">
      <c r="A881" s="168"/>
      <c r="B881" s="193" t="s">
        <v>536</v>
      </c>
      <c r="C881" s="170"/>
      <c r="D881" s="195" t="s">
        <v>306</v>
      </c>
      <c r="E881" s="196"/>
      <c r="F881" s="169" t="s">
        <v>306</v>
      </c>
      <c r="G881" s="170"/>
      <c r="H881" s="169" t="s">
        <v>306</v>
      </c>
      <c r="I881" s="170"/>
      <c r="J881" s="169" t="s">
        <v>537</v>
      </c>
      <c r="K881" s="170"/>
      <c r="L881" s="169"/>
      <c r="M881" s="170"/>
      <c r="N881" s="169"/>
      <c r="O881" s="170"/>
    </row>
    <row r="882" ht="14.25" customHeight="1">
      <c r="A882" s="168" t="s">
        <v>12</v>
      </c>
      <c r="B882" s="171"/>
      <c r="C882" s="107"/>
      <c r="D882" s="192"/>
      <c r="E882" s="107"/>
      <c r="F882" s="171" t="s">
        <v>245</v>
      </c>
      <c r="G882" s="107"/>
      <c r="H882" s="192" t="s">
        <v>508</v>
      </c>
      <c r="I882" s="107"/>
      <c r="J882" s="171" t="s">
        <v>538</v>
      </c>
      <c r="K882" s="107"/>
      <c r="L882" s="171"/>
      <c r="M882" s="107"/>
      <c r="N882" s="171"/>
      <c r="O882" s="107"/>
    </row>
    <row r="883" ht="14.25" customHeight="1">
      <c r="A883" s="190"/>
      <c r="B883" s="25"/>
      <c r="C883" s="22"/>
      <c r="D883" s="25"/>
      <c r="E883" s="22"/>
      <c r="F883" s="25">
        <v>45.0</v>
      </c>
      <c r="G883" s="22">
        <v>3.0</v>
      </c>
      <c r="H883" s="25" t="s">
        <v>510</v>
      </c>
      <c r="I883" s="26"/>
      <c r="J883" s="53" t="s">
        <v>540</v>
      </c>
      <c r="K883" s="26"/>
      <c r="L883" s="25"/>
      <c r="M883" s="22"/>
      <c r="N883" s="53"/>
      <c r="O883" s="26"/>
    </row>
    <row r="884" ht="14.25" customHeight="1">
      <c r="A884" s="168"/>
      <c r="B884" s="25"/>
      <c r="C884" s="22"/>
      <c r="D884" s="25"/>
      <c r="E884" s="22"/>
      <c r="F884" s="25">
        <v>45.0</v>
      </c>
      <c r="G884" s="22">
        <v>3.0</v>
      </c>
      <c r="H884" s="25" t="s">
        <v>511</v>
      </c>
      <c r="I884" s="26"/>
      <c r="J884" s="23"/>
      <c r="K884" s="26"/>
      <c r="L884" s="25"/>
      <c r="M884" s="22"/>
      <c r="N884" s="23"/>
      <c r="O884" s="26"/>
    </row>
    <row r="885" ht="14.25" customHeight="1">
      <c r="A885" s="190"/>
      <c r="B885" s="25"/>
      <c r="C885" s="22"/>
      <c r="D885" s="25"/>
      <c r="E885" s="22"/>
      <c r="F885" s="25">
        <v>45.0</v>
      </c>
      <c r="G885" s="22">
        <v>3.0</v>
      </c>
      <c r="H885" s="25" t="s">
        <v>15</v>
      </c>
      <c r="I885" s="26"/>
      <c r="J885" s="23"/>
      <c r="K885" s="26"/>
      <c r="L885" s="25"/>
      <c r="M885" s="22"/>
      <c r="N885" s="23"/>
      <c r="O885" s="26"/>
    </row>
    <row r="886" ht="14.25" customHeight="1">
      <c r="A886" s="168"/>
      <c r="B886" s="23"/>
      <c r="C886" s="93"/>
      <c r="D886" s="23"/>
      <c r="E886" s="26"/>
      <c r="F886" s="53"/>
      <c r="G886" s="26"/>
      <c r="H886" s="53" t="s">
        <v>512</v>
      </c>
      <c r="I886" s="26"/>
      <c r="J886" s="23"/>
      <c r="K886" s="26"/>
      <c r="L886" s="23"/>
      <c r="M886" s="26"/>
      <c r="N886" s="23"/>
      <c r="O886" s="26"/>
    </row>
    <row r="887" ht="14.25" customHeight="1">
      <c r="A887" s="168"/>
      <c r="B887" s="23"/>
      <c r="C887" s="26"/>
      <c r="D887" s="23"/>
      <c r="E887" s="26"/>
      <c r="F887" s="23"/>
      <c r="G887" s="93"/>
      <c r="H887" s="23"/>
      <c r="I887" s="93"/>
      <c r="J887" s="23"/>
      <c r="K887" s="93"/>
      <c r="L887" s="30"/>
      <c r="M887" s="93"/>
      <c r="N887" s="30"/>
      <c r="O887" s="93"/>
    </row>
    <row r="888" ht="14.25" customHeight="1">
      <c r="A888" s="168"/>
      <c r="B888" s="176" t="s">
        <v>25</v>
      </c>
      <c r="C888" s="177">
        <f>C883*B883 + B884*C884 + B885*C885 + B886*C886 + B887*C887</f>
        <v>0</v>
      </c>
      <c r="D888" s="98" t="s">
        <v>25</v>
      </c>
      <c r="E888" s="97" t="str">
        <f>E883*D883 + D884*#REF! + E884*E885 + D886*E886 + D887*E887</f>
        <v>#REF!</v>
      </c>
      <c r="F888" s="176" t="s">
        <v>25</v>
      </c>
      <c r="G888" s="111">
        <f>G883*F883 + F884*G884 + F885*G885 + F886*G886 + F887*G887</f>
        <v>405</v>
      </c>
      <c r="H888" s="176" t="s">
        <v>25</v>
      </c>
      <c r="I888" s="111" t="str">
        <f>I883*H883 + H884*I884 + H885*I885 + H886*I886 + H887*I887</f>
        <v>#VALUE!</v>
      </c>
      <c r="J888" s="176" t="s">
        <v>25</v>
      </c>
      <c r="K888" s="111" t="str">
        <f>K883*J883 + J884*K884 + J885*K885 + J886*K886 + J887*K887</f>
        <v>#VALUE!</v>
      </c>
      <c r="L888" s="98" t="s">
        <v>25</v>
      </c>
      <c r="M888" s="97">
        <f>M883*L883 + L884*M884 + L885*M885 + L886*M886 + L887*M887</f>
        <v>0</v>
      </c>
      <c r="N888" s="98" t="s">
        <v>25</v>
      </c>
      <c r="O888" s="97">
        <f>O883*N883 + N884*O884 + N885*O885 + N886*O886 + N887*O887</f>
        <v>0</v>
      </c>
    </row>
    <row r="889" ht="14.25" customHeight="1">
      <c r="A889" s="168"/>
      <c r="B889" s="161" t="s">
        <v>26</v>
      </c>
      <c r="C889" s="178" t="str">
        <f>(B883*C883 + B884*C884 + B885*C885 + B886*C886 + B887*C887)/SUM(C883:C887)</f>
        <v>#DIV/0!</v>
      </c>
      <c r="D889" s="66" t="s">
        <v>26</v>
      </c>
      <c r="E889" s="102" t="str">
        <f>(D883*E883 + D884*#REF! + E884*E885 + D886*E886 + D887*E887)/SUM(E883:E887)</f>
        <v>#REF!</v>
      </c>
      <c r="F889" s="161" t="s">
        <v>26</v>
      </c>
      <c r="G889" s="179">
        <f>(F883*G883 + F884*G884 + F885*G885 + F886*G886 + F887*G887)/SUM(G883:G887)</f>
        <v>45</v>
      </c>
      <c r="H889" s="161" t="s">
        <v>26</v>
      </c>
      <c r="I889" s="179" t="str">
        <f>(H883*I883 + H884*I884 + H885*I885 + H886*I886 + H887*I887)/SUM(I883:I887)</f>
        <v>#VALUE!</v>
      </c>
      <c r="J889" s="161" t="s">
        <v>26</v>
      </c>
      <c r="K889" s="179" t="str">
        <f>(J883*K883 + J884*K884 + J885*K885 + J886*K886 + J887*K887)/SUM(K883:K887)</f>
        <v>#VALUE!</v>
      </c>
      <c r="L889" s="66" t="s">
        <v>26</v>
      </c>
      <c r="M889" s="102" t="str">
        <f>(L883*M883 + L884*M884 + L885*M885 + L886*M886 + L887*M887)/SUM(M883:M887)</f>
        <v>#DIV/0!</v>
      </c>
      <c r="N889" s="66" t="s">
        <v>26</v>
      </c>
      <c r="O889" s="102" t="str">
        <f>(N883*O883 + N884*O884 + N885*O885 + N886*O886 + N887*O887)/SUM(O883:O887)</f>
        <v>#DIV/0!</v>
      </c>
    </row>
    <row r="890" ht="14.25" customHeight="1">
      <c r="A890" s="168"/>
      <c r="B890" s="164" t="s">
        <v>421</v>
      </c>
      <c r="C890" s="180" t="s">
        <v>422</v>
      </c>
      <c r="D890" s="166" t="s">
        <v>421</v>
      </c>
      <c r="E890" s="167" t="s">
        <v>422</v>
      </c>
      <c r="F890" s="164" t="s">
        <v>421</v>
      </c>
      <c r="G890" s="167" t="s">
        <v>422</v>
      </c>
      <c r="H890" s="164" t="s">
        <v>421</v>
      </c>
      <c r="I890" s="167" t="s">
        <v>422</v>
      </c>
      <c r="J890" s="164" t="s">
        <v>421</v>
      </c>
      <c r="K890" s="167" t="s">
        <v>422</v>
      </c>
      <c r="L890" s="166" t="s">
        <v>421</v>
      </c>
      <c r="M890" s="167" t="s">
        <v>422</v>
      </c>
      <c r="N890" s="166" t="s">
        <v>421</v>
      </c>
      <c r="O890" s="167" t="s">
        <v>422</v>
      </c>
    </row>
    <row r="891" ht="14.25" customHeight="1">
      <c r="A891" s="168"/>
      <c r="B891" s="171"/>
      <c r="C891" s="50"/>
      <c r="D891" s="171"/>
      <c r="E891" s="107"/>
      <c r="F891" s="147" t="s">
        <v>542</v>
      </c>
      <c r="G891" s="50"/>
      <c r="H891" s="171" t="s">
        <v>91</v>
      </c>
      <c r="I891" s="107" t="s">
        <v>49</v>
      </c>
      <c r="J891" s="171" t="s">
        <v>543</v>
      </c>
      <c r="K891" s="107"/>
      <c r="L891" s="171" t="s">
        <v>91</v>
      </c>
      <c r="M891" s="107" t="s">
        <v>90</v>
      </c>
      <c r="N891" s="171" t="s">
        <v>91</v>
      </c>
      <c r="O891" s="107" t="s">
        <v>90</v>
      </c>
    </row>
    <row r="892" ht="14.25" customHeight="1">
      <c r="A892" s="168"/>
      <c r="B892" s="25"/>
      <c r="C892" s="22"/>
      <c r="D892" s="25"/>
      <c r="E892" s="22"/>
      <c r="F892" s="47" t="s">
        <v>559</v>
      </c>
      <c r="G892" s="54">
        <v>5.0</v>
      </c>
      <c r="H892" s="25" t="s">
        <v>513</v>
      </c>
      <c r="I892" s="26" t="s">
        <v>514</v>
      </c>
      <c r="J892" s="53" t="s">
        <v>544</v>
      </c>
      <c r="K892" s="26"/>
      <c r="L892" s="23"/>
      <c r="M892" s="26"/>
      <c r="N892" s="23"/>
      <c r="O892" s="26"/>
    </row>
    <row r="893" ht="14.25" customHeight="1">
      <c r="A893" s="168"/>
      <c r="B893" s="25"/>
      <c r="C893" s="22"/>
      <c r="D893" s="25"/>
      <c r="E893" s="22"/>
      <c r="F893" s="47" t="s">
        <v>560</v>
      </c>
      <c r="G893" s="54">
        <v>5.0</v>
      </c>
      <c r="H893" s="25">
        <v>60.0</v>
      </c>
      <c r="I893" s="26"/>
      <c r="J893" s="53" t="s">
        <v>545</v>
      </c>
      <c r="K893" s="26"/>
      <c r="L893" s="23"/>
      <c r="M893" s="26"/>
      <c r="N893" s="23"/>
      <c r="O893" s="26"/>
    </row>
    <row r="894" ht="14.25" customHeight="1">
      <c r="A894" s="168"/>
      <c r="B894" s="25"/>
      <c r="C894" s="22"/>
      <c r="D894" s="25"/>
      <c r="E894" s="22"/>
      <c r="F894" s="47" t="s">
        <v>561</v>
      </c>
      <c r="G894" s="54">
        <v>5.0</v>
      </c>
      <c r="H894" s="25">
        <v>60.0</v>
      </c>
      <c r="I894" s="26"/>
      <c r="J894" s="23" t="s">
        <v>546</v>
      </c>
      <c r="K894" s="26"/>
      <c r="L894" s="23"/>
      <c r="M894" s="26"/>
      <c r="N894" s="23"/>
      <c r="O894" s="26"/>
    </row>
    <row r="895" ht="14.25" customHeight="1">
      <c r="A895" s="168"/>
      <c r="B895" s="53"/>
      <c r="C895" s="26"/>
      <c r="D895" s="23"/>
      <c r="E895" s="26"/>
      <c r="F895" s="23"/>
      <c r="G895" s="93"/>
      <c r="H895" s="23"/>
      <c r="I895" s="26"/>
      <c r="J895" s="23"/>
      <c r="K895" s="26"/>
      <c r="L895" s="23"/>
      <c r="M895" s="26"/>
      <c r="N895" s="23"/>
      <c r="O895" s="26"/>
    </row>
    <row r="896" ht="14.25" customHeight="1">
      <c r="A896" s="168"/>
      <c r="B896" s="23"/>
      <c r="C896" s="26"/>
      <c r="D896" s="30"/>
      <c r="E896" s="93"/>
      <c r="F896" s="23"/>
      <c r="G896" s="93"/>
      <c r="H896" s="23"/>
      <c r="I896" s="93"/>
      <c r="J896" s="23"/>
      <c r="K896" s="93"/>
      <c r="L896" s="30"/>
      <c r="M896" s="93"/>
      <c r="N896" s="30"/>
      <c r="O896" s="93"/>
    </row>
    <row r="897" ht="14.25" customHeight="1">
      <c r="A897" s="168"/>
      <c r="B897" s="23"/>
      <c r="C897" s="26"/>
      <c r="D897" s="30"/>
      <c r="E897" s="93"/>
      <c r="F897" s="23"/>
      <c r="G897" s="93"/>
      <c r="H897" s="23"/>
      <c r="I897" s="93"/>
      <c r="J897" s="23"/>
      <c r="K897" s="93"/>
      <c r="L897" s="30"/>
      <c r="M897" s="93"/>
      <c r="N897" s="30"/>
      <c r="O897" s="93"/>
    </row>
    <row r="898" ht="14.25" customHeight="1">
      <c r="A898" s="168"/>
      <c r="B898" s="176" t="s">
        <v>25</v>
      </c>
      <c r="C898" s="182">
        <f>C892*B892 + B893*C893 + B894*C894 + B895*C895 + B897*C897</f>
        <v>0</v>
      </c>
      <c r="D898" s="98" t="s">
        <v>25</v>
      </c>
      <c r="E898" s="97">
        <f>E892*D892 + D893*E893 + D894*E894 + D895*E895 + D897*E897</f>
        <v>0</v>
      </c>
      <c r="F898" s="176" t="s">
        <v>25</v>
      </c>
      <c r="G898" s="97" t="str">
        <f>G892*F892 + F893*G893 + F894*G894 + F895*G895 + F897*G897</f>
        <v>#VALUE!</v>
      </c>
      <c r="H898" s="176" t="s">
        <v>25</v>
      </c>
      <c r="I898" s="97" t="str">
        <f>I892*H892 + H893*I893 + H894*I894 + H895*I895 + H897*I897</f>
        <v>#VALUE!</v>
      </c>
      <c r="J898" s="176" t="s">
        <v>25</v>
      </c>
      <c r="K898" s="97" t="str">
        <f>K892*J892 + J893*K893 + J894*K894 + J895*K895 + J897*K897</f>
        <v>#VALUE!</v>
      </c>
      <c r="L898" s="98" t="s">
        <v>25</v>
      </c>
      <c r="M898" s="97">
        <f>M892*L892 + L893*M893 + L894*M894 + L895*M895 + L897*M897</f>
        <v>0</v>
      </c>
      <c r="N898" s="98" t="s">
        <v>25</v>
      </c>
      <c r="O898" s="97">
        <f>O892*N892 + N893*O893 + N894*O894 + N895*O895 + N897*O897</f>
        <v>0</v>
      </c>
    </row>
    <row r="899" ht="14.25" customHeight="1">
      <c r="A899" s="168"/>
      <c r="B899" s="161" t="s">
        <v>26</v>
      </c>
      <c r="C899" s="183" t="str">
        <f>(B892*C892 + B893*C893 + B894*C894 + B895*C895 + B897*C897)/SUM(C892:C897)</f>
        <v>#DIV/0!</v>
      </c>
      <c r="D899" s="66" t="s">
        <v>26</v>
      </c>
      <c r="E899" s="102" t="str">
        <f>(D892*E892 + D893*E893 + D894*E894 + D895*E895 + D897*E897)/SUM(E892:E897)</f>
        <v>#DIV/0!</v>
      </c>
      <c r="F899" s="161" t="s">
        <v>26</v>
      </c>
      <c r="G899" s="102" t="str">
        <f>(F892*G892 + F893*G893 + F894*G894 + F895*G895 + F897*G897)/SUM(G892:G897)</f>
        <v>#VALUE!</v>
      </c>
      <c r="H899" s="161" t="s">
        <v>26</v>
      </c>
      <c r="I899" s="102" t="str">
        <f>(H892*I892 + H893*I893 + H894*I894 + H895*I895 + H897*I897)/SUM(I892:I897)</f>
        <v>#VALUE!</v>
      </c>
      <c r="J899" s="161" t="s">
        <v>26</v>
      </c>
      <c r="K899" s="102" t="str">
        <f>(J892*K892 + J893*K893 + J894*K894 + J895*K895 + J897*K897)/SUM(K892:K897)</f>
        <v>#VALUE!</v>
      </c>
      <c r="L899" s="66" t="s">
        <v>26</v>
      </c>
      <c r="M899" s="102" t="str">
        <f>(L892*M892 + L893*M893 + L894*M894 + L895*M895 + L897*M897)/SUM(M892:M897)</f>
        <v>#DIV/0!</v>
      </c>
      <c r="N899" s="66" t="s">
        <v>26</v>
      </c>
      <c r="O899" s="102" t="str">
        <f>(N892*O892 + N893*O893 + N894*O894 + N895*O895 + N897*O897)/SUM(O892:O897)</f>
        <v>#DIV/0!</v>
      </c>
    </row>
    <row r="900" ht="14.25" customHeight="1">
      <c r="A900" s="168"/>
      <c r="B900" s="192"/>
      <c r="C900" s="50"/>
      <c r="D900" s="171"/>
      <c r="E900" s="107"/>
      <c r="F900" s="194" t="s">
        <v>290</v>
      </c>
      <c r="G900" s="50"/>
      <c r="H900" s="192" t="s">
        <v>515</v>
      </c>
      <c r="I900" s="107"/>
      <c r="J900" s="171" t="s">
        <v>549</v>
      </c>
      <c r="K900" s="107"/>
      <c r="L900" s="192"/>
      <c r="M900" s="50"/>
      <c r="N900" s="171"/>
      <c r="O900" s="171"/>
    </row>
    <row r="901" ht="14.25" customHeight="1">
      <c r="A901" s="168"/>
      <c r="B901" s="25"/>
      <c r="C901" s="26"/>
      <c r="D901" s="25"/>
      <c r="E901" s="26"/>
      <c r="F901" s="69" t="s">
        <v>552</v>
      </c>
      <c r="G901" s="54" t="s">
        <v>550</v>
      </c>
      <c r="H901" s="53" t="s">
        <v>517</v>
      </c>
      <c r="I901" s="26"/>
      <c r="J901" s="53" t="s">
        <v>551</v>
      </c>
      <c r="K901" s="26"/>
      <c r="L901" s="53"/>
      <c r="M901" s="26"/>
      <c r="N901" s="23"/>
      <c r="O901" s="26"/>
    </row>
    <row r="902" ht="14.25" customHeight="1">
      <c r="A902" s="168"/>
      <c r="B902" s="25"/>
      <c r="C902" s="26"/>
      <c r="D902" s="25"/>
      <c r="E902" s="26"/>
      <c r="F902" s="69" t="s">
        <v>552</v>
      </c>
      <c r="G902" s="54" t="s">
        <v>553</v>
      </c>
      <c r="H902" s="53" t="s">
        <v>518</v>
      </c>
      <c r="I902" s="26"/>
      <c r="J902" s="23" t="s">
        <v>554</v>
      </c>
      <c r="K902" s="26"/>
      <c r="L902" s="53"/>
      <c r="M902" s="26"/>
      <c r="N902" s="23"/>
      <c r="O902" s="26"/>
    </row>
    <row r="903" ht="14.25" customHeight="1">
      <c r="A903" s="168"/>
      <c r="B903" s="25"/>
      <c r="C903" s="26"/>
      <c r="D903" s="25"/>
      <c r="E903" s="26"/>
      <c r="F903" s="69" t="s">
        <v>346</v>
      </c>
      <c r="G903" s="54" t="s">
        <v>555</v>
      </c>
      <c r="H903" s="53" t="s">
        <v>519</v>
      </c>
      <c r="I903" s="26"/>
      <c r="J903" s="23"/>
      <c r="K903" s="26"/>
      <c r="L903" s="53"/>
      <c r="M903" s="26"/>
      <c r="N903" s="23"/>
      <c r="O903" s="26"/>
    </row>
    <row r="904" ht="14.25" customHeight="1">
      <c r="A904" s="168"/>
      <c r="B904" s="25"/>
      <c r="C904" s="26"/>
      <c r="D904" s="173"/>
      <c r="E904" s="93"/>
      <c r="F904" s="1" t="s">
        <v>556</v>
      </c>
      <c r="G904" s="93"/>
      <c r="H904" s="23"/>
      <c r="I904" s="26"/>
      <c r="J904" s="23"/>
      <c r="K904" s="93"/>
      <c r="L904" s="23"/>
      <c r="M904" s="93"/>
      <c r="N904" s="23"/>
      <c r="O904" s="93"/>
    </row>
    <row r="905" ht="14.25" customHeight="1">
      <c r="A905" s="190"/>
      <c r="B905" s="23"/>
      <c r="C905" s="26"/>
      <c r="D905" s="30"/>
      <c r="E905" s="93"/>
      <c r="F905" s="23"/>
      <c r="G905" s="93"/>
      <c r="H905" s="30"/>
      <c r="I905" s="93"/>
      <c r="J905" s="23"/>
      <c r="K905" s="93"/>
      <c r="L905" s="23"/>
      <c r="M905" s="93"/>
      <c r="N905" s="23"/>
      <c r="O905" s="93"/>
    </row>
    <row r="906" ht="14.25" customHeight="1">
      <c r="A906" s="190"/>
      <c r="B906" s="176" t="s">
        <v>25</v>
      </c>
      <c r="C906" s="182">
        <f>C901*B901 + B902*C902 + B903*C903 + B904*C904 + B905*C905</f>
        <v>0</v>
      </c>
      <c r="D906" s="98" t="s">
        <v>25</v>
      </c>
      <c r="E906" s="97">
        <f>E901*D901 + D902*E902 + D903*E903 + D904*E904 + D905*E905</f>
        <v>0</v>
      </c>
      <c r="F906" s="176" t="s">
        <v>25</v>
      </c>
      <c r="G906" s="97" t="str">
        <f>G901*F901 + F902*G902 + F903*G903 + F904*G904 + F905*G905</f>
        <v>#VALUE!</v>
      </c>
      <c r="H906" s="98" t="s">
        <v>25</v>
      </c>
      <c r="I906" s="97" t="str">
        <f>I901*H901 + H902*I902 + H903*I903 + H904*I904 + H905*I905</f>
        <v>#VALUE!</v>
      </c>
      <c r="J906" s="176" t="s">
        <v>25</v>
      </c>
      <c r="K906" s="97" t="str">
        <f>K901*J901 + J902*K902 + #REF!*K903 + J903*K904 + J905*K905</f>
        <v>#VALUE!</v>
      </c>
      <c r="L906" s="98" t="s">
        <v>25</v>
      </c>
      <c r="M906" s="97">
        <f>M901*L901 + L902*M902 + L903*M903 + L904*M904 + L905*M905</f>
        <v>0</v>
      </c>
      <c r="N906" s="98" t="s">
        <v>25</v>
      </c>
      <c r="O906" s="111">
        <f>O901*N901 + N902*O902 + N903*O903 + N904*O904 + N905*O905</f>
        <v>0</v>
      </c>
    </row>
    <row r="907" ht="14.25" customHeight="1">
      <c r="A907" s="168"/>
      <c r="B907" s="161" t="s">
        <v>26</v>
      </c>
      <c r="C907" s="183" t="str">
        <f>(B901*C901 + B902*C902 + B903*C903 + B904*C904 + B905*C905)/SUM(C901:C905)</f>
        <v>#DIV/0!</v>
      </c>
      <c r="D907" s="66" t="s">
        <v>26</v>
      </c>
      <c r="E907" s="102" t="str">
        <f>(D901*E901 + D902*E902 + D903*E903 + D904*E904 + D905*E905)/SUM(E901:E905)</f>
        <v>#DIV/0!</v>
      </c>
      <c r="F907" s="161" t="s">
        <v>26</v>
      </c>
      <c r="G907" s="102" t="str">
        <f>(F901*G901 + F902*G902 + F903*G903 + F904*G904 + F905*G905)/SUM(G901:G905)</f>
        <v>#VALUE!</v>
      </c>
      <c r="H907" s="66" t="s">
        <v>26</v>
      </c>
      <c r="I907" s="102" t="str">
        <f>(H901*I901 + H902*I902 + H903*I903 + H904*I904 + H905*I905)/SUM(I901:I905)</f>
        <v>#VALUE!</v>
      </c>
      <c r="J907" s="161" t="s">
        <v>26</v>
      </c>
      <c r="K907" s="102" t="str">
        <f>(J901*K901 + J902*K902 + #REF!*K903 + J903*K904 + J905*K905)/SUM(K901:K905)</f>
        <v>#VALUE!</v>
      </c>
      <c r="L907" s="66" t="s">
        <v>26</v>
      </c>
      <c r="M907" s="102" t="str">
        <f>(L901*M901 + L902*M902 + L903*M903 + L904*M904 + L905*M905)/SUM(M901:M905)</f>
        <v>#DIV/0!</v>
      </c>
      <c r="N907" s="66" t="s">
        <v>26</v>
      </c>
      <c r="O907" s="102" t="str">
        <f>(N901*O901 + N902*O902 + N903*O903 + N904*O904 + N905*O905)/SUM(O901:O905)</f>
        <v>#DIV/0!</v>
      </c>
    </row>
    <row r="908" ht="14.25" customHeight="1">
      <c r="A908" s="190"/>
      <c r="B908" s="23"/>
      <c r="C908" s="61"/>
      <c r="D908" s="30"/>
      <c r="E908" s="60"/>
      <c r="F908" s="23"/>
      <c r="G908" s="60"/>
      <c r="H908" s="62"/>
      <c r="I908" s="60"/>
      <c r="J908" s="53"/>
      <c r="K908" s="60"/>
      <c r="L908" s="62"/>
      <c r="M908" s="60"/>
      <c r="N908" s="30"/>
      <c r="O908" s="60"/>
    </row>
    <row r="909" ht="14.25" customHeight="1">
      <c r="A909" s="190"/>
      <c r="B909" s="23"/>
      <c r="C909" s="61"/>
      <c r="D909" s="23"/>
      <c r="E909" s="60"/>
      <c r="F909" s="23"/>
      <c r="G909" s="60"/>
      <c r="H909" s="51"/>
      <c r="I909" s="60"/>
      <c r="J909" s="23"/>
      <c r="K909" s="60"/>
      <c r="L909" s="197"/>
      <c r="M909" s="60"/>
      <c r="N909" s="30"/>
      <c r="O909" s="60"/>
    </row>
    <row r="910" ht="14.25" customHeight="1">
      <c r="A910" s="168"/>
      <c r="B910" s="23"/>
      <c r="C910" s="61"/>
      <c r="D910" s="23"/>
      <c r="E910" s="61"/>
      <c r="F910" s="23"/>
      <c r="G910" s="61"/>
      <c r="H910" s="53"/>
      <c r="I910" s="60"/>
      <c r="J910" s="53"/>
      <c r="K910" s="60"/>
      <c r="L910" s="53"/>
      <c r="M910" s="61"/>
      <c r="N910" s="23"/>
      <c r="O910" s="61"/>
    </row>
    <row r="911" ht="14.25" customHeight="1">
      <c r="A911" s="190"/>
      <c r="B911" s="23"/>
      <c r="C911" s="61"/>
      <c r="D911" s="23"/>
      <c r="E911" s="60"/>
      <c r="F911" s="23"/>
      <c r="G911" s="60"/>
      <c r="H911" s="23"/>
      <c r="I911" s="60"/>
      <c r="J911" s="23"/>
      <c r="K911" s="60"/>
      <c r="L911" s="23"/>
      <c r="M911" s="60"/>
      <c r="N911" s="23"/>
      <c r="O911" s="60"/>
    </row>
    <row r="912" ht="14.25" customHeight="1">
      <c r="A912" s="168"/>
      <c r="B912" s="23"/>
      <c r="C912" s="61"/>
      <c r="D912" s="23"/>
      <c r="E912" s="60"/>
      <c r="F912" s="23"/>
      <c r="G912" s="60"/>
      <c r="H912" s="23"/>
      <c r="I912" s="60"/>
      <c r="J912" s="23"/>
      <c r="K912" s="60"/>
      <c r="L912" s="23"/>
      <c r="M912" s="60"/>
      <c r="N912" s="23"/>
      <c r="O912" s="60"/>
    </row>
    <row r="913" ht="14.25" customHeight="1">
      <c r="A913" s="168"/>
      <c r="B913" s="23"/>
      <c r="C913" s="61"/>
      <c r="D913" s="23"/>
      <c r="E913" s="60"/>
      <c r="F913" s="23"/>
      <c r="G913" s="60"/>
      <c r="H913" s="23"/>
      <c r="I913" s="60"/>
      <c r="J913" s="23"/>
      <c r="K913" s="60"/>
      <c r="L913" s="23"/>
      <c r="M913" s="60"/>
      <c r="N913" s="23"/>
      <c r="O913" s="60"/>
    </row>
    <row r="914" ht="14.25" customHeight="1">
      <c r="A914" s="185"/>
      <c r="B914" s="161"/>
      <c r="C914" s="186"/>
      <c r="D914" s="66"/>
      <c r="E914" s="67"/>
      <c r="F914" s="161"/>
      <c r="G914" s="67"/>
      <c r="H914" s="66"/>
      <c r="I914" s="67"/>
      <c r="J914" s="161"/>
      <c r="K914" s="67"/>
      <c r="L914" s="161"/>
      <c r="M914" s="67"/>
      <c r="N914" s="161"/>
      <c r="O914" s="67"/>
    </row>
    <row r="915" ht="14.25" customHeight="1">
      <c r="A915" s="30"/>
      <c r="B915" s="23"/>
      <c r="C915" s="23"/>
      <c r="D915" s="30"/>
      <c r="E915" s="30"/>
      <c r="F915" s="23"/>
      <c r="G915" s="30"/>
      <c r="H915" s="30"/>
      <c r="I915" s="30"/>
      <c r="J915" s="23"/>
      <c r="K915" s="30"/>
      <c r="L915" s="30"/>
      <c r="M915" s="30"/>
      <c r="N915" s="30"/>
      <c r="O915" s="30"/>
    </row>
    <row r="916" ht="14.25" customHeight="1">
      <c r="A916" s="30"/>
      <c r="B916" s="30"/>
      <c r="C916" s="30"/>
      <c r="D916" s="23"/>
      <c r="E916" s="30"/>
      <c r="F916" s="30"/>
      <c r="G916" s="30"/>
      <c r="H916" s="23"/>
      <c r="I916" s="30"/>
      <c r="J916" s="30"/>
      <c r="K916" s="30"/>
      <c r="L916" s="30"/>
      <c r="M916" s="30"/>
      <c r="N916" s="30"/>
      <c r="O916" s="30"/>
    </row>
    <row r="917" ht="14.25" customHeight="1">
      <c r="A917" s="30"/>
      <c r="B917" s="30"/>
      <c r="C917" s="30"/>
      <c r="D917" s="23"/>
      <c r="E917" s="30"/>
      <c r="F917" s="30"/>
      <c r="G917" s="30"/>
      <c r="H917" s="23"/>
      <c r="I917" s="30"/>
      <c r="J917" s="30"/>
      <c r="K917" s="30"/>
      <c r="L917" s="30"/>
      <c r="M917" s="30"/>
      <c r="N917" s="30"/>
      <c r="O917" s="30"/>
    </row>
    <row r="918" ht="14.25" customHeight="1">
      <c r="A918" s="30"/>
      <c r="B918" s="30"/>
      <c r="C918" s="30"/>
      <c r="D918" s="23"/>
      <c r="E918" s="30"/>
      <c r="F918" s="30"/>
      <c r="G918" s="30"/>
      <c r="H918" s="23"/>
      <c r="I918" s="30"/>
      <c r="J918" s="30"/>
      <c r="K918" s="30"/>
      <c r="L918" s="30"/>
      <c r="M918" s="30"/>
      <c r="N918" s="30"/>
      <c r="O918" s="30"/>
    </row>
    <row r="919" ht="14.25" customHeight="1">
      <c r="A919" s="30"/>
      <c r="B919" s="30"/>
      <c r="C919" s="30"/>
      <c r="D919" s="23"/>
      <c r="E919" s="30"/>
      <c r="F919" s="30"/>
      <c r="G919" s="30"/>
      <c r="H919" s="23"/>
      <c r="I919" s="30"/>
      <c r="J919" s="30"/>
      <c r="K919" s="30"/>
      <c r="L919" s="30"/>
      <c r="M919" s="30"/>
      <c r="N919" s="30"/>
      <c r="O919" s="30"/>
    </row>
    <row r="920" ht="14.25" customHeight="1">
      <c r="A920" s="30"/>
      <c r="B920" s="30"/>
      <c r="C920" s="30"/>
      <c r="D920" s="23"/>
      <c r="E920" s="30"/>
      <c r="F920" s="30"/>
      <c r="G920" s="30"/>
      <c r="H920" s="23"/>
      <c r="I920" s="30"/>
      <c r="J920" s="30"/>
      <c r="K920" s="30"/>
      <c r="L920" s="30"/>
      <c r="M920" s="30"/>
      <c r="N920" s="30"/>
      <c r="O920" s="30"/>
    </row>
    <row r="921" ht="14.25" customHeight="1">
      <c r="A921" s="30"/>
      <c r="B921" s="30"/>
      <c r="C921" s="30"/>
      <c r="D921" s="23"/>
      <c r="E921" s="30"/>
      <c r="F921" s="30"/>
      <c r="G921" s="30"/>
      <c r="H921" s="23"/>
      <c r="I921" s="30"/>
      <c r="J921" s="30"/>
      <c r="K921" s="30"/>
      <c r="L921" s="30"/>
      <c r="M921" s="30"/>
      <c r="N921" s="30"/>
      <c r="O921" s="30"/>
    </row>
    <row r="922" ht="14.25" customHeight="1">
      <c r="A922" s="30"/>
      <c r="B922" s="30"/>
      <c r="C922" s="30"/>
      <c r="D922" s="23"/>
      <c r="E922" s="30"/>
      <c r="F922" s="30"/>
      <c r="G922" s="30"/>
      <c r="H922" s="23"/>
      <c r="I922" s="30"/>
      <c r="J922" s="30"/>
      <c r="K922" s="30"/>
      <c r="L922" s="30"/>
      <c r="M922" s="30"/>
      <c r="N922" s="30"/>
      <c r="O922" s="30"/>
    </row>
    <row r="923" ht="14.25" customHeight="1">
      <c r="A923" s="30"/>
      <c r="B923" s="30"/>
      <c r="C923" s="30"/>
      <c r="D923" s="23"/>
      <c r="E923" s="30"/>
      <c r="F923" s="30"/>
      <c r="G923" s="30"/>
      <c r="H923" s="23"/>
      <c r="I923" s="30"/>
      <c r="J923" s="30"/>
      <c r="K923" s="30"/>
      <c r="L923" s="30"/>
      <c r="M923" s="30"/>
      <c r="N923" s="30"/>
      <c r="O923" s="30"/>
    </row>
    <row r="924" ht="14.25" customHeight="1">
      <c r="A924" s="30"/>
      <c r="B924" s="30"/>
      <c r="C924" s="30"/>
      <c r="D924" s="23"/>
      <c r="E924" s="30"/>
      <c r="F924" s="30"/>
      <c r="G924" s="30"/>
      <c r="H924" s="23"/>
      <c r="I924" s="30"/>
      <c r="J924" s="30"/>
      <c r="K924" s="30"/>
      <c r="L924" s="30"/>
      <c r="M924" s="30"/>
      <c r="N924" s="30"/>
      <c r="O924" s="30"/>
    </row>
    <row r="925" ht="14.25" customHeight="1">
      <c r="A925" s="30"/>
      <c r="B925" s="30"/>
      <c r="C925" s="30"/>
      <c r="D925" s="23"/>
      <c r="E925" s="30"/>
      <c r="F925" s="30"/>
      <c r="G925" s="30"/>
      <c r="H925" s="23"/>
      <c r="I925" s="30"/>
      <c r="J925" s="30"/>
      <c r="K925" s="30"/>
      <c r="L925" s="30"/>
      <c r="M925" s="30"/>
      <c r="N925" s="30"/>
      <c r="O925" s="30"/>
    </row>
    <row r="926" ht="14.25" customHeight="1">
      <c r="A926" s="30"/>
      <c r="B926" s="30"/>
      <c r="C926" s="30"/>
      <c r="D926" s="23"/>
      <c r="E926" s="30"/>
      <c r="F926" s="30"/>
      <c r="G926" s="30"/>
      <c r="H926" s="23"/>
      <c r="I926" s="30"/>
      <c r="J926" s="30"/>
      <c r="K926" s="30"/>
      <c r="L926" s="30"/>
      <c r="M926" s="30"/>
      <c r="N926" s="30"/>
      <c r="O926" s="30"/>
    </row>
    <row r="927" ht="14.25" customHeight="1">
      <c r="A927" s="30"/>
      <c r="B927" s="30"/>
      <c r="C927" s="30"/>
      <c r="D927" s="23"/>
      <c r="E927" s="30"/>
      <c r="F927" s="30"/>
      <c r="G927" s="30"/>
      <c r="H927" s="23"/>
      <c r="I927" s="30"/>
      <c r="J927" s="30"/>
      <c r="K927" s="30"/>
      <c r="L927" s="30"/>
      <c r="M927" s="30"/>
      <c r="N927" s="30"/>
      <c r="O927" s="30"/>
    </row>
    <row r="928" ht="14.25" customHeight="1">
      <c r="A928" s="30"/>
      <c r="B928" s="30"/>
      <c r="C928" s="30"/>
      <c r="D928" s="23"/>
      <c r="E928" s="30"/>
      <c r="F928" s="30"/>
      <c r="G928" s="30"/>
      <c r="H928" s="23"/>
      <c r="I928" s="30"/>
      <c r="J928" s="30"/>
      <c r="K928" s="30"/>
      <c r="L928" s="30"/>
      <c r="M928" s="30"/>
      <c r="N928" s="30"/>
      <c r="O928" s="30"/>
    </row>
    <row r="929" ht="14.25" customHeight="1">
      <c r="A929" s="30"/>
      <c r="B929" s="30"/>
      <c r="C929" s="30"/>
      <c r="D929" s="23"/>
      <c r="E929" s="30"/>
      <c r="F929" s="30"/>
      <c r="G929" s="30"/>
      <c r="H929" s="23"/>
      <c r="I929" s="30"/>
      <c r="J929" s="30"/>
      <c r="K929" s="30"/>
      <c r="L929" s="30"/>
      <c r="M929" s="30"/>
      <c r="N929" s="30"/>
      <c r="O929" s="30"/>
    </row>
    <row r="930" ht="14.25" customHeight="1">
      <c r="A930" s="30"/>
      <c r="B930" s="30"/>
      <c r="C930" s="30"/>
      <c r="D930" s="23"/>
      <c r="E930" s="30"/>
      <c r="F930" s="30"/>
      <c r="G930" s="30"/>
      <c r="H930" s="23"/>
      <c r="I930" s="30"/>
      <c r="J930" s="30"/>
      <c r="K930" s="30"/>
      <c r="L930" s="30"/>
      <c r="M930" s="30"/>
      <c r="N930" s="30"/>
      <c r="O930" s="30"/>
    </row>
    <row r="931" ht="14.25" customHeight="1">
      <c r="A931" s="30"/>
      <c r="B931" s="30"/>
      <c r="C931" s="30"/>
      <c r="D931" s="23"/>
      <c r="E931" s="30"/>
      <c r="F931" s="30"/>
      <c r="G931" s="30"/>
      <c r="H931" s="23"/>
      <c r="I931" s="30"/>
      <c r="J931" s="30"/>
      <c r="K931" s="30"/>
      <c r="L931" s="30"/>
      <c r="M931" s="30"/>
      <c r="N931" s="30"/>
      <c r="O931" s="30"/>
    </row>
    <row r="932" ht="14.25" customHeight="1">
      <c r="A932" s="30"/>
      <c r="B932" s="30"/>
      <c r="C932" s="30"/>
      <c r="D932" s="23"/>
      <c r="E932" s="30"/>
      <c r="F932" s="30"/>
      <c r="G932" s="30"/>
      <c r="H932" s="23"/>
      <c r="I932" s="30"/>
      <c r="J932" s="30"/>
      <c r="K932" s="30"/>
      <c r="L932" s="30"/>
      <c r="M932" s="30"/>
      <c r="N932" s="30"/>
      <c r="O932" s="30"/>
    </row>
    <row r="933" ht="14.25" customHeight="1">
      <c r="A933" s="30"/>
      <c r="B933" s="30"/>
      <c r="C933" s="30"/>
      <c r="D933" s="23"/>
      <c r="E933" s="30"/>
      <c r="F933" s="30"/>
      <c r="G933" s="30"/>
      <c r="H933" s="23"/>
      <c r="I933" s="30"/>
      <c r="J933" s="30"/>
      <c r="K933" s="30"/>
      <c r="L933" s="30"/>
      <c r="M933" s="30"/>
      <c r="N933" s="30"/>
      <c r="O933" s="30"/>
    </row>
    <row r="934" ht="14.25" customHeight="1">
      <c r="A934" s="30"/>
      <c r="B934" s="30"/>
      <c r="C934" s="30"/>
      <c r="D934" s="23"/>
      <c r="E934" s="30"/>
      <c r="F934" s="30"/>
      <c r="G934" s="30"/>
      <c r="H934" s="23"/>
      <c r="I934" s="30"/>
      <c r="J934" s="30"/>
      <c r="K934" s="30"/>
      <c r="L934" s="30"/>
      <c r="M934" s="30"/>
      <c r="N934" s="30"/>
      <c r="O934" s="30"/>
    </row>
    <row r="935" ht="14.25" customHeight="1">
      <c r="A935" s="30"/>
      <c r="B935" s="30"/>
      <c r="C935" s="30"/>
      <c r="D935" s="23"/>
      <c r="E935" s="30"/>
      <c r="F935" s="30"/>
      <c r="G935" s="30"/>
      <c r="H935" s="23"/>
      <c r="I935" s="30"/>
      <c r="J935" s="30"/>
      <c r="K935" s="30"/>
      <c r="L935" s="30"/>
      <c r="M935" s="30"/>
      <c r="N935" s="30"/>
      <c r="O935" s="30"/>
    </row>
    <row r="936" ht="14.25" customHeight="1">
      <c r="A936" s="30"/>
      <c r="B936" s="30"/>
      <c r="C936" s="30"/>
      <c r="D936" s="23"/>
      <c r="E936" s="30"/>
      <c r="F936" s="30"/>
      <c r="G936" s="30"/>
      <c r="H936" s="23"/>
      <c r="I936" s="30"/>
      <c r="J936" s="30"/>
      <c r="K936" s="30"/>
      <c r="L936" s="30"/>
      <c r="M936" s="30"/>
      <c r="N936" s="30"/>
      <c r="O936" s="30"/>
    </row>
    <row r="937" ht="14.25" customHeight="1">
      <c r="A937" s="30"/>
      <c r="B937" s="30"/>
      <c r="C937" s="30"/>
      <c r="D937" s="23"/>
      <c r="E937" s="30"/>
      <c r="F937" s="30"/>
      <c r="G937" s="30"/>
      <c r="H937" s="23"/>
      <c r="I937" s="30"/>
      <c r="J937" s="30"/>
      <c r="K937" s="30"/>
      <c r="L937" s="30"/>
      <c r="M937" s="30"/>
      <c r="N937" s="30"/>
      <c r="O937" s="30"/>
    </row>
    <row r="938" ht="14.25" customHeight="1">
      <c r="A938" s="30"/>
      <c r="B938" s="30"/>
      <c r="C938" s="30"/>
      <c r="D938" s="23"/>
      <c r="E938" s="30"/>
      <c r="F938" s="30"/>
      <c r="G938" s="30"/>
      <c r="H938" s="23"/>
      <c r="I938" s="30"/>
      <c r="J938" s="30"/>
      <c r="K938" s="30"/>
      <c r="L938" s="30"/>
      <c r="M938" s="30"/>
      <c r="N938" s="30"/>
      <c r="O938" s="30"/>
    </row>
    <row r="939" ht="14.25" customHeight="1">
      <c r="A939" s="30"/>
      <c r="B939" s="30"/>
      <c r="C939" s="30"/>
      <c r="D939" s="23"/>
      <c r="E939" s="30"/>
      <c r="F939" s="30"/>
      <c r="G939" s="30"/>
      <c r="H939" s="23"/>
      <c r="I939" s="30"/>
      <c r="J939" s="30"/>
      <c r="K939" s="30"/>
      <c r="L939" s="30"/>
      <c r="M939" s="30"/>
      <c r="N939" s="30"/>
      <c r="O939" s="30"/>
    </row>
    <row r="940" ht="14.25" customHeight="1">
      <c r="A940" s="30"/>
      <c r="B940" s="30"/>
      <c r="C940" s="30"/>
      <c r="D940" s="23"/>
      <c r="E940" s="30"/>
      <c r="F940" s="30"/>
      <c r="G940" s="30"/>
      <c r="H940" s="23"/>
      <c r="I940" s="30"/>
      <c r="J940" s="30"/>
      <c r="K940" s="30"/>
      <c r="L940" s="30"/>
      <c r="M940" s="30"/>
      <c r="N940" s="30"/>
      <c r="O940" s="30"/>
    </row>
    <row r="941" ht="14.25" customHeight="1">
      <c r="A941" s="30"/>
      <c r="B941" s="30"/>
      <c r="C941" s="30"/>
      <c r="D941" s="23"/>
      <c r="E941" s="30"/>
      <c r="F941" s="30"/>
      <c r="G941" s="30"/>
      <c r="H941" s="23"/>
      <c r="I941" s="30"/>
      <c r="J941" s="30"/>
      <c r="K941" s="30"/>
      <c r="L941" s="30"/>
      <c r="M941" s="30"/>
      <c r="N941" s="30"/>
      <c r="O941" s="30"/>
    </row>
    <row r="942" ht="14.25" customHeight="1">
      <c r="A942" s="30"/>
      <c r="B942" s="30"/>
      <c r="C942" s="30"/>
      <c r="D942" s="23"/>
      <c r="E942" s="30"/>
      <c r="F942" s="30"/>
      <c r="G942" s="30"/>
      <c r="H942" s="23"/>
      <c r="I942" s="30"/>
      <c r="J942" s="30"/>
      <c r="K942" s="30"/>
      <c r="L942" s="30"/>
      <c r="M942" s="30"/>
      <c r="N942" s="30"/>
      <c r="O942" s="30"/>
    </row>
    <row r="943" ht="14.25" customHeight="1">
      <c r="A943" s="30"/>
      <c r="B943" s="30"/>
      <c r="C943" s="30"/>
      <c r="D943" s="23"/>
      <c r="E943" s="30"/>
      <c r="F943" s="30"/>
      <c r="G943" s="30"/>
      <c r="H943" s="23"/>
      <c r="I943" s="30"/>
      <c r="J943" s="30"/>
      <c r="K943" s="30"/>
      <c r="L943" s="30"/>
      <c r="M943" s="30"/>
      <c r="N943" s="30"/>
      <c r="O943" s="30"/>
    </row>
    <row r="944" ht="14.25" customHeight="1">
      <c r="A944" s="30"/>
      <c r="B944" s="30"/>
      <c r="C944" s="30"/>
      <c r="D944" s="23"/>
      <c r="E944" s="30"/>
      <c r="F944" s="30"/>
      <c r="G944" s="30"/>
      <c r="H944" s="23"/>
      <c r="I944" s="30"/>
      <c r="J944" s="30"/>
      <c r="K944" s="30"/>
      <c r="L944" s="30"/>
      <c r="M944" s="30"/>
      <c r="N944" s="30"/>
      <c r="O944" s="30"/>
    </row>
    <row r="945" ht="14.25" customHeight="1">
      <c r="A945" s="30"/>
      <c r="B945" s="30"/>
      <c r="C945" s="30"/>
      <c r="D945" s="23"/>
      <c r="E945" s="30"/>
      <c r="F945" s="30"/>
      <c r="G945" s="30"/>
      <c r="H945" s="23"/>
      <c r="I945" s="30"/>
      <c r="J945" s="30"/>
      <c r="K945" s="30"/>
      <c r="L945" s="30"/>
      <c r="M945" s="30"/>
      <c r="N945" s="30"/>
      <c r="O945" s="30"/>
    </row>
    <row r="946" ht="14.25" customHeight="1">
      <c r="A946" s="30"/>
      <c r="B946" s="30"/>
      <c r="C946" s="30"/>
      <c r="D946" s="23"/>
      <c r="E946" s="30"/>
      <c r="F946" s="30"/>
      <c r="G946" s="30"/>
      <c r="H946" s="23"/>
      <c r="I946" s="30"/>
      <c r="J946" s="30"/>
      <c r="K946" s="30"/>
      <c r="L946" s="30"/>
      <c r="M946" s="30"/>
      <c r="N946" s="30"/>
      <c r="O946" s="30"/>
    </row>
    <row r="947" ht="14.25" customHeight="1">
      <c r="A947" s="30"/>
      <c r="B947" s="30"/>
      <c r="C947" s="30"/>
      <c r="D947" s="23"/>
      <c r="E947" s="30"/>
      <c r="F947" s="30"/>
      <c r="G947" s="30"/>
      <c r="H947" s="23"/>
      <c r="I947" s="30"/>
      <c r="J947" s="30"/>
      <c r="K947" s="30"/>
      <c r="L947" s="30"/>
      <c r="M947" s="30"/>
      <c r="N947" s="30"/>
      <c r="O947" s="30"/>
    </row>
    <row r="948" ht="14.25" customHeight="1">
      <c r="A948" s="30"/>
      <c r="B948" s="30"/>
      <c r="C948" s="30"/>
      <c r="D948" s="23"/>
      <c r="E948" s="30"/>
      <c r="F948" s="30"/>
      <c r="G948" s="30"/>
      <c r="H948" s="23"/>
      <c r="I948" s="30"/>
      <c r="J948" s="30"/>
      <c r="K948" s="30"/>
      <c r="L948" s="30"/>
      <c r="M948" s="30"/>
      <c r="N948" s="30"/>
      <c r="O948" s="30"/>
    </row>
    <row r="949" ht="14.25" customHeight="1">
      <c r="A949" s="30"/>
      <c r="B949" s="30"/>
      <c r="C949" s="30"/>
      <c r="D949" s="23"/>
      <c r="E949" s="30"/>
      <c r="F949" s="30"/>
      <c r="G949" s="30"/>
      <c r="H949" s="23"/>
      <c r="I949" s="30"/>
      <c r="J949" s="30"/>
      <c r="K949" s="30"/>
      <c r="L949" s="30"/>
      <c r="M949" s="30"/>
      <c r="N949" s="30"/>
      <c r="O949" s="30"/>
    </row>
    <row r="950" ht="14.25" customHeight="1">
      <c r="A950" s="30"/>
      <c r="B950" s="30"/>
      <c r="C950" s="30"/>
      <c r="D950" s="23"/>
      <c r="E950" s="30"/>
      <c r="F950" s="30"/>
      <c r="G950" s="30"/>
      <c r="H950" s="23"/>
      <c r="I950" s="30"/>
      <c r="J950" s="30"/>
      <c r="K950" s="30"/>
      <c r="L950" s="30"/>
      <c r="M950" s="30"/>
      <c r="N950" s="30"/>
      <c r="O950" s="30"/>
    </row>
    <row r="951" ht="14.25" customHeight="1">
      <c r="A951" s="30"/>
      <c r="B951" s="30"/>
      <c r="C951" s="30"/>
      <c r="D951" s="23"/>
      <c r="E951" s="30"/>
      <c r="F951" s="30"/>
      <c r="G951" s="30"/>
      <c r="H951" s="23"/>
      <c r="I951" s="30"/>
      <c r="J951" s="30"/>
      <c r="K951" s="30"/>
      <c r="L951" s="30"/>
      <c r="M951" s="30"/>
      <c r="N951" s="30"/>
      <c r="O951" s="30"/>
    </row>
    <row r="952" ht="14.25" customHeight="1">
      <c r="A952" s="30"/>
      <c r="B952" s="30"/>
      <c r="C952" s="30"/>
      <c r="D952" s="23"/>
      <c r="E952" s="30"/>
      <c r="F952" s="30"/>
      <c r="G952" s="30"/>
      <c r="H952" s="23"/>
      <c r="I952" s="30"/>
      <c r="J952" s="30"/>
      <c r="K952" s="30"/>
      <c r="L952" s="30"/>
      <c r="M952" s="30"/>
      <c r="N952" s="30"/>
      <c r="O952" s="30"/>
    </row>
    <row r="953" ht="14.25" customHeight="1">
      <c r="A953" s="30"/>
      <c r="B953" s="30"/>
      <c r="C953" s="30"/>
      <c r="D953" s="23"/>
      <c r="E953" s="30"/>
      <c r="F953" s="30"/>
      <c r="G953" s="30"/>
      <c r="H953" s="23"/>
      <c r="I953" s="30"/>
      <c r="J953" s="30"/>
      <c r="K953" s="30"/>
      <c r="L953" s="30"/>
      <c r="M953" s="30"/>
      <c r="N953" s="30"/>
      <c r="O953" s="30"/>
    </row>
    <row r="954" ht="14.25" customHeight="1">
      <c r="A954" s="30"/>
      <c r="B954" s="30"/>
      <c r="C954" s="30"/>
      <c r="D954" s="23"/>
      <c r="E954" s="30"/>
      <c r="F954" s="30"/>
      <c r="G954" s="30"/>
      <c r="H954" s="23"/>
      <c r="I954" s="30"/>
      <c r="J954" s="30"/>
      <c r="K954" s="30"/>
      <c r="L954" s="30"/>
      <c r="M954" s="30"/>
      <c r="N954" s="30"/>
      <c r="O954" s="30"/>
    </row>
    <row r="955" ht="14.25" customHeight="1">
      <c r="A955" s="30"/>
      <c r="B955" s="30"/>
      <c r="C955" s="30"/>
      <c r="D955" s="23"/>
      <c r="E955" s="30"/>
      <c r="F955" s="30"/>
      <c r="G955" s="30"/>
      <c r="H955" s="23"/>
      <c r="I955" s="30"/>
      <c r="J955" s="30"/>
      <c r="K955" s="30"/>
      <c r="L955" s="30"/>
      <c r="M955" s="30"/>
      <c r="N955" s="30"/>
      <c r="O955" s="30"/>
    </row>
    <row r="956" ht="14.25" customHeight="1">
      <c r="A956" s="30"/>
      <c r="B956" s="30"/>
      <c r="C956" s="30"/>
      <c r="D956" s="23"/>
      <c r="E956" s="30"/>
      <c r="F956" s="30"/>
      <c r="G956" s="30"/>
      <c r="H956" s="23"/>
      <c r="I956" s="30"/>
      <c r="J956" s="30"/>
      <c r="K956" s="30"/>
      <c r="L956" s="30"/>
      <c r="M956" s="30"/>
      <c r="N956" s="30"/>
      <c r="O956" s="30"/>
    </row>
    <row r="957" ht="14.25" customHeight="1">
      <c r="A957" s="30"/>
      <c r="B957" s="30"/>
      <c r="C957" s="30"/>
      <c r="D957" s="23"/>
      <c r="E957" s="30"/>
      <c r="F957" s="30"/>
      <c r="G957" s="30"/>
      <c r="H957" s="23"/>
      <c r="I957" s="30"/>
      <c r="J957" s="30"/>
      <c r="K957" s="30"/>
      <c r="L957" s="30"/>
      <c r="M957" s="30"/>
      <c r="N957" s="30"/>
      <c r="O957" s="30"/>
    </row>
    <row r="958" ht="14.25" customHeight="1">
      <c r="A958" s="30"/>
      <c r="B958" s="30"/>
      <c r="C958" s="30"/>
      <c r="D958" s="23"/>
      <c r="E958" s="30"/>
      <c r="F958" s="30"/>
      <c r="G958" s="30"/>
      <c r="H958" s="23"/>
      <c r="I958" s="30"/>
      <c r="J958" s="30"/>
      <c r="K958" s="30"/>
      <c r="L958" s="30"/>
      <c r="M958" s="30"/>
      <c r="N958" s="30"/>
      <c r="O958" s="30"/>
    </row>
    <row r="959" ht="14.25" customHeight="1">
      <c r="A959" s="30"/>
      <c r="B959" s="30"/>
      <c r="C959" s="30"/>
      <c r="D959" s="23"/>
      <c r="E959" s="30"/>
      <c r="F959" s="30"/>
      <c r="G959" s="30"/>
      <c r="H959" s="23"/>
      <c r="I959" s="30"/>
      <c r="J959" s="30"/>
      <c r="K959" s="30"/>
      <c r="L959" s="30"/>
      <c r="M959" s="30"/>
      <c r="N959" s="30"/>
      <c r="O959" s="30"/>
    </row>
    <row r="960" ht="14.25" customHeight="1">
      <c r="A960" s="30"/>
      <c r="B960" s="30"/>
      <c r="C960" s="30"/>
      <c r="D960" s="23"/>
      <c r="E960" s="30"/>
      <c r="F960" s="30"/>
      <c r="G960" s="30"/>
      <c r="H960" s="23"/>
      <c r="I960" s="30"/>
      <c r="J960" s="30"/>
      <c r="K960" s="30"/>
      <c r="L960" s="30"/>
      <c r="M960" s="30"/>
      <c r="N960" s="30"/>
      <c r="O960" s="30"/>
    </row>
    <row r="961" ht="14.25" customHeight="1">
      <c r="A961" s="30"/>
      <c r="B961" s="30"/>
      <c r="C961" s="30"/>
      <c r="D961" s="23"/>
      <c r="E961" s="30"/>
      <c r="F961" s="30"/>
      <c r="G961" s="30"/>
      <c r="H961" s="23"/>
      <c r="I961" s="30"/>
      <c r="J961" s="30"/>
      <c r="K961" s="30"/>
      <c r="L961" s="30"/>
      <c r="M961" s="30"/>
      <c r="N961" s="30"/>
      <c r="O961" s="30"/>
    </row>
    <row r="962" ht="14.25" customHeight="1">
      <c r="A962" s="30"/>
      <c r="B962" s="30"/>
      <c r="C962" s="30"/>
      <c r="D962" s="23"/>
      <c r="E962" s="30"/>
      <c r="F962" s="30"/>
      <c r="G962" s="30"/>
      <c r="H962" s="23"/>
      <c r="I962" s="30"/>
      <c r="J962" s="30"/>
      <c r="K962" s="30"/>
      <c r="L962" s="30"/>
      <c r="M962" s="30"/>
      <c r="N962" s="30"/>
      <c r="O962" s="30"/>
    </row>
    <row r="963" ht="14.25" customHeight="1">
      <c r="A963" s="30"/>
      <c r="B963" s="30"/>
      <c r="C963" s="30"/>
      <c r="D963" s="23"/>
      <c r="E963" s="30"/>
      <c r="F963" s="30"/>
      <c r="G963" s="30"/>
      <c r="H963" s="23"/>
      <c r="I963" s="30"/>
      <c r="J963" s="30"/>
      <c r="K963" s="30"/>
      <c r="L963" s="30"/>
      <c r="M963" s="30"/>
      <c r="N963" s="30"/>
      <c r="O963" s="30"/>
    </row>
    <row r="964" ht="14.25" customHeight="1">
      <c r="A964" s="30"/>
      <c r="B964" s="30"/>
      <c r="C964" s="30"/>
      <c r="D964" s="23"/>
      <c r="E964" s="30"/>
      <c r="F964" s="30"/>
      <c r="G964" s="30"/>
      <c r="H964" s="23"/>
      <c r="I964" s="30"/>
      <c r="J964" s="30"/>
      <c r="K964" s="30"/>
      <c r="L964" s="30"/>
      <c r="M964" s="30"/>
      <c r="N964" s="30"/>
      <c r="O964" s="30"/>
    </row>
    <row r="965" ht="14.25" customHeight="1">
      <c r="A965" s="30"/>
      <c r="B965" s="30"/>
      <c r="C965" s="30"/>
      <c r="D965" s="23"/>
      <c r="E965" s="30"/>
      <c r="F965" s="30"/>
      <c r="G965" s="30"/>
      <c r="H965" s="23"/>
      <c r="I965" s="30"/>
      <c r="J965" s="30"/>
      <c r="K965" s="30"/>
      <c r="L965" s="30"/>
      <c r="M965" s="30"/>
      <c r="N965" s="30"/>
      <c r="O965" s="30"/>
    </row>
    <row r="966" ht="14.25" customHeight="1">
      <c r="A966" s="30"/>
      <c r="B966" s="30"/>
      <c r="C966" s="30"/>
      <c r="D966" s="23"/>
      <c r="E966" s="30"/>
      <c r="F966" s="30"/>
      <c r="G966" s="30"/>
      <c r="H966" s="23"/>
      <c r="I966" s="30"/>
      <c r="J966" s="30"/>
      <c r="K966" s="30"/>
      <c r="L966" s="30"/>
      <c r="M966" s="30"/>
      <c r="N966" s="30"/>
      <c r="O966" s="30"/>
    </row>
    <row r="967" ht="14.25" customHeight="1">
      <c r="A967" s="30"/>
      <c r="B967" s="30"/>
      <c r="C967" s="30"/>
      <c r="D967" s="23"/>
      <c r="E967" s="30"/>
      <c r="F967" s="30"/>
      <c r="G967" s="30"/>
      <c r="H967" s="23"/>
      <c r="I967" s="30"/>
      <c r="J967" s="30"/>
      <c r="K967" s="30"/>
      <c r="L967" s="30"/>
      <c r="M967" s="30"/>
      <c r="N967" s="30"/>
      <c r="O967" s="30"/>
    </row>
    <row r="968" ht="14.25" customHeight="1">
      <c r="A968" s="30"/>
      <c r="B968" s="30"/>
      <c r="C968" s="30"/>
      <c r="D968" s="23"/>
      <c r="E968" s="30"/>
      <c r="F968" s="30"/>
      <c r="G968" s="30"/>
      <c r="H968" s="23"/>
      <c r="I968" s="30"/>
      <c r="J968" s="30"/>
      <c r="K968" s="30"/>
      <c r="L968" s="30"/>
      <c r="M968" s="30"/>
      <c r="N968" s="30"/>
      <c r="O968" s="30"/>
    </row>
    <row r="969" ht="14.25" customHeight="1">
      <c r="A969" s="30"/>
      <c r="B969" s="30"/>
      <c r="C969" s="30"/>
      <c r="D969" s="23"/>
      <c r="E969" s="30"/>
      <c r="F969" s="30"/>
      <c r="G969" s="30"/>
      <c r="H969" s="23"/>
      <c r="I969" s="30"/>
      <c r="J969" s="30"/>
      <c r="K969" s="30"/>
      <c r="L969" s="30"/>
      <c r="M969" s="30"/>
      <c r="N969" s="30"/>
      <c r="O969" s="30"/>
    </row>
    <row r="970" ht="14.25" customHeight="1">
      <c r="A970" s="30"/>
      <c r="B970" s="30"/>
      <c r="C970" s="30"/>
      <c r="D970" s="23"/>
      <c r="E970" s="30"/>
      <c r="F970" s="30"/>
      <c r="G970" s="30"/>
      <c r="H970" s="23"/>
      <c r="I970" s="30"/>
      <c r="J970" s="30"/>
      <c r="K970" s="30"/>
      <c r="L970" s="30"/>
      <c r="M970" s="30"/>
      <c r="N970" s="30"/>
      <c r="O970" s="30"/>
    </row>
    <row r="971" ht="14.25" customHeight="1">
      <c r="A971" s="30"/>
      <c r="B971" s="30"/>
      <c r="C971" s="30"/>
      <c r="D971" s="23"/>
      <c r="E971" s="30"/>
      <c r="F971" s="30"/>
      <c r="G971" s="30"/>
      <c r="H971" s="23"/>
      <c r="I971" s="30"/>
      <c r="J971" s="30"/>
      <c r="K971" s="30"/>
      <c r="L971" s="30"/>
      <c r="M971" s="30"/>
      <c r="N971" s="30"/>
      <c r="O971" s="30"/>
    </row>
    <row r="972" ht="14.25" customHeight="1">
      <c r="A972" s="30"/>
      <c r="B972" s="30"/>
      <c r="C972" s="30"/>
      <c r="D972" s="23"/>
      <c r="E972" s="30"/>
      <c r="F972" s="30"/>
      <c r="G972" s="30"/>
      <c r="H972" s="23"/>
      <c r="I972" s="30"/>
      <c r="J972" s="30"/>
      <c r="K972" s="30"/>
      <c r="L972" s="30"/>
      <c r="M972" s="30"/>
      <c r="N972" s="30"/>
      <c r="O972" s="30"/>
    </row>
    <row r="973" ht="14.25" customHeight="1">
      <c r="A973" s="30"/>
      <c r="B973" s="30"/>
      <c r="C973" s="30"/>
      <c r="D973" s="23"/>
      <c r="E973" s="30"/>
      <c r="F973" s="30"/>
      <c r="G973" s="30"/>
      <c r="H973" s="23"/>
      <c r="I973" s="30"/>
      <c r="J973" s="30"/>
      <c r="K973" s="30"/>
      <c r="L973" s="30"/>
      <c r="M973" s="30"/>
      <c r="N973" s="30"/>
      <c r="O973" s="30"/>
    </row>
    <row r="974" ht="14.25" customHeight="1">
      <c r="A974" s="30"/>
      <c r="B974" s="30"/>
      <c r="C974" s="30"/>
      <c r="D974" s="23"/>
      <c r="E974" s="30"/>
      <c r="F974" s="30"/>
      <c r="G974" s="30"/>
      <c r="H974" s="23"/>
      <c r="I974" s="30"/>
      <c r="J974" s="30"/>
      <c r="K974" s="30"/>
      <c r="L974" s="30"/>
      <c r="M974" s="30"/>
      <c r="N974" s="30"/>
      <c r="O974" s="30"/>
    </row>
    <row r="975" ht="14.25" customHeight="1">
      <c r="A975" s="30"/>
      <c r="B975" s="30"/>
      <c r="C975" s="30"/>
      <c r="D975" s="23"/>
      <c r="E975" s="30"/>
      <c r="F975" s="30"/>
      <c r="G975" s="30"/>
      <c r="H975" s="23"/>
      <c r="I975" s="30"/>
      <c r="J975" s="30"/>
      <c r="K975" s="30"/>
      <c r="L975" s="30"/>
      <c r="M975" s="30"/>
      <c r="N975" s="30"/>
      <c r="O975" s="30"/>
    </row>
    <row r="976" ht="14.25" customHeight="1">
      <c r="A976" s="30"/>
      <c r="B976" s="30"/>
      <c r="C976" s="30"/>
      <c r="D976" s="23"/>
      <c r="E976" s="30"/>
      <c r="F976" s="30"/>
      <c r="G976" s="30"/>
      <c r="H976" s="23"/>
      <c r="I976" s="30"/>
      <c r="J976" s="30"/>
      <c r="K976" s="30"/>
      <c r="L976" s="30"/>
      <c r="M976" s="30"/>
      <c r="N976" s="30"/>
      <c r="O976" s="30"/>
    </row>
    <row r="977" ht="14.25" customHeight="1">
      <c r="A977" s="30"/>
      <c r="B977" s="30"/>
      <c r="C977" s="30"/>
      <c r="D977" s="23"/>
      <c r="E977" s="30"/>
      <c r="F977" s="30"/>
      <c r="G977" s="30"/>
      <c r="H977" s="23"/>
      <c r="I977" s="30"/>
      <c r="J977" s="30"/>
      <c r="K977" s="30"/>
      <c r="L977" s="30"/>
      <c r="M977" s="30"/>
      <c r="N977" s="30"/>
      <c r="O977" s="30"/>
    </row>
    <row r="978" ht="14.25" customHeight="1">
      <c r="A978" s="30"/>
      <c r="B978" s="30"/>
      <c r="C978" s="30"/>
      <c r="D978" s="23"/>
      <c r="E978" s="30"/>
      <c r="F978" s="30"/>
      <c r="G978" s="30"/>
      <c r="H978" s="23"/>
      <c r="I978" s="30"/>
      <c r="J978" s="30"/>
      <c r="K978" s="30"/>
      <c r="L978" s="30"/>
      <c r="M978" s="30"/>
      <c r="N978" s="30"/>
      <c r="O978" s="30"/>
    </row>
    <row r="979" ht="14.25" customHeight="1">
      <c r="A979" s="30"/>
      <c r="B979" s="30"/>
      <c r="C979" s="30"/>
      <c r="D979" s="23"/>
      <c r="E979" s="30"/>
      <c r="F979" s="30"/>
      <c r="G979" s="30"/>
      <c r="H979" s="23"/>
      <c r="I979" s="30"/>
      <c r="J979" s="30"/>
      <c r="K979" s="30"/>
      <c r="L979" s="30"/>
      <c r="M979" s="30"/>
      <c r="N979" s="30"/>
      <c r="O979" s="30"/>
    </row>
    <row r="980" ht="14.25" customHeight="1">
      <c r="A980" s="30"/>
      <c r="B980" s="30"/>
      <c r="C980" s="30"/>
      <c r="D980" s="23"/>
      <c r="E980" s="30"/>
      <c r="F980" s="30"/>
      <c r="G980" s="30"/>
      <c r="H980" s="23"/>
      <c r="I980" s="30"/>
      <c r="J980" s="30"/>
      <c r="K980" s="30"/>
      <c r="L980" s="30"/>
      <c r="M980" s="30"/>
      <c r="N980" s="30"/>
      <c r="O980" s="30"/>
    </row>
    <row r="981" ht="14.25" customHeight="1">
      <c r="A981" s="30"/>
      <c r="B981" s="30"/>
      <c r="C981" s="30"/>
      <c r="D981" s="23"/>
      <c r="E981" s="30"/>
      <c r="F981" s="30"/>
      <c r="G981" s="30"/>
      <c r="H981" s="23"/>
      <c r="I981" s="30"/>
      <c r="J981" s="30"/>
      <c r="K981" s="30"/>
      <c r="L981" s="30"/>
      <c r="M981" s="30"/>
      <c r="N981" s="30"/>
      <c r="O981" s="30"/>
    </row>
    <row r="982" ht="14.25" customHeight="1">
      <c r="A982" s="30"/>
      <c r="B982" s="30"/>
      <c r="C982" s="30"/>
      <c r="D982" s="23"/>
      <c r="E982" s="30"/>
      <c r="F982" s="30"/>
      <c r="G982" s="30"/>
      <c r="H982" s="23"/>
      <c r="I982" s="30"/>
      <c r="J982" s="30"/>
      <c r="K982" s="30"/>
      <c r="L982" s="30"/>
      <c r="M982" s="30"/>
      <c r="N982" s="30"/>
      <c r="O982" s="30"/>
    </row>
    <row r="983" ht="14.25" customHeight="1">
      <c r="A983" s="30"/>
      <c r="B983" s="30"/>
      <c r="C983" s="30"/>
      <c r="D983" s="23"/>
      <c r="E983" s="30"/>
      <c r="F983" s="30"/>
      <c r="G983" s="30"/>
      <c r="H983" s="23"/>
      <c r="I983" s="30"/>
      <c r="J983" s="30"/>
      <c r="K983" s="30"/>
      <c r="L983" s="30"/>
      <c r="M983" s="30"/>
      <c r="N983" s="30"/>
      <c r="O983" s="30"/>
    </row>
    <row r="984" ht="14.25" customHeight="1">
      <c r="A984" s="30"/>
      <c r="B984" s="30"/>
      <c r="C984" s="30"/>
      <c r="D984" s="23"/>
      <c r="E984" s="30"/>
      <c r="F984" s="30"/>
      <c r="G984" s="30"/>
      <c r="H984" s="23"/>
      <c r="I984" s="30"/>
      <c r="J984" s="30"/>
      <c r="K984" s="30"/>
      <c r="L984" s="30"/>
      <c r="M984" s="30"/>
      <c r="N984" s="30"/>
      <c r="O984" s="30"/>
    </row>
    <row r="985" ht="14.25" customHeight="1">
      <c r="A985" s="30"/>
      <c r="B985" s="30"/>
      <c r="C985" s="30"/>
      <c r="D985" s="23"/>
      <c r="E985" s="30"/>
      <c r="F985" s="30"/>
      <c r="G985" s="30"/>
      <c r="H985" s="23"/>
      <c r="I985" s="30"/>
      <c r="J985" s="30"/>
      <c r="K985" s="30"/>
      <c r="L985" s="30"/>
      <c r="M985" s="30"/>
      <c r="N985" s="30"/>
      <c r="O985" s="30"/>
    </row>
    <row r="986" ht="14.25" customHeight="1">
      <c r="A986" s="30"/>
      <c r="B986" s="30"/>
      <c r="C986" s="30"/>
      <c r="D986" s="23"/>
      <c r="E986" s="30"/>
      <c r="F986" s="30"/>
      <c r="G986" s="30"/>
      <c r="H986" s="23"/>
      <c r="I986" s="30"/>
      <c r="J986" s="30"/>
      <c r="K986" s="30"/>
      <c r="L986" s="30"/>
      <c r="M986" s="30"/>
      <c r="N986" s="30"/>
      <c r="O986" s="30"/>
    </row>
    <row r="987" ht="14.25" customHeight="1">
      <c r="A987" s="30"/>
      <c r="B987" s="30"/>
      <c r="C987" s="30"/>
      <c r="D987" s="23"/>
      <c r="E987" s="30"/>
      <c r="F987" s="30"/>
      <c r="G987" s="30"/>
      <c r="H987" s="23"/>
      <c r="I987" s="30"/>
      <c r="J987" s="30"/>
      <c r="K987" s="30"/>
      <c r="L987" s="30"/>
      <c r="M987" s="30"/>
      <c r="N987" s="30"/>
      <c r="O987" s="30"/>
    </row>
    <row r="988" ht="14.25" customHeight="1">
      <c r="A988" s="30"/>
      <c r="B988" s="30"/>
      <c r="C988" s="30"/>
      <c r="D988" s="23"/>
      <c r="E988" s="30"/>
      <c r="F988" s="30"/>
      <c r="G988" s="30"/>
      <c r="H988" s="23"/>
      <c r="I988" s="30"/>
      <c r="J988" s="30"/>
      <c r="K988" s="30"/>
      <c r="L988" s="30"/>
      <c r="M988" s="30"/>
      <c r="N988" s="30"/>
      <c r="O988" s="30"/>
    </row>
    <row r="989" ht="14.25" customHeight="1">
      <c r="A989" s="30"/>
      <c r="B989" s="30"/>
      <c r="C989" s="30"/>
      <c r="D989" s="23"/>
      <c r="E989" s="30"/>
      <c r="F989" s="30"/>
      <c r="G989" s="30"/>
      <c r="H989" s="23"/>
      <c r="I989" s="30"/>
      <c r="J989" s="30"/>
      <c r="K989" s="30"/>
      <c r="L989" s="30"/>
      <c r="M989" s="30"/>
      <c r="N989" s="30"/>
      <c r="O989" s="30"/>
    </row>
    <row r="990" ht="14.25" customHeight="1">
      <c r="A990" s="30"/>
      <c r="B990" s="30"/>
      <c r="C990" s="30"/>
      <c r="D990" s="23"/>
      <c r="E990" s="30"/>
      <c r="F990" s="30"/>
      <c r="G990" s="30"/>
      <c r="H990" s="23"/>
      <c r="I990" s="30"/>
      <c r="J990" s="30"/>
      <c r="K990" s="30"/>
      <c r="L990" s="30"/>
      <c r="M990" s="30"/>
      <c r="N990" s="30"/>
      <c r="O990" s="30"/>
    </row>
    <row r="991" ht="14.25" customHeight="1">
      <c r="A991" s="30"/>
      <c r="B991" s="30"/>
      <c r="C991" s="30"/>
      <c r="D991" s="23"/>
      <c r="E991" s="30"/>
      <c r="F991" s="30"/>
      <c r="G991" s="30"/>
      <c r="H991" s="23"/>
      <c r="I991" s="30"/>
      <c r="J991" s="30"/>
      <c r="K991" s="30"/>
      <c r="L991" s="30"/>
      <c r="M991" s="30"/>
      <c r="N991" s="30"/>
      <c r="O991" s="30"/>
    </row>
    <row r="992" ht="14.25" customHeight="1">
      <c r="A992" s="30"/>
      <c r="B992" s="30"/>
      <c r="C992" s="30"/>
      <c r="D992" s="23"/>
      <c r="E992" s="30"/>
      <c r="F992" s="30"/>
      <c r="G992" s="30"/>
      <c r="H992" s="23"/>
      <c r="I992" s="30"/>
      <c r="J992" s="30"/>
      <c r="K992" s="30"/>
      <c r="L992" s="30"/>
      <c r="M992" s="30"/>
      <c r="N992" s="30"/>
      <c r="O992" s="30"/>
    </row>
    <row r="993" ht="14.25" customHeight="1">
      <c r="A993" s="30"/>
      <c r="B993" s="30"/>
      <c r="C993" s="30"/>
      <c r="D993" s="23"/>
      <c r="E993" s="30"/>
      <c r="F993" s="30"/>
      <c r="G993" s="30"/>
      <c r="H993" s="23"/>
      <c r="I993" s="30"/>
      <c r="J993" s="30"/>
      <c r="K993" s="30"/>
      <c r="L993" s="30"/>
      <c r="M993" s="30"/>
      <c r="N993" s="30"/>
      <c r="O993" s="30"/>
    </row>
    <row r="994" ht="14.25" customHeight="1">
      <c r="A994" s="30"/>
      <c r="B994" s="30"/>
      <c r="C994" s="30"/>
      <c r="D994" s="23"/>
      <c r="E994" s="30"/>
      <c r="F994" s="30"/>
      <c r="G994" s="30"/>
      <c r="H994" s="23"/>
      <c r="I994" s="30"/>
      <c r="J994" s="30"/>
      <c r="K994" s="30"/>
      <c r="L994" s="30"/>
      <c r="M994" s="30"/>
      <c r="N994" s="30"/>
      <c r="O994" s="30"/>
    </row>
    <row r="995" ht="14.25" customHeight="1">
      <c r="A995" s="30"/>
      <c r="B995" s="30"/>
      <c r="C995" s="30"/>
      <c r="D995" s="23"/>
      <c r="E995" s="30"/>
      <c r="F995" s="30"/>
      <c r="G995" s="30"/>
      <c r="H995" s="23"/>
      <c r="I995" s="30"/>
      <c r="J995" s="30"/>
      <c r="K995" s="30"/>
      <c r="L995" s="30"/>
      <c r="M995" s="30"/>
      <c r="N995" s="30"/>
      <c r="O995" s="30"/>
    </row>
    <row r="996" ht="14.25" customHeight="1">
      <c r="A996" s="30"/>
      <c r="B996" s="30"/>
      <c r="C996" s="30"/>
      <c r="D996" s="23"/>
      <c r="E996" s="30"/>
      <c r="F996" s="30"/>
      <c r="G996" s="30"/>
      <c r="H996" s="23"/>
      <c r="I996" s="30"/>
      <c r="J996" s="30"/>
      <c r="K996" s="30"/>
      <c r="L996" s="30"/>
      <c r="M996" s="30"/>
      <c r="N996" s="30"/>
      <c r="O996" s="30"/>
    </row>
    <row r="997" ht="14.25" customHeight="1">
      <c r="A997" s="30"/>
      <c r="B997" s="30"/>
      <c r="C997" s="30"/>
      <c r="D997" s="23"/>
      <c r="E997" s="30"/>
      <c r="F997" s="30"/>
      <c r="G997" s="30"/>
      <c r="H997" s="23"/>
      <c r="I997" s="30"/>
      <c r="J997" s="30"/>
      <c r="K997" s="30"/>
      <c r="L997" s="30"/>
      <c r="M997" s="30"/>
      <c r="N997" s="30"/>
      <c r="O997" s="30"/>
    </row>
    <row r="998" ht="14.25" customHeight="1">
      <c r="A998" s="30"/>
      <c r="B998" s="30"/>
      <c r="C998" s="30"/>
      <c r="D998" s="23"/>
      <c r="E998" s="30"/>
      <c r="F998" s="30"/>
      <c r="G998" s="30"/>
      <c r="H998" s="23"/>
      <c r="I998" s="30"/>
      <c r="J998" s="30"/>
      <c r="K998" s="30"/>
      <c r="L998" s="30"/>
      <c r="M998" s="30"/>
      <c r="N998" s="30"/>
      <c r="O998" s="30"/>
    </row>
    <row r="999" ht="14.25" customHeight="1">
      <c r="A999" s="30"/>
      <c r="B999" s="30"/>
      <c r="C999" s="30"/>
      <c r="D999" s="23"/>
      <c r="E999" s="30"/>
      <c r="F999" s="30"/>
      <c r="G999" s="30"/>
      <c r="H999" s="23"/>
      <c r="I999" s="30"/>
      <c r="J999" s="30"/>
      <c r="K999" s="30"/>
      <c r="L999" s="30"/>
      <c r="M999" s="30"/>
      <c r="N999" s="30"/>
      <c r="O999" s="30"/>
    </row>
    <row r="1000" ht="14.25" customHeight="1">
      <c r="A1000" s="30"/>
      <c r="B1000" s="30"/>
      <c r="C1000" s="30"/>
      <c r="D1000" s="23"/>
      <c r="E1000" s="30"/>
      <c r="F1000" s="30"/>
      <c r="G1000" s="30"/>
      <c r="H1000" s="23"/>
      <c r="I1000" s="30"/>
      <c r="J1000" s="30"/>
      <c r="K1000" s="30"/>
      <c r="L1000" s="30"/>
      <c r="M1000" s="30"/>
      <c r="N1000" s="30"/>
      <c r="O1000" s="30"/>
    </row>
    <row r="1001" ht="14.25" customHeight="1">
      <c r="A1001" s="30"/>
      <c r="B1001" s="30"/>
      <c r="C1001" s="30"/>
      <c r="D1001" s="23"/>
      <c r="E1001" s="30"/>
      <c r="F1001" s="30"/>
      <c r="G1001" s="30"/>
      <c r="H1001" s="23"/>
      <c r="I1001" s="30"/>
      <c r="J1001" s="30"/>
      <c r="K1001" s="30"/>
      <c r="L1001" s="30"/>
      <c r="M1001" s="30"/>
      <c r="N1001" s="30"/>
      <c r="O1001" s="30"/>
    </row>
    <row r="1002" ht="14.25" customHeight="1">
      <c r="A1002" s="30"/>
      <c r="B1002" s="30"/>
      <c r="C1002" s="30"/>
      <c r="D1002" s="23"/>
      <c r="E1002" s="30"/>
      <c r="F1002" s="30"/>
      <c r="G1002" s="30"/>
      <c r="H1002" s="23"/>
      <c r="I1002" s="30"/>
      <c r="J1002" s="30"/>
      <c r="K1002" s="30"/>
      <c r="L1002" s="30"/>
      <c r="M1002" s="30"/>
      <c r="N1002" s="30"/>
      <c r="O1002" s="30"/>
    </row>
    <row r="1003" ht="14.25" customHeight="1">
      <c r="A1003" s="30"/>
      <c r="B1003" s="30"/>
      <c r="C1003" s="30"/>
      <c r="D1003" s="23"/>
      <c r="E1003" s="30"/>
      <c r="F1003" s="30"/>
      <c r="G1003" s="30"/>
      <c r="H1003" s="23"/>
      <c r="I1003" s="30"/>
      <c r="J1003" s="30"/>
      <c r="K1003" s="30"/>
      <c r="L1003" s="30"/>
      <c r="M1003" s="30"/>
      <c r="N1003" s="30"/>
      <c r="O1003" s="30"/>
    </row>
    <row r="1004" ht="14.25" customHeight="1">
      <c r="A1004" s="30"/>
      <c r="B1004" s="30"/>
      <c r="C1004" s="30"/>
      <c r="D1004" s="23"/>
      <c r="E1004" s="30"/>
      <c r="F1004" s="30"/>
      <c r="G1004" s="30"/>
      <c r="H1004" s="23"/>
      <c r="I1004" s="30"/>
      <c r="J1004" s="30"/>
      <c r="K1004" s="30"/>
      <c r="L1004" s="30"/>
      <c r="M1004" s="30"/>
      <c r="N1004" s="30"/>
      <c r="O1004" s="30"/>
    </row>
    <row r="1005" ht="14.25" customHeight="1">
      <c r="A1005" s="30"/>
      <c r="B1005" s="30"/>
      <c r="C1005" s="30"/>
      <c r="D1005" s="23"/>
      <c r="E1005" s="30"/>
      <c r="F1005" s="30"/>
      <c r="G1005" s="30"/>
      <c r="H1005" s="23"/>
      <c r="I1005" s="30"/>
      <c r="J1005" s="30"/>
      <c r="K1005" s="30"/>
      <c r="L1005" s="30"/>
      <c r="M1005" s="30"/>
      <c r="N1005" s="30"/>
      <c r="O1005" s="30"/>
    </row>
    <row r="1006" ht="14.25" customHeight="1">
      <c r="A1006" s="30"/>
      <c r="B1006" s="30"/>
      <c r="C1006" s="30"/>
      <c r="D1006" s="23"/>
      <c r="E1006" s="30"/>
      <c r="F1006" s="30"/>
      <c r="G1006" s="30"/>
      <c r="H1006" s="23"/>
      <c r="I1006" s="30"/>
      <c r="J1006" s="30"/>
      <c r="K1006" s="30"/>
      <c r="L1006" s="30"/>
      <c r="M1006" s="30"/>
      <c r="N1006" s="30"/>
      <c r="O1006" s="30"/>
    </row>
    <row r="1007" ht="14.25" customHeight="1">
      <c r="A1007" s="30"/>
      <c r="B1007" s="30"/>
      <c r="C1007" s="30"/>
      <c r="D1007" s="23"/>
      <c r="E1007" s="30"/>
      <c r="F1007" s="30"/>
      <c r="G1007" s="30"/>
      <c r="H1007" s="23"/>
      <c r="I1007" s="30"/>
      <c r="J1007" s="30"/>
      <c r="K1007" s="30"/>
      <c r="L1007" s="30"/>
      <c r="M1007" s="30"/>
      <c r="N1007" s="30"/>
      <c r="O1007" s="30"/>
    </row>
    <row r="1008" ht="14.25" customHeight="1">
      <c r="A1008" s="30"/>
      <c r="B1008" s="30"/>
      <c r="C1008" s="30"/>
      <c r="D1008" s="23"/>
      <c r="E1008" s="30"/>
      <c r="F1008" s="30"/>
      <c r="G1008" s="30"/>
      <c r="H1008" s="23"/>
      <c r="I1008" s="30"/>
      <c r="J1008" s="30"/>
      <c r="K1008" s="30"/>
      <c r="L1008" s="30"/>
      <c r="M1008" s="30"/>
      <c r="N1008" s="30"/>
      <c r="O1008" s="30"/>
    </row>
    <row r="1009" ht="14.25" customHeight="1">
      <c r="A1009" s="30"/>
      <c r="B1009" s="30"/>
      <c r="C1009" s="30"/>
      <c r="D1009" s="23"/>
      <c r="E1009" s="30"/>
      <c r="F1009" s="30"/>
      <c r="G1009" s="30"/>
      <c r="H1009" s="23"/>
      <c r="I1009" s="30"/>
      <c r="J1009" s="30"/>
      <c r="K1009" s="30"/>
      <c r="L1009" s="30"/>
      <c r="M1009" s="30"/>
      <c r="N1009" s="30"/>
      <c r="O1009" s="30"/>
    </row>
    <row r="1010" ht="14.25" customHeight="1">
      <c r="A1010" s="30"/>
      <c r="B1010" s="30"/>
      <c r="C1010" s="30"/>
      <c r="D1010" s="23"/>
      <c r="E1010" s="30"/>
      <c r="F1010" s="30"/>
      <c r="G1010" s="30"/>
      <c r="H1010" s="23"/>
      <c r="I1010" s="30"/>
      <c r="J1010" s="30"/>
      <c r="K1010" s="30"/>
      <c r="L1010" s="30"/>
      <c r="M1010" s="30"/>
      <c r="N1010" s="30"/>
      <c r="O1010" s="30"/>
    </row>
    <row r="1011" ht="14.25" customHeight="1">
      <c r="A1011" s="30"/>
      <c r="B1011" s="30"/>
      <c r="C1011" s="30"/>
      <c r="D1011" s="23"/>
      <c r="E1011" s="30"/>
      <c r="F1011" s="30"/>
      <c r="G1011" s="30"/>
      <c r="H1011" s="23"/>
      <c r="I1011" s="30"/>
      <c r="J1011" s="30"/>
      <c r="K1011" s="30"/>
      <c r="L1011" s="30"/>
      <c r="M1011" s="30"/>
      <c r="N1011" s="30"/>
      <c r="O1011" s="30"/>
    </row>
    <row r="1012" ht="14.25" customHeight="1">
      <c r="A1012" s="30"/>
      <c r="B1012" s="30"/>
      <c r="C1012" s="30"/>
      <c r="D1012" s="23"/>
      <c r="E1012" s="30"/>
      <c r="F1012" s="30"/>
      <c r="G1012" s="30"/>
      <c r="H1012" s="23"/>
      <c r="I1012" s="30"/>
      <c r="J1012" s="30"/>
      <c r="K1012" s="30"/>
      <c r="L1012" s="30"/>
      <c r="M1012" s="30"/>
      <c r="N1012" s="30"/>
      <c r="O1012" s="30"/>
    </row>
    <row r="1013" ht="14.25" customHeight="1">
      <c r="A1013" s="30"/>
      <c r="B1013" s="30"/>
      <c r="C1013" s="30"/>
      <c r="D1013" s="23"/>
      <c r="E1013" s="30"/>
      <c r="F1013" s="30"/>
      <c r="G1013" s="30"/>
      <c r="H1013" s="23"/>
      <c r="I1013" s="30"/>
      <c r="J1013" s="30"/>
      <c r="K1013" s="30"/>
      <c r="L1013" s="30"/>
      <c r="M1013" s="30"/>
      <c r="N1013" s="30"/>
      <c r="O1013" s="30"/>
    </row>
    <row r="1014" ht="14.25" customHeight="1">
      <c r="A1014" s="30"/>
      <c r="B1014" s="30"/>
      <c r="C1014" s="30"/>
      <c r="D1014" s="23"/>
      <c r="E1014" s="30"/>
      <c r="F1014" s="30"/>
      <c r="G1014" s="30"/>
      <c r="H1014" s="23"/>
      <c r="I1014" s="30"/>
      <c r="J1014" s="30"/>
      <c r="K1014" s="30"/>
      <c r="L1014" s="30"/>
      <c r="M1014" s="30"/>
      <c r="N1014" s="30"/>
      <c r="O1014" s="30"/>
    </row>
    <row r="1015" ht="14.25" customHeight="1">
      <c r="A1015" s="30"/>
      <c r="B1015" s="30"/>
      <c r="C1015" s="30"/>
      <c r="D1015" s="23"/>
      <c r="E1015" s="30"/>
      <c r="F1015" s="30"/>
      <c r="G1015" s="30"/>
      <c r="H1015" s="23"/>
      <c r="I1015" s="30"/>
      <c r="J1015" s="30"/>
      <c r="K1015" s="30"/>
      <c r="L1015" s="30"/>
      <c r="M1015" s="30"/>
      <c r="N1015" s="30"/>
      <c r="O1015" s="30"/>
    </row>
    <row r="1016" ht="14.25" customHeight="1">
      <c r="A1016" s="30"/>
      <c r="B1016" s="30"/>
      <c r="C1016" s="30"/>
      <c r="D1016" s="23"/>
      <c r="E1016" s="30"/>
      <c r="F1016" s="30"/>
      <c r="G1016" s="30"/>
      <c r="H1016" s="23"/>
      <c r="I1016" s="30"/>
      <c r="J1016" s="30"/>
      <c r="K1016" s="30"/>
      <c r="L1016" s="30"/>
      <c r="M1016" s="30"/>
      <c r="N1016" s="30"/>
      <c r="O1016" s="30"/>
    </row>
    <row r="1017" ht="14.25" customHeight="1">
      <c r="A1017" s="30"/>
      <c r="B1017" s="30"/>
      <c r="C1017" s="30"/>
      <c r="D1017" s="23"/>
      <c r="E1017" s="30"/>
      <c r="F1017" s="30"/>
      <c r="G1017" s="30"/>
      <c r="H1017" s="23"/>
      <c r="I1017" s="30"/>
      <c r="J1017" s="30"/>
      <c r="K1017" s="30"/>
      <c r="L1017" s="30"/>
      <c r="M1017" s="30"/>
      <c r="N1017" s="30"/>
      <c r="O1017" s="30"/>
    </row>
    <row r="1018" ht="14.25" customHeight="1">
      <c r="A1018" s="30"/>
      <c r="B1018" s="30"/>
      <c r="C1018" s="30"/>
      <c r="D1018" s="23"/>
      <c r="E1018" s="30"/>
      <c r="F1018" s="30"/>
      <c r="G1018" s="30"/>
      <c r="H1018" s="23"/>
      <c r="I1018" s="30"/>
      <c r="J1018" s="30"/>
      <c r="K1018" s="30"/>
      <c r="L1018" s="30"/>
      <c r="M1018" s="30"/>
      <c r="N1018" s="30"/>
      <c r="O1018" s="30"/>
    </row>
    <row r="1019" ht="14.25" customHeight="1">
      <c r="A1019" s="30"/>
      <c r="B1019" s="30"/>
      <c r="C1019" s="30"/>
      <c r="D1019" s="23"/>
      <c r="E1019" s="30"/>
      <c r="F1019" s="30"/>
      <c r="G1019" s="30"/>
      <c r="H1019" s="23"/>
      <c r="I1019" s="30"/>
      <c r="J1019" s="30"/>
      <c r="K1019" s="30"/>
      <c r="L1019" s="30"/>
      <c r="M1019" s="30"/>
      <c r="N1019" s="30"/>
      <c r="O1019" s="30"/>
    </row>
    <row r="1020" ht="14.25" customHeight="1">
      <c r="A1020" s="30"/>
      <c r="B1020" s="30"/>
      <c r="C1020" s="30"/>
      <c r="D1020" s="23"/>
      <c r="E1020" s="30"/>
      <c r="F1020" s="30"/>
      <c r="G1020" s="30"/>
      <c r="H1020" s="23"/>
      <c r="I1020" s="30"/>
      <c r="J1020" s="30"/>
      <c r="K1020" s="30"/>
      <c r="L1020" s="30"/>
      <c r="M1020" s="30"/>
      <c r="N1020" s="30"/>
      <c r="O1020" s="30"/>
    </row>
    <row r="1021" ht="14.25" customHeight="1">
      <c r="A1021" s="30"/>
      <c r="B1021" s="30"/>
      <c r="C1021" s="30"/>
      <c r="D1021" s="23"/>
      <c r="E1021" s="30"/>
      <c r="F1021" s="30"/>
      <c r="G1021" s="30"/>
      <c r="H1021" s="23"/>
      <c r="I1021" s="30"/>
      <c r="J1021" s="30"/>
      <c r="K1021" s="30"/>
      <c r="L1021" s="30"/>
      <c r="M1021" s="30"/>
      <c r="N1021" s="30"/>
      <c r="O1021" s="30"/>
    </row>
    <row r="1022" ht="14.25" customHeight="1">
      <c r="A1022" s="30"/>
      <c r="B1022" s="30"/>
      <c r="C1022" s="30"/>
      <c r="D1022" s="23"/>
      <c r="E1022" s="30"/>
      <c r="F1022" s="30"/>
      <c r="G1022" s="30"/>
      <c r="H1022" s="23"/>
      <c r="I1022" s="30"/>
      <c r="J1022" s="30"/>
      <c r="K1022" s="30"/>
      <c r="L1022" s="30"/>
      <c r="M1022" s="30"/>
      <c r="N1022" s="30"/>
      <c r="O1022" s="30"/>
    </row>
    <row r="1023" ht="14.25" customHeight="1">
      <c r="A1023" s="30"/>
      <c r="B1023" s="30"/>
      <c r="C1023" s="30"/>
      <c r="D1023" s="23"/>
      <c r="E1023" s="30"/>
      <c r="F1023" s="30"/>
      <c r="G1023" s="30"/>
      <c r="H1023" s="23"/>
      <c r="I1023" s="30"/>
      <c r="J1023" s="30"/>
      <c r="K1023" s="30"/>
      <c r="L1023" s="30"/>
      <c r="M1023" s="30"/>
      <c r="N1023" s="30"/>
      <c r="O1023" s="30"/>
    </row>
    <row r="1024" ht="14.25" customHeight="1">
      <c r="A1024" s="30"/>
      <c r="B1024" s="30"/>
      <c r="C1024" s="30"/>
      <c r="D1024" s="23"/>
      <c r="E1024" s="30"/>
      <c r="F1024" s="30"/>
      <c r="G1024" s="30"/>
      <c r="H1024" s="23"/>
      <c r="I1024" s="30"/>
      <c r="J1024" s="30"/>
      <c r="K1024" s="30"/>
      <c r="L1024" s="30"/>
      <c r="M1024" s="30"/>
      <c r="N1024" s="30"/>
      <c r="O1024" s="30"/>
    </row>
    <row r="1025" ht="14.25" customHeight="1">
      <c r="A1025" s="30"/>
      <c r="B1025" s="30"/>
      <c r="C1025" s="30"/>
      <c r="D1025" s="23"/>
      <c r="E1025" s="30"/>
      <c r="F1025" s="30"/>
      <c r="G1025" s="30"/>
      <c r="H1025" s="23"/>
      <c r="I1025" s="30"/>
      <c r="J1025" s="30"/>
      <c r="K1025" s="30"/>
      <c r="L1025" s="30"/>
      <c r="M1025" s="30"/>
      <c r="N1025" s="30"/>
      <c r="O1025" s="30"/>
    </row>
    <row r="1026" ht="14.25" customHeight="1">
      <c r="A1026" s="30"/>
      <c r="B1026" s="30"/>
      <c r="C1026" s="30"/>
      <c r="D1026" s="23"/>
      <c r="E1026" s="30"/>
      <c r="F1026" s="30"/>
      <c r="G1026" s="30"/>
      <c r="H1026" s="23"/>
      <c r="I1026" s="30"/>
      <c r="J1026" s="30"/>
      <c r="K1026" s="30"/>
      <c r="L1026" s="30"/>
      <c r="M1026" s="30"/>
      <c r="N1026" s="30"/>
      <c r="O1026" s="30"/>
    </row>
    <row r="1027" ht="14.25" customHeight="1">
      <c r="A1027" s="30"/>
      <c r="B1027" s="30"/>
      <c r="C1027" s="30"/>
      <c r="D1027" s="23"/>
      <c r="E1027" s="30"/>
      <c r="F1027" s="30"/>
      <c r="G1027" s="30"/>
      <c r="H1027" s="23"/>
      <c r="I1027" s="30"/>
      <c r="J1027" s="30"/>
      <c r="K1027" s="30"/>
      <c r="L1027" s="30"/>
      <c r="M1027" s="30"/>
      <c r="N1027" s="30"/>
      <c r="O1027" s="30"/>
    </row>
    <row r="1028" ht="14.25" customHeight="1">
      <c r="A1028" s="30"/>
      <c r="B1028" s="30"/>
      <c r="C1028" s="30"/>
      <c r="D1028" s="23"/>
      <c r="E1028" s="30"/>
      <c r="F1028" s="30"/>
      <c r="G1028" s="30"/>
      <c r="H1028" s="23"/>
      <c r="I1028" s="30"/>
      <c r="J1028" s="30"/>
      <c r="K1028" s="30"/>
      <c r="L1028" s="30"/>
      <c r="M1028" s="30"/>
      <c r="N1028" s="30"/>
      <c r="O1028" s="30"/>
    </row>
    <row r="1029" ht="14.25" customHeight="1">
      <c r="A1029" s="30"/>
      <c r="B1029" s="30"/>
      <c r="C1029" s="30"/>
      <c r="D1029" s="23"/>
      <c r="E1029" s="30"/>
      <c r="F1029" s="30"/>
      <c r="G1029" s="30"/>
      <c r="H1029" s="23"/>
      <c r="I1029" s="30"/>
      <c r="J1029" s="30"/>
      <c r="K1029" s="30"/>
      <c r="L1029" s="30"/>
      <c r="M1029" s="30"/>
      <c r="N1029" s="30"/>
      <c r="O1029" s="30"/>
    </row>
    <row r="1030" ht="14.25" customHeight="1">
      <c r="A1030" s="30"/>
      <c r="B1030" s="30"/>
      <c r="C1030" s="30"/>
      <c r="D1030" s="23"/>
      <c r="E1030" s="30"/>
      <c r="F1030" s="30"/>
      <c r="G1030" s="30"/>
      <c r="H1030" s="23"/>
      <c r="I1030" s="30"/>
      <c r="J1030" s="30"/>
      <c r="K1030" s="30"/>
      <c r="L1030" s="30"/>
      <c r="M1030" s="30"/>
      <c r="N1030" s="30"/>
      <c r="O1030" s="30"/>
    </row>
    <row r="1031" ht="14.25" customHeight="1">
      <c r="A1031" s="30"/>
      <c r="B1031" s="30"/>
      <c r="C1031" s="30"/>
      <c r="D1031" s="23"/>
      <c r="E1031" s="30"/>
      <c r="F1031" s="30"/>
      <c r="G1031" s="30"/>
      <c r="H1031" s="23"/>
      <c r="I1031" s="30"/>
      <c r="J1031" s="30"/>
      <c r="K1031" s="30"/>
      <c r="L1031" s="30"/>
      <c r="M1031" s="30"/>
      <c r="N1031" s="30"/>
      <c r="O1031" s="30"/>
    </row>
    <row r="1032" ht="14.25" customHeight="1">
      <c r="A1032" s="30"/>
      <c r="B1032" s="30"/>
      <c r="C1032" s="30"/>
      <c r="D1032" s="23"/>
      <c r="E1032" s="30"/>
      <c r="F1032" s="30"/>
      <c r="G1032" s="30"/>
      <c r="H1032" s="23"/>
      <c r="I1032" s="30"/>
      <c r="J1032" s="30"/>
      <c r="K1032" s="30"/>
      <c r="L1032" s="30"/>
      <c r="M1032" s="30"/>
      <c r="N1032" s="30"/>
      <c r="O1032" s="30"/>
    </row>
    <row r="1033" ht="14.25" customHeight="1">
      <c r="A1033" s="30"/>
      <c r="B1033" s="30"/>
      <c r="C1033" s="30"/>
      <c r="D1033" s="23"/>
      <c r="E1033" s="30"/>
      <c r="F1033" s="30"/>
      <c r="G1033" s="30"/>
      <c r="H1033" s="23"/>
      <c r="I1033" s="30"/>
      <c r="J1033" s="30"/>
      <c r="K1033" s="30"/>
      <c r="L1033" s="30"/>
      <c r="M1033" s="30"/>
      <c r="N1033" s="30"/>
      <c r="O1033" s="30"/>
    </row>
    <row r="1034" ht="14.25" customHeight="1">
      <c r="A1034" s="30"/>
      <c r="B1034" s="30"/>
      <c r="C1034" s="30"/>
      <c r="D1034" s="23"/>
      <c r="E1034" s="30"/>
      <c r="F1034" s="30"/>
      <c r="G1034" s="30"/>
      <c r="H1034" s="23"/>
      <c r="I1034" s="30"/>
      <c r="J1034" s="30"/>
      <c r="K1034" s="30"/>
      <c r="L1034" s="30"/>
      <c r="M1034" s="30"/>
      <c r="N1034" s="30"/>
      <c r="O1034" s="30"/>
    </row>
    <row r="1035" ht="14.25" customHeight="1">
      <c r="A1035" s="30"/>
      <c r="B1035" s="30"/>
      <c r="C1035" s="30"/>
      <c r="D1035" s="23"/>
      <c r="E1035" s="30"/>
      <c r="F1035" s="30"/>
      <c r="G1035" s="30"/>
      <c r="H1035" s="23"/>
      <c r="I1035" s="30"/>
      <c r="J1035" s="30"/>
      <c r="K1035" s="30"/>
      <c r="L1035" s="30"/>
      <c r="M1035" s="30"/>
      <c r="N1035" s="30"/>
      <c r="O1035" s="30"/>
    </row>
    <row r="1036" ht="14.25" customHeight="1">
      <c r="A1036" s="30"/>
      <c r="B1036" s="30"/>
      <c r="C1036" s="30"/>
      <c r="D1036" s="23"/>
      <c r="E1036" s="30"/>
      <c r="F1036" s="30"/>
      <c r="G1036" s="30"/>
      <c r="H1036" s="23"/>
      <c r="I1036" s="30"/>
      <c r="J1036" s="30"/>
      <c r="K1036" s="30"/>
      <c r="L1036" s="30"/>
      <c r="M1036" s="30"/>
      <c r="N1036" s="30"/>
      <c r="O1036" s="30"/>
    </row>
    <row r="1037" ht="14.25" customHeight="1">
      <c r="A1037" s="30"/>
      <c r="B1037" s="30"/>
      <c r="C1037" s="30"/>
      <c r="D1037" s="23"/>
      <c r="E1037" s="30"/>
      <c r="F1037" s="30"/>
      <c r="G1037" s="30"/>
      <c r="H1037" s="23"/>
      <c r="I1037" s="30"/>
      <c r="J1037" s="30"/>
      <c r="K1037" s="30"/>
      <c r="L1037" s="30"/>
      <c r="M1037" s="30"/>
      <c r="N1037" s="30"/>
      <c r="O1037" s="30"/>
    </row>
    <row r="1038" ht="14.25" customHeight="1">
      <c r="A1038" s="30"/>
      <c r="B1038" s="30"/>
      <c r="C1038" s="30"/>
      <c r="D1038" s="23"/>
      <c r="E1038" s="30"/>
      <c r="F1038" s="30"/>
      <c r="G1038" s="30"/>
      <c r="H1038" s="23"/>
      <c r="I1038" s="30"/>
      <c r="J1038" s="30"/>
      <c r="K1038" s="30"/>
      <c r="L1038" s="30"/>
      <c r="M1038" s="30"/>
      <c r="N1038" s="30"/>
      <c r="O1038" s="30"/>
    </row>
    <row r="1039" ht="14.25" customHeight="1">
      <c r="A1039" s="30"/>
      <c r="B1039" s="30"/>
      <c r="C1039" s="30"/>
      <c r="D1039" s="23"/>
      <c r="E1039" s="30"/>
      <c r="F1039" s="30"/>
      <c r="G1039" s="30"/>
      <c r="H1039" s="23"/>
      <c r="I1039" s="30"/>
      <c r="J1039" s="30"/>
      <c r="K1039" s="30"/>
      <c r="L1039" s="30"/>
      <c r="M1039" s="30"/>
      <c r="N1039" s="30"/>
      <c r="O1039" s="30"/>
    </row>
    <row r="1040" ht="14.25" customHeight="1">
      <c r="A1040" s="30"/>
      <c r="B1040" s="30"/>
      <c r="C1040" s="30"/>
      <c r="D1040" s="23"/>
      <c r="E1040" s="30"/>
      <c r="F1040" s="30"/>
      <c r="G1040" s="30"/>
      <c r="H1040" s="23"/>
      <c r="I1040" s="30"/>
      <c r="J1040" s="30"/>
      <c r="K1040" s="30"/>
      <c r="L1040" s="30"/>
      <c r="M1040" s="30"/>
      <c r="N1040" s="30"/>
      <c r="O1040" s="30"/>
    </row>
    <row r="1041" ht="14.25" customHeight="1">
      <c r="A1041" s="30"/>
      <c r="B1041" s="30"/>
      <c r="C1041" s="30"/>
      <c r="D1041" s="23"/>
      <c r="E1041" s="30"/>
      <c r="F1041" s="30"/>
      <c r="G1041" s="30"/>
      <c r="H1041" s="23"/>
      <c r="I1041" s="30"/>
      <c r="J1041" s="30"/>
      <c r="K1041" s="30"/>
      <c r="L1041" s="30"/>
      <c r="M1041" s="30"/>
      <c r="N1041" s="30"/>
      <c r="O1041" s="30"/>
    </row>
    <row r="1042" ht="14.25" customHeight="1">
      <c r="A1042" s="30"/>
      <c r="B1042" s="30"/>
      <c r="C1042" s="30"/>
      <c r="D1042" s="23"/>
      <c r="E1042" s="30"/>
      <c r="F1042" s="30"/>
      <c r="G1042" s="30"/>
      <c r="H1042" s="23"/>
      <c r="I1042" s="30"/>
      <c r="J1042" s="30"/>
      <c r="K1042" s="30"/>
      <c r="L1042" s="30"/>
      <c r="M1042" s="30"/>
      <c r="N1042" s="30"/>
      <c r="O1042" s="30"/>
    </row>
    <row r="1043" ht="14.25" customHeight="1">
      <c r="A1043" s="30"/>
      <c r="B1043" s="30"/>
      <c r="C1043" s="30"/>
      <c r="D1043" s="23"/>
      <c r="E1043" s="30"/>
      <c r="F1043" s="30"/>
      <c r="G1043" s="30"/>
      <c r="H1043" s="23"/>
      <c r="I1043" s="30"/>
      <c r="J1043" s="30"/>
      <c r="K1043" s="30"/>
      <c r="L1043" s="30"/>
      <c r="M1043" s="30"/>
      <c r="N1043" s="30"/>
      <c r="O1043" s="30"/>
    </row>
    <row r="1044" ht="14.25" customHeight="1">
      <c r="A1044" s="30"/>
      <c r="B1044" s="30"/>
      <c r="C1044" s="30"/>
      <c r="D1044" s="23"/>
      <c r="E1044" s="30"/>
      <c r="F1044" s="30"/>
      <c r="G1044" s="30"/>
      <c r="H1044" s="23"/>
      <c r="I1044" s="30"/>
      <c r="J1044" s="30"/>
      <c r="K1044" s="30"/>
      <c r="L1044" s="30"/>
      <c r="M1044" s="30"/>
      <c r="N1044" s="30"/>
      <c r="O1044" s="30"/>
    </row>
    <row r="1045" ht="14.25" customHeight="1">
      <c r="A1045" s="30"/>
      <c r="B1045" s="30"/>
      <c r="C1045" s="30"/>
      <c r="D1045" s="23"/>
      <c r="E1045" s="30"/>
      <c r="F1045" s="30"/>
      <c r="G1045" s="30"/>
      <c r="H1045" s="23"/>
      <c r="I1045" s="30"/>
      <c r="J1045" s="30"/>
      <c r="K1045" s="30"/>
      <c r="L1045" s="30"/>
      <c r="M1045" s="30"/>
      <c r="N1045" s="30"/>
      <c r="O1045" s="30"/>
    </row>
    <row r="1046" ht="14.25" customHeight="1">
      <c r="A1046" s="30"/>
      <c r="B1046" s="30"/>
      <c r="C1046" s="30"/>
      <c r="D1046" s="23"/>
      <c r="E1046" s="30"/>
      <c r="F1046" s="30"/>
      <c r="G1046" s="30"/>
      <c r="H1046" s="23"/>
      <c r="I1046" s="30"/>
      <c r="J1046" s="30"/>
      <c r="K1046" s="30"/>
      <c r="L1046" s="30"/>
      <c r="M1046" s="30"/>
      <c r="N1046" s="30"/>
      <c r="O1046" s="30"/>
    </row>
    <row r="1047" ht="14.25" customHeight="1">
      <c r="A1047" s="30"/>
      <c r="B1047" s="30"/>
      <c r="C1047" s="30"/>
      <c r="D1047" s="23"/>
      <c r="E1047" s="30"/>
      <c r="F1047" s="30"/>
      <c r="G1047" s="30"/>
      <c r="H1047" s="23"/>
      <c r="I1047" s="30"/>
      <c r="J1047" s="30"/>
      <c r="K1047" s="30"/>
      <c r="L1047" s="30"/>
      <c r="M1047" s="30"/>
      <c r="N1047" s="30"/>
      <c r="O1047" s="30"/>
    </row>
    <row r="1048" ht="14.25" customHeight="1">
      <c r="A1048" s="30"/>
      <c r="B1048" s="30"/>
      <c r="C1048" s="30"/>
      <c r="D1048" s="23"/>
      <c r="E1048" s="30"/>
      <c r="F1048" s="30"/>
      <c r="G1048" s="30"/>
      <c r="H1048" s="23"/>
      <c r="I1048" s="30"/>
      <c r="J1048" s="30"/>
      <c r="K1048" s="30"/>
      <c r="L1048" s="30"/>
      <c r="M1048" s="30"/>
      <c r="N1048" s="30"/>
      <c r="O1048" s="30"/>
    </row>
    <row r="1049" ht="14.25" customHeight="1">
      <c r="A1049" s="30"/>
      <c r="B1049" s="30"/>
      <c r="C1049" s="30"/>
      <c r="D1049" s="23"/>
      <c r="E1049" s="30"/>
      <c r="F1049" s="30"/>
      <c r="G1049" s="30"/>
      <c r="H1049" s="23"/>
      <c r="I1049" s="30"/>
      <c r="J1049" s="30"/>
      <c r="K1049" s="30"/>
      <c r="L1049" s="30"/>
      <c r="M1049" s="30"/>
      <c r="N1049" s="30"/>
      <c r="O1049" s="30"/>
    </row>
    <row r="1050" ht="14.25" customHeight="1">
      <c r="A1050" s="30"/>
      <c r="B1050" s="30"/>
      <c r="C1050" s="30"/>
      <c r="D1050" s="23"/>
      <c r="E1050" s="30"/>
      <c r="F1050" s="30"/>
      <c r="G1050" s="30"/>
      <c r="H1050" s="23"/>
      <c r="I1050" s="30"/>
      <c r="J1050" s="30"/>
      <c r="K1050" s="30"/>
      <c r="L1050" s="30"/>
      <c r="M1050" s="30"/>
      <c r="N1050" s="30"/>
      <c r="O1050" s="30"/>
    </row>
    <row r="1051" ht="14.25" customHeight="1">
      <c r="A1051" s="30"/>
      <c r="B1051" s="30"/>
      <c r="C1051" s="30"/>
      <c r="D1051" s="23"/>
      <c r="E1051" s="30"/>
      <c r="F1051" s="30"/>
      <c r="G1051" s="30"/>
      <c r="H1051" s="23"/>
      <c r="I1051" s="30"/>
      <c r="J1051" s="30"/>
      <c r="K1051" s="30"/>
      <c r="L1051" s="30"/>
      <c r="M1051" s="30"/>
      <c r="N1051" s="30"/>
      <c r="O1051" s="30"/>
    </row>
    <row r="1052" ht="14.25" customHeight="1">
      <c r="A1052" s="30"/>
      <c r="B1052" s="30"/>
      <c r="C1052" s="30"/>
      <c r="D1052" s="23"/>
      <c r="E1052" s="30"/>
      <c r="F1052" s="30"/>
      <c r="G1052" s="30"/>
      <c r="H1052" s="23"/>
      <c r="I1052" s="30"/>
      <c r="J1052" s="30"/>
      <c r="K1052" s="30"/>
      <c r="L1052" s="30"/>
      <c r="M1052" s="30"/>
      <c r="N1052" s="30"/>
      <c r="O1052" s="30"/>
    </row>
    <row r="1053" ht="14.25" customHeight="1">
      <c r="A1053" s="30"/>
      <c r="B1053" s="30"/>
      <c r="C1053" s="30"/>
      <c r="D1053" s="23"/>
      <c r="E1053" s="30"/>
      <c r="F1053" s="30"/>
      <c r="G1053" s="30"/>
      <c r="H1053" s="23"/>
      <c r="I1053" s="30"/>
      <c r="J1053" s="30"/>
      <c r="K1053" s="30"/>
      <c r="L1053" s="30"/>
      <c r="M1053" s="30"/>
      <c r="N1053" s="30"/>
      <c r="O1053" s="30"/>
    </row>
    <row r="1054" ht="14.25" customHeight="1">
      <c r="A1054" s="30"/>
      <c r="B1054" s="30"/>
      <c r="C1054" s="30"/>
      <c r="D1054" s="23"/>
      <c r="E1054" s="30"/>
      <c r="F1054" s="30"/>
      <c r="G1054" s="30"/>
      <c r="H1054" s="23"/>
      <c r="I1054" s="30"/>
      <c r="J1054" s="30"/>
      <c r="K1054" s="30"/>
      <c r="L1054" s="30"/>
      <c r="M1054" s="30"/>
      <c r="N1054" s="30"/>
      <c r="O1054" s="30"/>
    </row>
    <row r="1055" ht="14.25" customHeight="1">
      <c r="A1055" s="30"/>
      <c r="B1055" s="30"/>
      <c r="C1055" s="30"/>
      <c r="D1055" s="23"/>
      <c r="E1055" s="30"/>
      <c r="F1055" s="30"/>
      <c r="G1055" s="30"/>
      <c r="H1055" s="23"/>
      <c r="I1055" s="30"/>
      <c r="J1055" s="30"/>
      <c r="K1055" s="30"/>
      <c r="L1055" s="30"/>
      <c r="M1055" s="30"/>
      <c r="N1055" s="30"/>
      <c r="O1055" s="30"/>
    </row>
    <row r="1056" ht="14.25" customHeight="1">
      <c r="A1056" s="30"/>
      <c r="B1056" s="30"/>
      <c r="C1056" s="30"/>
      <c r="D1056" s="23"/>
      <c r="E1056" s="30"/>
      <c r="F1056" s="30"/>
      <c r="G1056" s="30"/>
      <c r="H1056" s="23"/>
      <c r="I1056" s="30"/>
      <c r="J1056" s="30"/>
      <c r="K1056" s="30"/>
      <c r="L1056" s="30"/>
      <c r="M1056" s="30"/>
      <c r="N1056" s="30"/>
      <c r="O1056" s="30"/>
    </row>
    <row r="1057" ht="14.25" customHeight="1">
      <c r="A1057" s="30"/>
      <c r="B1057" s="30"/>
      <c r="C1057" s="30"/>
      <c r="D1057" s="23"/>
      <c r="E1057" s="30"/>
      <c r="F1057" s="30"/>
      <c r="G1057" s="30"/>
      <c r="H1057" s="23"/>
      <c r="I1057" s="30"/>
      <c r="J1057" s="30"/>
      <c r="K1057" s="30"/>
      <c r="L1057" s="30"/>
      <c r="M1057" s="30"/>
      <c r="N1057" s="30"/>
      <c r="O1057" s="30"/>
    </row>
    <row r="1058" ht="14.25" customHeight="1">
      <c r="A1058" s="30"/>
      <c r="B1058" s="30"/>
      <c r="C1058" s="30"/>
      <c r="D1058" s="23"/>
      <c r="E1058" s="30"/>
      <c r="F1058" s="30"/>
      <c r="G1058" s="30"/>
      <c r="H1058" s="23"/>
      <c r="I1058" s="30"/>
      <c r="J1058" s="30"/>
      <c r="K1058" s="30"/>
      <c r="L1058" s="30"/>
      <c r="M1058" s="30"/>
      <c r="N1058" s="30"/>
      <c r="O1058" s="30"/>
    </row>
    <row r="1059" ht="14.25" customHeight="1">
      <c r="A1059" s="30"/>
      <c r="B1059" s="30"/>
      <c r="C1059" s="30"/>
      <c r="D1059" s="23"/>
      <c r="E1059" s="30"/>
      <c r="F1059" s="30"/>
      <c r="G1059" s="30"/>
      <c r="H1059" s="23"/>
      <c r="I1059" s="30"/>
      <c r="J1059" s="30"/>
      <c r="K1059" s="30"/>
      <c r="L1059" s="30"/>
      <c r="M1059" s="30"/>
      <c r="N1059" s="30"/>
      <c r="O1059" s="30"/>
    </row>
    <row r="1060" ht="14.25" customHeight="1">
      <c r="A1060" s="30"/>
      <c r="B1060" s="30"/>
      <c r="C1060" s="30"/>
      <c r="D1060" s="23"/>
      <c r="E1060" s="30"/>
      <c r="F1060" s="30"/>
      <c r="G1060" s="30"/>
      <c r="H1060" s="23"/>
      <c r="I1060" s="30"/>
      <c r="J1060" s="30"/>
      <c r="K1060" s="30"/>
      <c r="L1060" s="30"/>
      <c r="M1060" s="30"/>
      <c r="N1060" s="30"/>
      <c r="O1060" s="30"/>
    </row>
    <row r="1061" ht="14.25" customHeight="1">
      <c r="A1061" s="30"/>
      <c r="B1061" s="30"/>
      <c r="C1061" s="30"/>
      <c r="D1061" s="23"/>
      <c r="E1061" s="30"/>
      <c r="F1061" s="30"/>
      <c r="G1061" s="30"/>
      <c r="H1061" s="23"/>
      <c r="I1061" s="30"/>
      <c r="J1061" s="30"/>
      <c r="K1061" s="30"/>
      <c r="L1061" s="30"/>
      <c r="M1061" s="30"/>
      <c r="N1061" s="30"/>
      <c r="O1061" s="30"/>
    </row>
    <row r="1062" ht="14.25" customHeight="1">
      <c r="A1062" s="30"/>
      <c r="B1062" s="30"/>
      <c r="C1062" s="30"/>
      <c r="D1062" s="23"/>
      <c r="E1062" s="30"/>
      <c r="F1062" s="30"/>
      <c r="G1062" s="30"/>
      <c r="H1062" s="23"/>
      <c r="I1062" s="30"/>
      <c r="J1062" s="30"/>
      <c r="K1062" s="30"/>
      <c r="L1062" s="30"/>
      <c r="M1062" s="30"/>
      <c r="N1062" s="30"/>
      <c r="O1062" s="30"/>
    </row>
    <row r="1063" ht="14.25" customHeight="1">
      <c r="A1063" s="30"/>
      <c r="B1063" s="30"/>
      <c r="C1063" s="30"/>
      <c r="D1063" s="23"/>
      <c r="E1063" s="30"/>
      <c r="F1063" s="30"/>
      <c r="G1063" s="30"/>
      <c r="H1063" s="23"/>
      <c r="I1063" s="30"/>
      <c r="J1063" s="30"/>
      <c r="K1063" s="30"/>
      <c r="L1063" s="30"/>
      <c r="M1063" s="30"/>
      <c r="N1063" s="30"/>
      <c r="O1063" s="30"/>
    </row>
    <row r="1064" ht="14.25" customHeight="1">
      <c r="A1064" s="30"/>
      <c r="B1064" s="30"/>
      <c r="C1064" s="30"/>
      <c r="D1064" s="23"/>
      <c r="E1064" s="30"/>
      <c r="F1064" s="30"/>
      <c r="G1064" s="30"/>
      <c r="H1064" s="23"/>
      <c r="I1064" s="30"/>
      <c r="J1064" s="30"/>
      <c r="K1064" s="30"/>
      <c r="L1064" s="30"/>
      <c r="M1064" s="30"/>
      <c r="N1064" s="30"/>
      <c r="O1064" s="30"/>
    </row>
    <row r="1065" ht="14.25" customHeight="1">
      <c r="A1065" s="30"/>
      <c r="B1065" s="30"/>
      <c r="C1065" s="30"/>
      <c r="D1065" s="23"/>
      <c r="E1065" s="30"/>
      <c r="F1065" s="30"/>
      <c r="G1065" s="30"/>
      <c r="H1065" s="23"/>
      <c r="I1065" s="30"/>
      <c r="J1065" s="30"/>
      <c r="K1065" s="30"/>
      <c r="L1065" s="30"/>
      <c r="M1065" s="30"/>
      <c r="N1065" s="30"/>
      <c r="O1065" s="30"/>
    </row>
    <row r="1066" ht="14.25" customHeight="1">
      <c r="A1066" s="30"/>
      <c r="B1066" s="30"/>
      <c r="C1066" s="30"/>
      <c r="D1066" s="23"/>
      <c r="E1066" s="30"/>
      <c r="F1066" s="30"/>
      <c r="G1066" s="30"/>
      <c r="H1066" s="23"/>
      <c r="I1066" s="30"/>
      <c r="J1066" s="30"/>
      <c r="K1066" s="30"/>
      <c r="L1066" s="30"/>
      <c r="M1066" s="30"/>
      <c r="N1066" s="30"/>
      <c r="O1066" s="30"/>
    </row>
    <row r="1067" ht="14.25" customHeight="1">
      <c r="A1067" s="30"/>
      <c r="B1067" s="30"/>
      <c r="C1067" s="30"/>
      <c r="D1067" s="23"/>
      <c r="E1067" s="30"/>
      <c r="F1067" s="30"/>
      <c r="G1067" s="30"/>
      <c r="H1067" s="23"/>
      <c r="I1067" s="30"/>
      <c r="J1067" s="30"/>
      <c r="K1067" s="30"/>
      <c r="L1067" s="30"/>
      <c r="M1067" s="30"/>
      <c r="N1067" s="30"/>
      <c r="O1067" s="30"/>
    </row>
    <row r="1068" ht="14.25" customHeight="1">
      <c r="A1068" s="30"/>
      <c r="B1068" s="30"/>
      <c r="C1068" s="30"/>
      <c r="D1068" s="23"/>
      <c r="E1068" s="30"/>
      <c r="F1068" s="30"/>
      <c r="G1068" s="30"/>
      <c r="H1068" s="23"/>
      <c r="I1068" s="30"/>
      <c r="J1068" s="30"/>
      <c r="K1068" s="30"/>
      <c r="L1068" s="30"/>
      <c r="M1068" s="30"/>
      <c r="N1068" s="30"/>
      <c r="O1068" s="30"/>
    </row>
    <row r="1069" ht="14.25" customHeight="1">
      <c r="A1069" s="30"/>
      <c r="B1069" s="30"/>
      <c r="C1069" s="30"/>
      <c r="D1069" s="23"/>
      <c r="E1069" s="30"/>
      <c r="F1069" s="30"/>
      <c r="G1069" s="30"/>
      <c r="H1069" s="23"/>
      <c r="I1069" s="30"/>
      <c r="J1069" s="30"/>
      <c r="K1069" s="30"/>
      <c r="L1069" s="30"/>
      <c r="M1069" s="30"/>
      <c r="N1069" s="30"/>
      <c r="O1069" s="30"/>
    </row>
    <row r="1070" ht="14.25" customHeight="1">
      <c r="A1070" s="30"/>
      <c r="B1070" s="30"/>
      <c r="C1070" s="30"/>
      <c r="D1070" s="23"/>
      <c r="E1070" s="30"/>
      <c r="F1070" s="30"/>
      <c r="G1070" s="30"/>
      <c r="H1070" s="23"/>
      <c r="I1070" s="30"/>
      <c r="J1070" s="30"/>
      <c r="K1070" s="30"/>
      <c r="L1070" s="30"/>
      <c r="M1070" s="30"/>
      <c r="N1070" s="30"/>
      <c r="O1070" s="30"/>
    </row>
    <row r="1071" ht="14.25" customHeight="1">
      <c r="A1071" s="30"/>
      <c r="B1071" s="30"/>
      <c r="C1071" s="30"/>
      <c r="D1071" s="23"/>
      <c r="E1071" s="30"/>
      <c r="F1071" s="30"/>
      <c r="G1071" s="30"/>
      <c r="H1071" s="23"/>
      <c r="I1071" s="30"/>
      <c r="J1071" s="30"/>
      <c r="K1071" s="30"/>
      <c r="L1071" s="30"/>
      <c r="M1071" s="30"/>
      <c r="N1071" s="30"/>
      <c r="O1071" s="30"/>
    </row>
    <row r="1072" ht="14.25" customHeight="1">
      <c r="A1072" s="30"/>
      <c r="B1072" s="30"/>
      <c r="C1072" s="30"/>
      <c r="D1072" s="23"/>
      <c r="E1072" s="30"/>
      <c r="F1072" s="30"/>
      <c r="G1072" s="30"/>
      <c r="H1072" s="23"/>
      <c r="I1072" s="30"/>
      <c r="J1072" s="30"/>
      <c r="K1072" s="30"/>
      <c r="L1072" s="30"/>
      <c r="M1072" s="30"/>
      <c r="N1072" s="30"/>
      <c r="O1072" s="30"/>
    </row>
    <row r="1073" ht="14.25" customHeight="1">
      <c r="A1073" s="30"/>
      <c r="B1073" s="30"/>
      <c r="C1073" s="30"/>
      <c r="D1073" s="23"/>
      <c r="E1073" s="30"/>
      <c r="F1073" s="30"/>
      <c r="G1073" s="30"/>
      <c r="H1073" s="23"/>
      <c r="I1073" s="30"/>
      <c r="J1073" s="30"/>
      <c r="K1073" s="30"/>
      <c r="L1073" s="30"/>
      <c r="M1073" s="30"/>
      <c r="N1073" s="30"/>
      <c r="O1073" s="30"/>
    </row>
    <row r="1074" ht="14.25" customHeight="1">
      <c r="A1074" s="30"/>
      <c r="B1074" s="30"/>
      <c r="C1074" s="30"/>
      <c r="D1074" s="23"/>
      <c r="E1074" s="30"/>
      <c r="F1074" s="30"/>
      <c r="G1074" s="30"/>
      <c r="H1074" s="23"/>
      <c r="I1074" s="30"/>
      <c r="J1074" s="30"/>
      <c r="K1074" s="30"/>
      <c r="L1074" s="30"/>
      <c r="M1074" s="30"/>
      <c r="N1074" s="30"/>
      <c r="O1074" s="30"/>
    </row>
    <row r="1075" ht="14.25" customHeight="1">
      <c r="A1075" s="30"/>
      <c r="B1075" s="30"/>
      <c r="C1075" s="30"/>
      <c r="D1075" s="23"/>
      <c r="E1075" s="30"/>
      <c r="F1075" s="30"/>
      <c r="G1075" s="30"/>
      <c r="H1075" s="23"/>
      <c r="I1075" s="30"/>
      <c r="J1075" s="30"/>
      <c r="K1075" s="30"/>
      <c r="L1075" s="30"/>
      <c r="M1075" s="30"/>
      <c r="N1075" s="30"/>
      <c r="O1075" s="30"/>
    </row>
    <row r="1076" ht="14.25" customHeight="1">
      <c r="A1076" s="30"/>
      <c r="B1076" s="30"/>
      <c r="C1076" s="30"/>
      <c r="D1076" s="23"/>
      <c r="E1076" s="30"/>
      <c r="F1076" s="30"/>
      <c r="G1076" s="30"/>
      <c r="H1076" s="23"/>
      <c r="I1076" s="30"/>
      <c r="J1076" s="30"/>
      <c r="K1076" s="30"/>
      <c r="L1076" s="30"/>
      <c r="M1076" s="30"/>
      <c r="N1076" s="30"/>
      <c r="O1076" s="30"/>
    </row>
    <row r="1077" ht="14.25" customHeight="1">
      <c r="A1077" s="30"/>
      <c r="B1077" s="30"/>
      <c r="C1077" s="30"/>
      <c r="D1077" s="23"/>
      <c r="E1077" s="30"/>
      <c r="F1077" s="30"/>
      <c r="G1077" s="30"/>
      <c r="H1077" s="23"/>
      <c r="I1077" s="30"/>
      <c r="J1077" s="30"/>
      <c r="K1077" s="30"/>
      <c r="L1077" s="30"/>
      <c r="M1077" s="30"/>
      <c r="N1077" s="30"/>
      <c r="O1077" s="30"/>
    </row>
    <row r="1078" ht="14.25" customHeight="1">
      <c r="A1078" s="30"/>
      <c r="B1078" s="30"/>
      <c r="C1078" s="30"/>
      <c r="D1078" s="23"/>
      <c r="E1078" s="30"/>
      <c r="F1078" s="30"/>
      <c r="G1078" s="30"/>
      <c r="H1078" s="23"/>
      <c r="I1078" s="30"/>
      <c r="J1078" s="30"/>
      <c r="K1078" s="30"/>
      <c r="L1078" s="30"/>
      <c r="M1078" s="30"/>
      <c r="N1078" s="30"/>
      <c r="O1078" s="30"/>
    </row>
    <row r="1079" ht="14.25" customHeight="1">
      <c r="A1079" s="30"/>
      <c r="B1079" s="30"/>
      <c r="C1079" s="30"/>
      <c r="D1079" s="23"/>
      <c r="E1079" s="30"/>
      <c r="F1079" s="30"/>
      <c r="G1079" s="30"/>
      <c r="H1079" s="23"/>
      <c r="I1079" s="30"/>
      <c r="J1079" s="30"/>
      <c r="K1079" s="30"/>
      <c r="L1079" s="30"/>
      <c r="M1079" s="30"/>
      <c r="N1079" s="30"/>
      <c r="O1079" s="30"/>
    </row>
    <row r="1080" ht="14.25" customHeight="1">
      <c r="A1080" s="30"/>
      <c r="B1080" s="30"/>
      <c r="C1080" s="30"/>
      <c r="D1080" s="23"/>
      <c r="E1080" s="30"/>
      <c r="F1080" s="30"/>
      <c r="G1080" s="30"/>
      <c r="H1080" s="23"/>
      <c r="I1080" s="30"/>
      <c r="J1080" s="30"/>
      <c r="K1080" s="30"/>
      <c r="L1080" s="30"/>
      <c r="M1080" s="30"/>
      <c r="N1080" s="30"/>
      <c r="O1080" s="30"/>
    </row>
    <row r="1081" ht="14.25" customHeight="1">
      <c r="A1081" s="30"/>
      <c r="B1081" s="30"/>
      <c r="C1081" s="30"/>
      <c r="D1081" s="23"/>
      <c r="E1081" s="30"/>
      <c r="F1081" s="30"/>
      <c r="G1081" s="30"/>
      <c r="H1081" s="23"/>
      <c r="I1081" s="30"/>
      <c r="J1081" s="30"/>
      <c r="K1081" s="30"/>
      <c r="L1081" s="30"/>
      <c r="M1081" s="30"/>
      <c r="N1081" s="30"/>
      <c r="O1081" s="30"/>
    </row>
    <row r="1082" ht="14.25" customHeight="1">
      <c r="A1082" s="30"/>
      <c r="B1082" s="30"/>
      <c r="C1082" s="30"/>
      <c r="D1082" s="23"/>
      <c r="E1082" s="30"/>
      <c r="F1082" s="30"/>
      <c r="G1082" s="30"/>
      <c r="H1082" s="23"/>
      <c r="I1082" s="30"/>
      <c r="J1082" s="30"/>
      <c r="K1082" s="30"/>
      <c r="L1082" s="30"/>
      <c r="M1082" s="30"/>
      <c r="N1082" s="30"/>
      <c r="O1082" s="30"/>
    </row>
    <row r="1083" ht="14.25" customHeight="1">
      <c r="A1083" s="30"/>
      <c r="B1083" s="30"/>
      <c r="C1083" s="30"/>
      <c r="D1083" s="23"/>
      <c r="E1083" s="30"/>
      <c r="F1083" s="30"/>
      <c r="G1083" s="30"/>
      <c r="H1083" s="23"/>
      <c r="I1083" s="30"/>
      <c r="J1083" s="30"/>
      <c r="K1083" s="30"/>
      <c r="L1083" s="30"/>
      <c r="M1083" s="30"/>
      <c r="N1083" s="30"/>
      <c r="O1083" s="30"/>
    </row>
    <row r="1084" ht="14.25" customHeight="1">
      <c r="A1084" s="30"/>
      <c r="B1084" s="30"/>
      <c r="C1084" s="30"/>
      <c r="D1084" s="23"/>
      <c r="E1084" s="30"/>
      <c r="F1084" s="30"/>
      <c r="G1084" s="30"/>
      <c r="H1084" s="23"/>
      <c r="I1084" s="30"/>
      <c r="J1084" s="30"/>
      <c r="K1084" s="30"/>
      <c r="L1084" s="30"/>
      <c r="M1084" s="30"/>
      <c r="N1084" s="30"/>
      <c r="O1084" s="30"/>
    </row>
    <row r="1085" ht="14.25" customHeight="1">
      <c r="A1085" s="30"/>
      <c r="B1085" s="30"/>
      <c r="C1085" s="30"/>
      <c r="D1085" s="23"/>
      <c r="E1085" s="30"/>
      <c r="F1085" s="30"/>
      <c r="G1085" s="30"/>
      <c r="H1085" s="23"/>
      <c r="I1085" s="30"/>
      <c r="J1085" s="30"/>
      <c r="K1085" s="30"/>
      <c r="L1085" s="30"/>
      <c r="M1085" s="30"/>
      <c r="N1085" s="30"/>
      <c r="O1085" s="30"/>
    </row>
    <row r="1086" ht="14.25" customHeight="1">
      <c r="A1086" s="30"/>
      <c r="B1086" s="30"/>
      <c r="C1086" s="30"/>
      <c r="D1086" s="23"/>
      <c r="E1086" s="30"/>
      <c r="F1086" s="30"/>
      <c r="G1086" s="30"/>
      <c r="H1086" s="23"/>
      <c r="I1086" s="30"/>
      <c r="J1086" s="30"/>
      <c r="K1086" s="30"/>
      <c r="L1086" s="30"/>
      <c r="M1086" s="30"/>
      <c r="N1086" s="30"/>
      <c r="O1086" s="30"/>
    </row>
    <row r="1087" ht="14.25" customHeight="1">
      <c r="A1087" s="30"/>
      <c r="B1087" s="30"/>
      <c r="C1087" s="30"/>
      <c r="D1087" s="23"/>
      <c r="E1087" s="30"/>
      <c r="F1087" s="30"/>
      <c r="G1087" s="30"/>
      <c r="H1087" s="23"/>
      <c r="I1087" s="30"/>
      <c r="J1087" s="30"/>
      <c r="K1087" s="30"/>
      <c r="L1087" s="30"/>
      <c r="M1087" s="30"/>
      <c r="N1087" s="30"/>
      <c r="O1087" s="30"/>
    </row>
    <row r="1088" ht="14.25" customHeight="1">
      <c r="A1088" s="30"/>
      <c r="B1088" s="30"/>
      <c r="C1088" s="30"/>
      <c r="D1088" s="23"/>
      <c r="E1088" s="30"/>
      <c r="F1088" s="30"/>
      <c r="G1088" s="30"/>
      <c r="H1088" s="23"/>
      <c r="I1088" s="30"/>
      <c r="J1088" s="30"/>
      <c r="K1088" s="30"/>
      <c r="L1088" s="30"/>
      <c r="M1088" s="30"/>
      <c r="N1088" s="30"/>
      <c r="O1088" s="30"/>
    </row>
    <row r="1089" ht="14.25" customHeight="1">
      <c r="A1089" s="30"/>
      <c r="B1089" s="30"/>
      <c r="C1089" s="30"/>
      <c r="D1089" s="23"/>
      <c r="E1089" s="30"/>
      <c r="F1089" s="30"/>
      <c r="G1089" s="30"/>
      <c r="H1089" s="23"/>
      <c r="I1089" s="30"/>
      <c r="J1089" s="30"/>
      <c r="K1089" s="30"/>
      <c r="L1089" s="30"/>
      <c r="M1089" s="30"/>
      <c r="N1089" s="30"/>
      <c r="O1089" s="30"/>
    </row>
    <row r="1090" ht="14.25" customHeight="1">
      <c r="A1090" s="30"/>
      <c r="B1090" s="30"/>
      <c r="C1090" s="30"/>
      <c r="D1090" s="23"/>
      <c r="E1090" s="30"/>
      <c r="F1090" s="30"/>
      <c r="G1090" s="30"/>
      <c r="H1090" s="23"/>
      <c r="I1090" s="30"/>
      <c r="J1090" s="30"/>
      <c r="K1090" s="30"/>
      <c r="L1090" s="30"/>
      <c r="M1090" s="30"/>
      <c r="N1090" s="30"/>
      <c r="O1090" s="30"/>
    </row>
    <row r="1091" ht="14.25" customHeight="1">
      <c r="A1091" s="30"/>
      <c r="B1091" s="30"/>
      <c r="C1091" s="30"/>
      <c r="D1091" s="23"/>
      <c r="E1091" s="30"/>
      <c r="F1091" s="30"/>
      <c r="G1091" s="30"/>
      <c r="H1091" s="23"/>
      <c r="I1091" s="30"/>
      <c r="J1091" s="30"/>
      <c r="K1091" s="30"/>
      <c r="L1091" s="30"/>
      <c r="M1091" s="30"/>
      <c r="N1091" s="30"/>
      <c r="O1091" s="30"/>
    </row>
    <row r="1092" ht="14.25" customHeight="1">
      <c r="A1092" s="30"/>
      <c r="B1092" s="30"/>
      <c r="C1092" s="30"/>
      <c r="D1092" s="23"/>
      <c r="E1092" s="30"/>
      <c r="F1092" s="30"/>
      <c r="G1092" s="30"/>
      <c r="H1092" s="23"/>
      <c r="I1092" s="30"/>
      <c r="J1092" s="30"/>
      <c r="K1092" s="30"/>
      <c r="L1092" s="30"/>
      <c r="M1092" s="30"/>
      <c r="N1092" s="30"/>
      <c r="O1092" s="30"/>
    </row>
    <row r="1093" ht="14.25" customHeight="1">
      <c r="A1093" s="30"/>
      <c r="B1093" s="30"/>
      <c r="C1093" s="30"/>
      <c r="D1093" s="23"/>
      <c r="E1093" s="30"/>
      <c r="F1093" s="30"/>
      <c r="G1093" s="30"/>
      <c r="H1093" s="23"/>
      <c r="I1093" s="30"/>
      <c r="J1093" s="30"/>
      <c r="K1093" s="30"/>
      <c r="L1093" s="30"/>
      <c r="M1093" s="30"/>
      <c r="N1093" s="30"/>
      <c r="O1093" s="30"/>
    </row>
    <row r="1094" ht="14.25" customHeight="1">
      <c r="A1094" s="30"/>
      <c r="B1094" s="30"/>
      <c r="C1094" s="30"/>
      <c r="D1094" s="23"/>
      <c r="E1094" s="30"/>
      <c r="F1094" s="30"/>
      <c r="G1094" s="30"/>
      <c r="H1094" s="23"/>
      <c r="I1094" s="30"/>
      <c r="J1094" s="30"/>
      <c r="K1094" s="30"/>
      <c r="L1094" s="30"/>
      <c r="M1094" s="30"/>
      <c r="N1094" s="30"/>
      <c r="O1094" s="30"/>
    </row>
    <row r="1095" ht="14.25" customHeight="1">
      <c r="A1095" s="30"/>
      <c r="B1095" s="30"/>
      <c r="C1095" s="30"/>
      <c r="D1095" s="23"/>
      <c r="E1095" s="30"/>
      <c r="F1095" s="30"/>
      <c r="G1095" s="30"/>
      <c r="H1095" s="23"/>
      <c r="I1095" s="30"/>
      <c r="J1095" s="30"/>
      <c r="K1095" s="30"/>
      <c r="L1095" s="30"/>
      <c r="M1095" s="30"/>
      <c r="N1095" s="30"/>
      <c r="O1095" s="30"/>
    </row>
    <row r="1096" ht="14.25" customHeight="1">
      <c r="A1096" s="30"/>
      <c r="B1096" s="30"/>
      <c r="C1096" s="30"/>
      <c r="D1096" s="23"/>
      <c r="E1096" s="30"/>
      <c r="F1096" s="30"/>
      <c r="G1096" s="30"/>
      <c r="H1096" s="23"/>
      <c r="I1096" s="30"/>
      <c r="J1096" s="30"/>
      <c r="K1096" s="30"/>
      <c r="L1096" s="30"/>
      <c r="M1096" s="30"/>
      <c r="N1096" s="30"/>
      <c r="O1096" s="30"/>
    </row>
    <row r="1097" ht="14.25" customHeight="1">
      <c r="A1097" s="30"/>
      <c r="B1097" s="30"/>
      <c r="C1097" s="30"/>
      <c r="D1097" s="23"/>
      <c r="E1097" s="30"/>
      <c r="F1097" s="30"/>
      <c r="G1097" s="30"/>
      <c r="H1097" s="23"/>
      <c r="I1097" s="30"/>
      <c r="J1097" s="30"/>
      <c r="K1097" s="30"/>
      <c r="L1097" s="30"/>
      <c r="M1097" s="30"/>
      <c r="N1097" s="30"/>
      <c r="O1097" s="30"/>
    </row>
    <row r="1098" ht="14.25" customHeight="1">
      <c r="A1098" s="30"/>
      <c r="B1098" s="30"/>
      <c r="C1098" s="30"/>
      <c r="D1098" s="23"/>
      <c r="E1098" s="30"/>
      <c r="F1098" s="30"/>
      <c r="G1098" s="30"/>
      <c r="H1098" s="23"/>
      <c r="I1098" s="30"/>
      <c r="J1098" s="30"/>
      <c r="K1098" s="30"/>
      <c r="L1098" s="30"/>
      <c r="M1098" s="30"/>
      <c r="N1098" s="30"/>
      <c r="O1098" s="30"/>
    </row>
    <row r="1099" ht="14.25" customHeight="1">
      <c r="A1099" s="30"/>
      <c r="B1099" s="30"/>
      <c r="C1099" s="30"/>
      <c r="D1099" s="23"/>
      <c r="E1099" s="30"/>
      <c r="F1099" s="30"/>
      <c r="G1099" s="30"/>
      <c r="H1099" s="23"/>
      <c r="I1099" s="30"/>
      <c r="J1099" s="30"/>
      <c r="K1099" s="30"/>
      <c r="L1099" s="30"/>
      <c r="M1099" s="30"/>
      <c r="N1099" s="30"/>
      <c r="O1099" s="30"/>
    </row>
    <row r="1100" ht="14.25" customHeight="1">
      <c r="A1100" s="30"/>
      <c r="B1100" s="30"/>
      <c r="C1100" s="30"/>
      <c r="D1100" s="23"/>
      <c r="E1100" s="30"/>
      <c r="F1100" s="30"/>
      <c r="G1100" s="30"/>
      <c r="H1100" s="23"/>
      <c r="I1100" s="30"/>
      <c r="J1100" s="30"/>
      <c r="K1100" s="30"/>
      <c r="L1100" s="30"/>
      <c r="M1100" s="30"/>
      <c r="N1100" s="30"/>
      <c r="O1100" s="30"/>
    </row>
    <row r="1101" ht="14.25" customHeight="1">
      <c r="A1101" s="30"/>
      <c r="B1101" s="30"/>
      <c r="C1101" s="30"/>
      <c r="D1101" s="23"/>
      <c r="E1101" s="30"/>
      <c r="F1101" s="30"/>
      <c r="G1101" s="30"/>
      <c r="H1101" s="23"/>
      <c r="I1101" s="30"/>
      <c r="J1101" s="30"/>
      <c r="K1101" s="30"/>
      <c r="L1101" s="30"/>
      <c r="M1101" s="30"/>
      <c r="N1101" s="30"/>
      <c r="O1101" s="30"/>
    </row>
    <row r="1102" ht="14.25" customHeight="1">
      <c r="A1102" s="30"/>
      <c r="B1102" s="30"/>
      <c r="C1102" s="30"/>
      <c r="D1102" s="23"/>
      <c r="E1102" s="30"/>
      <c r="F1102" s="30"/>
      <c r="G1102" s="30"/>
      <c r="H1102" s="23"/>
      <c r="I1102" s="30"/>
      <c r="J1102" s="30"/>
      <c r="K1102" s="30"/>
      <c r="L1102" s="30"/>
      <c r="M1102" s="30"/>
      <c r="N1102" s="30"/>
      <c r="O1102" s="30"/>
    </row>
    <row r="1103" ht="14.25" customHeight="1">
      <c r="A1103" s="30"/>
      <c r="B1103" s="30"/>
      <c r="C1103" s="30"/>
      <c r="D1103" s="23"/>
      <c r="E1103" s="30"/>
      <c r="F1103" s="30"/>
      <c r="G1103" s="30"/>
      <c r="H1103" s="23"/>
      <c r="I1103" s="30"/>
      <c r="J1103" s="30"/>
      <c r="K1103" s="30"/>
      <c r="L1103" s="30"/>
      <c r="M1103" s="30"/>
      <c r="N1103" s="30"/>
      <c r="O1103" s="30"/>
    </row>
    <row r="1104" ht="14.25" customHeight="1">
      <c r="A1104" s="30"/>
      <c r="B1104" s="30"/>
      <c r="C1104" s="30"/>
      <c r="D1104" s="23"/>
      <c r="E1104" s="30"/>
      <c r="F1104" s="30"/>
      <c r="G1104" s="30"/>
      <c r="H1104" s="23"/>
      <c r="I1104" s="30"/>
      <c r="J1104" s="30"/>
      <c r="K1104" s="30"/>
      <c r="L1104" s="30"/>
      <c r="M1104" s="30"/>
      <c r="N1104" s="30"/>
      <c r="O1104" s="30"/>
    </row>
    <row r="1105" ht="14.25" customHeight="1">
      <c r="A1105" s="30"/>
      <c r="B1105" s="30"/>
      <c r="C1105" s="30"/>
      <c r="D1105" s="23"/>
      <c r="E1105" s="30"/>
      <c r="F1105" s="30"/>
      <c r="G1105" s="30"/>
      <c r="H1105" s="23"/>
      <c r="I1105" s="30"/>
      <c r="J1105" s="30"/>
      <c r="K1105" s="30"/>
      <c r="L1105" s="30"/>
      <c r="M1105" s="30"/>
      <c r="N1105" s="30"/>
      <c r="O1105" s="30"/>
    </row>
    <row r="1106" ht="14.25" customHeight="1">
      <c r="A1106" s="30"/>
      <c r="B1106" s="30"/>
      <c r="C1106" s="30"/>
      <c r="D1106" s="23"/>
      <c r="E1106" s="30"/>
      <c r="F1106" s="30"/>
      <c r="G1106" s="30"/>
      <c r="H1106" s="23"/>
      <c r="I1106" s="30"/>
      <c r="J1106" s="30"/>
      <c r="K1106" s="30"/>
      <c r="L1106" s="30"/>
      <c r="M1106" s="30"/>
      <c r="N1106" s="30"/>
      <c r="O1106" s="30"/>
    </row>
    <row r="1107" ht="14.25" customHeight="1">
      <c r="A1107" s="30"/>
      <c r="B1107" s="30"/>
      <c r="C1107" s="30"/>
      <c r="D1107" s="23"/>
      <c r="E1107" s="30"/>
      <c r="F1107" s="30"/>
      <c r="G1107" s="30"/>
      <c r="H1107" s="23"/>
      <c r="I1107" s="30"/>
      <c r="J1107" s="30"/>
      <c r="K1107" s="30"/>
      <c r="L1107" s="30"/>
      <c r="M1107" s="30"/>
      <c r="N1107" s="30"/>
      <c r="O1107" s="30"/>
    </row>
    <row r="1108" ht="14.25" customHeight="1">
      <c r="A1108" s="30"/>
      <c r="B1108" s="30"/>
      <c r="C1108" s="30"/>
      <c r="D1108" s="23"/>
      <c r="E1108" s="30"/>
      <c r="F1108" s="30"/>
      <c r="G1108" s="30"/>
      <c r="H1108" s="23"/>
      <c r="I1108" s="30"/>
      <c r="J1108" s="30"/>
      <c r="K1108" s="30"/>
      <c r="L1108" s="30"/>
      <c r="M1108" s="30"/>
      <c r="N1108" s="30"/>
      <c r="O1108" s="30"/>
    </row>
    <row r="1109" ht="14.25" customHeight="1">
      <c r="A1109" s="30"/>
      <c r="B1109" s="30"/>
      <c r="C1109" s="30"/>
      <c r="D1109" s="23"/>
      <c r="E1109" s="30"/>
      <c r="F1109" s="30"/>
      <c r="G1109" s="30"/>
      <c r="H1109" s="23"/>
      <c r="I1109" s="30"/>
      <c r="J1109" s="30"/>
      <c r="K1109" s="30"/>
      <c r="L1109" s="30"/>
      <c r="M1109" s="30"/>
      <c r="N1109" s="30"/>
      <c r="O1109" s="30"/>
    </row>
    <row r="1110" ht="14.25" customHeight="1">
      <c r="A1110" s="30"/>
      <c r="B1110" s="30"/>
      <c r="C1110" s="30"/>
      <c r="D1110" s="23"/>
      <c r="E1110" s="30"/>
      <c r="F1110" s="30"/>
      <c r="G1110" s="30"/>
      <c r="H1110" s="23"/>
      <c r="I1110" s="30"/>
      <c r="J1110" s="30"/>
      <c r="K1110" s="30"/>
      <c r="L1110" s="30"/>
      <c r="M1110" s="30"/>
      <c r="N1110" s="30"/>
      <c r="O1110" s="30"/>
    </row>
    <row r="1111" ht="14.25" customHeight="1">
      <c r="A1111" s="30"/>
      <c r="B1111" s="30"/>
      <c r="C1111" s="30"/>
      <c r="D1111" s="23"/>
      <c r="E1111" s="30"/>
      <c r="F1111" s="30"/>
      <c r="G1111" s="30"/>
      <c r="H1111" s="23"/>
      <c r="I1111" s="30"/>
      <c r="J1111" s="30"/>
      <c r="K1111" s="30"/>
      <c r="L1111" s="30"/>
      <c r="M1111" s="30"/>
      <c r="N1111" s="30"/>
      <c r="O1111" s="30"/>
    </row>
    <row r="1112" ht="14.25" customHeight="1">
      <c r="A1112" s="30"/>
      <c r="B1112" s="30"/>
      <c r="C1112" s="30"/>
      <c r="D1112" s="23"/>
      <c r="E1112" s="30"/>
      <c r="F1112" s="30"/>
      <c r="G1112" s="30"/>
      <c r="H1112" s="23"/>
      <c r="I1112" s="30"/>
      <c r="J1112" s="30"/>
      <c r="K1112" s="30"/>
      <c r="L1112" s="30"/>
      <c r="M1112" s="30"/>
      <c r="N1112" s="30"/>
      <c r="O1112" s="30"/>
    </row>
    <row r="1113" ht="14.25" customHeight="1">
      <c r="A1113" s="30"/>
      <c r="B1113" s="30"/>
      <c r="C1113" s="30"/>
      <c r="D1113" s="23"/>
      <c r="E1113" s="30"/>
      <c r="F1113" s="30"/>
      <c r="G1113" s="30"/>
      <c r="H1113" s="23"/>
      <c r="I1113" s="30"/>
      <c r="J1113" s="30"/>
      <c r="K1113" s="30"/>
      <c r="L1113" s="30"/>
      <c r="M1113" s="30"/>
      <c r="N1113" s="30"/>
      <c r="O1113" s="30"/>
    </row>
    <row r="1114" ht="14.25" customHeight="1">
      <c r="A1114" s="30"/>
      <c r="B1114" s="30"/>
      <c r="C1114" s="30"/>
      <c r="D1114" s="23"/>
      <c r="E1114" s="30"/>
      <c r="F1114" s="30"/>
      <c r="G1114" s="30"/>
      <c r="H1114" s="23"/>
      <c r="I1114" s="30"/>
      <c r="J1114" s="30"/>
      <c r="K1114" s="30"/>
      <c r="L1114" s="30"/>
      <c r="M1114" s="30"/>
      <c r="N1114" s="30"/>
      <c r="O1114" s="30"/>
    </row>
    <row r="1115" ht="14.25" customHeight="1">
      <c r="A1115" s="30"/>
      <c r="B1115" s="30"/>
      <c r="C1115" s="30"/>
      <c r="D1115" s="23"/>
      <c r="E1115" s="30"/>
      <c r="F1115" s="30"/>
      <c r="G1115" s="30"/>
      <c r="H1115" s="23"/>
      <c r="I1115" s="30"/>
      <c r="J1115" s="30"/>
      <c r="K1115" s="30"/>
      <c r="L1115" s="30"/>
      <c r="M1115" s="30"/>
      <c r="N1115" s="30"/>
      <c r="O1115" s="30"/>
    </row>
    <row r="1116" ht="14.25" customHeight="1">
      <c r="A1116" s="30"/>
      <c r="B1116" s="30"/>
      <c r="C1116" s="30"/>
      <c r="D1116" s="23"/>
      <c r="E1116" s="30"/>
      <c r="F1116" s="30"/>
      <c r="G1116" s="30"/>
      <c r="H1116" s="23"/>
      <c r="I1116" s="30"/>
      <c r="J1116" s="30"/>
      <c r="K1116" s="30"/>
      <c r="L1116" s="30"/>
      <c r="M1116" s="30"/>
      <c r="N1116" s="30"/>
      <c r="O1116" s="30"/>
    </row>
    <row r="1117" ht="14.25" customHeight="1">
      <c r="A1117" s="30"/>
      <c r="B1117" s="30"/>
      <c r="C1117" s="30"/>
      <c r="D1117" s="23"/>
      <c r="E1117" s="30"/>
      <c r="F1117" s="30"/>
      <c r="G1117" s="30"/>
      <c r="H1117" s="23"/>
      <c r="I1117" s="30"/>
      <c r="J1117" s="30"/>
      <c r="K1117" s="30"/>
      <c r="L1117" s="30"/>
      <c r="M1117" s="30"/>
      <c r="N1117" s="30"/>
      <c r="O1117" s="30"/>
    </row>
    <row r="1118" ht="14.25" customHeight="1">
      <c r="A1118" s="30"/>
      <c r="B1118" s="30"/>
      <c r="C1118" s="30"/>
      <c r="D1118" s="23"/>
      <c r="E1118" s="30"/>
      <c r="F1118" s="30"/>
      <c r="G1118" s="30"/>
      <c r="H1118" s="23"/>
      <c r="I1118" s="30"/>
      <c r="J1118" s="30"/>
      <c r="K1118" s="30"/>
      <c r="L1118" s="30"/>
      <c r="M1118" s="30"/>
      <c r="N1118" s="30"/>
      <c r="O1118" s="30"/>
    </row>
    <row r="1119" ht="14.25" customHeight="1">
      <c r="A1119" s="30"/>
      <c r="B1119" s="30"/>
      <c r="C1119" s="30"/>
      <c r="D1119" s="23"/>
      <c r="E1119" s="30"/>
      <c r="F1119" s="30"/>
      <c r="G1119" s="30"/>
      <c r="H1119" s="23"/>
      <c r="I1119" s="30"/>
      <c r="J1119" s="30"/>
      <c r="K1119" s="30"/>
      <c r="L1119" s="30"/>
      <c r="M1119" s="30"/>
      <c r="N1119" s="30"/>
      <c r="O1119" s="30"/>
    </row>
    <row r="1120" ht="14.25" customHeight="1">
      <c r="A1120" s="30"/>
      <c r="B1120" s="30"/>
      <c r="C1120" s="30"/>
      <c r="D1120" s="23"/>
      <c r="E1120" s="30"/>
      <c r="F1120" s="30"/>
      <c r="G1120" s="30"/>
      <c r="H1120" s="23"/>
      <c r="I1120" s="30"/>
      <c r="J1120" s="30"/>
      <c r="K1120" s="30"/>
      <c r="L1120" s="30"/>
      <c r="M1120" s="30"/>
      <c r="N1120" s="30"/>
      <c r="O1120" s="30"/>
    </row>
    <row r="1121" ht="14.25" customHeight="1">
      <c r="A1121" s="30"/>
      <c r="B1121" s="30"/>
      <c r="C1121" s="30"/>
      <c r="D1121" s="23"/>
      <c r="E1121" s="30"/>
      <c r="F1121" s="30"/>
      <c r="G1121" s="30"/>
      <c r="H1121" s="23"/>
      <c r="I1121" s="30"/>
      <c r="J1121" s="30"/>
      <c r="K1121" s="30"/>
      <c r="L1121" s="30"/>
      <c r="M1121" s="30"/>
      <c r="N1121" s="30"/>
      <c r="O1121" s="30"/>
    </row>
    <row r="1122" ht="14.25" customHeight="1">
      <c r="A1122" s="30"/>
      <c r="B1122" s="30"/>
      <c r="C1122" s="30"/>
      <c r="D1122" s="23"/>
      <c r="E1122" s="30"/>
      <c r="F1122" s="30"/>
      <c r="G1122" s="30"/>
      <c r="H1122" s="23"/>
      <c r="I1122" s="30"/>
      <c r="J1122" s="30"/>
      <c r="K1122" s="30"/>
      <c r="L1122" s="30"/>
      <c r="M1122" s="30"/>
      <c r="N1122" s="30"/>
      <c r="O1122" s="30"/>
    </row>
    <row r="1123" ht="14.25" customHeight="1">
      <c r="A1123" s="30"/>
      <c r="B1123" s="30"/>
      <c r="C1123" s="30"/>
      <c r="D1123" s="23"/>
      <c r="E1123" s="30"/>
      <c r="F1123" s="30"/>
      <c r="G1123" s="30"/>
      <c r="H1123" s="23"/>
      <c r="I1123" s="30"/>
      <c r="J1123" s="30"/>
      <c r="K1123" s="30"/>
      <c r="L1123" s="30"/>
      <c r="M1123" s="30"/>
      <c r="N1123" s="30"/>
      <c r="O1123" s="30"/>
    </row>
    <row r="1124" ht="14.25" customHeight="1">
      <c r="A1124" s="30"/>
      <c r="B1124" s="30"/>
      <c r="C1124" s="30"/>
      <c r="D1124" s="23"/>
      <c r="E1124" s="30"/>
      <c r="F1124" s="30"/>
      <c r="G1124" s="30"/>
      <c r="H1124" s="23"/>
      <c r="I1124" s="30"/>
      <c r="J1124" s="30"/>
      <c r="K1124" s="30"/>
      <c r="L1124" s="30"/>
      <c r="M1124" s="30"/>
      <c r="N1124" s="30"/>
      <c r="O1124" s="30"/>
    </row>
    <row r="1125" ht="14.25" customHeight="1">
      <c r="A1125" s="30"/>
      <c r="B1125" s="30"/>
      <c r="C1125" s="30"/>
      <c r="D1125" s="23"/>
      <c r="E1125" s="30"/>
      <c r="F1125" s="30"/>
      <c r="G1125" s="30"/>
      <c r="H1125" s="23"/>
      <c r="I1125" s="30"/>
      <c r="J1125" s="30"/>
      <c r="K1125" s="30"/>
      <c r="L1125" s="30"/>
      <c r="M1125" s="30"/>
      <c r="N1125" s="30"/>
      <c r="O1125" s="30"/>
    </row>
    <row r="1126" ht="14.25" customHeight="1">
      <c r="A1126" s="30"/>
      <c r="B1126" s="30"/>
      <c r="C1126" s="30"/>
      <c r="D1126" s="23"/>
      <c r="E1126" s="30"/>
      <c r="F1126" s="30"/>
      <c r="G1126" s="30"/>
      <c r="H1126" s="23"/>
      <c r="I1126" s="30"/>
      <c r="J1126" s="30"/>
      <c r="K1126" s="30"/>
      <c r="L1126" s="30"/>
      <c r="M1126" s="30"/>
      <c r="N1126" s="30"/>
      <c r="O1126" s="30"/>
    </row>
    <row r="1127" ht="14.25" customHeight="1">
      <c r="A1127" s="30"/>
      <c r="B1127" s="30"/>
      <c r="C1127" s="30"/>
      <c r="D1127" s="23"/>
      <c r="E1127" s="30"/>
      <c r="F1127" s="30"/>
      <c r="G1127" s="30"/>
      <c r="H1127" s="23"/>
      <c r="I1127" s="30"/>
      <c r="J1127" s="30"/>
      <c r="K1127" s="30"/>
      <c r="L1127" s="30"/>
      <c r="M1127" s="30"/>
      <c r="N1127" s="30"/>
      <c r="O1127" s="30"/>
    </row>
    <row r="1128" ht="14.25" customHeight="1">
      <c r="A1128" s="30"/>
      <c r="B1128" s="30"/>
      <c r="C1128" s="30"/>
      <c r="D1128" s="23"/>
      <c r="E1128" s="30"/>
      <c r="F1128" s="30"/>
      <c r="G1128" s="30"/>
      <c r="H1128" s="23"/>
      <c r="I1128" s="30"/>
      <c r="J1128" s="30"/>
      <c r="K1128" s="30"/>
      <c r="L1128" s="30"/>
      <c r="M1128" s="30"/>
      <c r="N1128" s="30"/>
      <c r="O1128" s="30"/>
    </row>
    <row r="1129" ht="14.25" customHeight="1">
      <c r="A1129" s="30"/>
      <c r="B1129" s="30"/>
      <c r="C1129" s="30"/>
      <c r="D1129" s="23"/>
      <c r="E1129" s="30"/>
      <c r="F1129" s="30"/>
      <c r="G1129" s="30"/>
      <c r="H1129" s="23"/>
      <c r="I1129" s="30"/>
      <c r="J1129" s="30"/>
      <c r="K1129" s="30"/>
      <c r="L1129" s="30"/>
      <c r="M1129" s="30"/>
      <c r="N1129" s="30"/>
      <c r="O1129" s="30"/>
    </row>
    <row r="1130" ht="14.25" customHeight="1">
      <c r="A1130" s="30"/>
      <c r="B1130" s="30"/>
      <c r="C1130" s="30"/>
      <c r="D1130" s="23"/>
      <c r="E1130" s="30"/>
      <c r="F1130" s="30"/>
      <c r="G1130" s="30"/>
      <c r="H1130" s="23"/>
      <c r="I1130" s="30"/>
      <c r="J1130" s="30"/>
      <c r="K1130" s="30"/>
      <c r="L1130" s="30"/>
      <c r="M1130" s="30"/>
      <c r="N1130" s="30"/>
      <c r="O1130" s="30"/>
    </row>
    <row r="1131" ht="14.25" customHeight="1">
      <c r="A1131" s="30"/>
      <c r="B1131" s="30"/>
      <c r="C1131" s="30"/>
      <c r="D1131" s="23"/>
      <c r="E1131" s="30"/>
      <c r="F1131" s="30"/>
      <c r="G1131" s="30"/>
      <c r="H1131" s="23"/>
      <c r="I1131" s="30"/>
      <c r="J1131" s="30"/>
      <c r="K1131" s="30"/>
      <c r="L1131" s="30"/>
      <c r="M1131" s="30"/>
      <c r="N1131" s="30"/>
      <c r="O1131" s="30"/>
    </row>
    <row r="1132" ht="14.25" customHeight="1">
      <c r="A1132" s="30"/>
      <c r="B1132" s="30"/>
      <c r="C1132" s="30"/>
      <c r="D1132" s="23"/>
      <c r="E1132" s="30"/>
      <c r="F1132" s="30"/>
      <c r="G1132" s="30"/>
      <c r="H1132" s="23"/>
      <c r="I1132" s="30"/>
      <c r="J1132" s="30"/>
      <c r="K1132" s="30"/>
      <c r="L1132" s="30"/>
      <c r="M1132" s="30"/>
      <c r="N1132" s="30"/>
      <c r="O1132" s="30"/>
    </row>
    <row r="1133" ht="14.25" customHeight="1">
      <c r="A1133" s="30"/>
      <c r="B1133" s="30"/>
      <c r="C1133" s="30"/>
      <c r="D1133" s="23"/>
      <c r="E1133" s="30"/>
      <c r="F1133" s="30"/>
      <c r="G1133" s="30"/>
      <c r="H1133" s="23"/>
      <c r="I1133" s="30"/>
      <c r="J1133" s="30"/>
      <c r="K1133" s="30"/>
      <c r="L1133" s="30"/>
      <c r="M1133" s="30"/>
      <c r="N1133" s="30"/>
      <c r="O1133" s="30"/>
    </row>
    <row r="1134" ht="14.25" customHeight="1">
      <c r="A1134" s="30"/>
      <c r="B1134" s="30"/>
      <c r="C1134" s="30"/>
      <c r="D1134" s="23"/>
      <c r="E1134" s="30"/>
      <c r="F1134" s="30"/>
      <c r="G1134" s="30"/>
      <c r="H1134" s="23"/>
      <c r="I1134" s="30"/>
      <c r="J1134" s="30"/>
      <c r="K1134" s="30"/>
      <c r="L1134" s="30"/>
      <c r="M1134" s="30"/>
      <c r="N1134" s="30"/>
      <c r="O1134" s="30"/>
    </row>
    <row r="1135" ht="14.25" customHeight="1">
      <c r="A1135" s="30"/>
      <c r="B1135" s="30"/>
      <c r="C1135" s="30"/>
      <c r="D1135" s="23"/>
      <c r="E1135" s="30"/>
      <c r="F1135" s="30"/>
      <c r="G1135" s="30"/>
      <c r="H1135" s="23"/>
      <c r="I1135" s="30"/>
      <c r="J1135" s="30"/>
      <c r="K1135" s="30"/>
      <c r="L1135" s="30"/>
      <c r="M1135" s="30"/>
      <c r="N1135" s="30"/>
      <c r="O1135" s="30"/>
    </row>
    <row r="1136" ht="14.25" customHeight="1">
      <c r="A1136" s="30"/>
      <c r="B1136" s="30"/>
      <c r="C1136" s="30"/>
      <c r="D1136" s="23"/>
      <c r="E1136" s="30"/>
      <c r="F1136" s="30"/>
      <c r="G1136" s="30"/>
      <c r="H1136" s="23"/>
      <c r="I1136" s="30"/>
      <c r="J1136" s="30"/>
      <c r="K1136" s="30"/>
      <c r="L1136" s="30"/>
      <c r="M1136" s="30"/>
      <c r="N1136" s="30"/>
      <c r="O1136" s="30"/>
    </row>
    <row r="1137" ht="14.25" customHeight="1">
      <c r="A1137" s="30"/>
      <c r="B1137" s="30"/>
      <c r="C1137" s="30"/>
      <c r="D1137" s="23"/>
      <c r="E1137" s="30"/>
      <c r="F1137" s="30"/>
      <c r="G1137" s="30"/>
      <c r="H1137" s="23"/>
      <c r="I1137" s="30"/>
      <c r="J1137" s="30"/>
      <c r="K1137" s="30"/>
      <c r="L1137" s="30"/>
      <c r="M1137" s="30"/>
      <c r="N1137" s="30"/>
      <c r="O1137" s="30"/>
    </row>
    <row r="1138" ht="14.25" customHeight="1">
      <c r="A1138" s="30"/>
      <c r="B1138" s="30"/>
      <c r="C1138" s="30"/>
      <c r="D1138" s="23"/>
      <c r="E1138" s="30"/>
      <c r="F1138" s="30"/>
      <c r="G1138" s="30"/>
      <c r="H1138" s="23"/>
      <c r="I1138" s="30"/>
      <c r="J1138" s="30"/>
      <c r="K1138" s="30"/>
      <c r="L1138" s="30"/>
      <c r="M1138" s="30"/>
      <c r="N1138" s="30"/>
      <c r="O1138" s="30"/>
    </row>
    <row r="1139" ht="14.25" customHeight="1">
      <c r="A1139" s="30"/>
      <c r="B1139" s="30"/>
      <c r="C1139" s="30"/>
      <c r="D1139" s="23"/>
      <c r="E1139" s="30"/>
      <c r="F1139" s="30"/>
      <c r="G1139" s="30"/>
      <c r="H1139" s="23"/>
      <c r="I1139" s="30"/>
      <c r="J1139" s="30"/>
      <c r="K1139" s="30"/>
      <c r="L1139" s="30"/>
      <c r="M1139" s="30"/>
      <c r="N1139" s="30"/>
      <c r="O1139" s="30"/>
    </row>
    <row r="1140" ht="14.25" customHeight="1">
      <c r="A1140" s="30"/>
      <c r="B1140" s="30"/>
      <c r="C1140" s="30"/>
      <c r="D1140" s="23"/>
      <c r="E1140" s="30"/>
      <c r="F1140" s="30"/>
      <c r="G1140" s="30"/>
      <c r="H1140" s="23"/>
      <c r="I1140" s="30"/>
      <c r="J1140" s="30"/>
      <c r="K1140" s="30"/>
      <c r="L1140" s="30"/>
      <c r="M1140" s="30"/>
      <c r="N1140" s="30"/>
      <c r="O1140" s="30"/>
    </row>
    <row r="1141" ht="14.25" customHeight="1">
      <c r="A1141" s="30"/>
      <c r="B1141" s="30"/>
      <c r="C1141" s="30"/>
      <c r="D1141" s="23"/>
      <c r="E1141" s="30"/>
      <c r="F1141" s="30"/>
      <c r="G1141" s="30"/>
      <c r="H1141" s="23"/>
      <c r="I1141" s="30"/>
      <c r="J1141" s="30"/>
      <c r="K1141" s="30"/>
      <c r="L1141" s="30"/>
      <c r="M1141" s="30"/>
      <c r="N1141" s="30"/>
      <c r="O1141" s="30"/>
    </row>
    <row r="1142" ht="14.25" customHeight="1">
      <c r="A1142" s="30"/>
      <c r="B1142" s="30"/>
      <c r="C1142" s="30"/>
      <c r="D1142" s="23"/>
      <c r="E1142" s="30"/>
      <c r="F1142" s="30"/>
      <c r="G1142" s="30"/>
      <c r="H1142" s="23"/>
      <c r="I1142" s="30"/>
      <c r="J1142" s="30"/>
      <c r="K1142" s="30"/>
      <c r="L1142" s="30"/>
      <c r="M1142" s="30"/>
      <c r="N1142" s="30"/>
      <c r="O1142" s="30"/>
    </row>
    <row r="1143" ht="14.25" customHeight="1">
      <c r="A1143" s="30"/>
      <c r="B1143" s="30"/>
      <c r="C1143" s="30"/>
      <c r="D1143" s="23"/>
      <c r="E1143" s="30"/>
      <c r="F1143" s="30"/>
      <c r="G1143" s="30"/>
      <c r="H1143" s="23"/>
      <c r="I1143" s="30"/>
      <c r="J1143" s="30"/>
      <c r="K1143" s="30"/>
      <c r="L1143" s="30"/>
      <c r="M1143" s="30"/>
      <c r="N1143" s="30"/>
      <c r="O1143" s="30"/>
    </row>
    <row r="1144" ht="14.25" customHeight="1">
      <c r="A1144" s="30"/>
      <c r="B1144" s="30"/>
      <c r="C1144" s="30"/>
      <c r="D1144" s="23"/>
      <c r="E1144" s="30"/>
      <c r="F1144" s="30"/>
      <c r="G1144" s="30"/>
      <c r="H1144" s="23"/>
      <c r="I1144" s="30"/>
      <c r="J1144" s="30"/>
      <c r="K1144" s="30"/>
      <c r="L1144" s="30"/>
      <c r="M1144" s="30"/>
      <c r="N1144" s="30"/>
      <c r="O1144" s="30"/>
    </row>
    <row r="1145" ht="14.25" customHeight="1">
      <c r="A1145" s="30"/>
      <c r="B1145" s="30"/>
      <c r="C1145" s="30"/>
      <c r="D1145" s="23"/>
      <c r="E1145" s="30"/>
      <c r="F1145" s="30"/>
      <c r="G1145" s="30"/>
      <c r="H1145" s="23"/>
      <c r="I1145" s="30"/>
      <c r="J1145" s="30"/>
      <c r="K1145" s="30"/>
      <c r="L1145" s="30"/>
      <c r="M1145" s="30"/>
      <c r="N1145" s="30"/>
      <c r="O1145" s="30"/>
    </row>
    <row r="1146" ht="14.25" customHeight="1">
      <c r="A1146" s="30"/>
      <c r="B1146" s="30"/>
      <c r="C1146" s="30"/>
      <c r="D1146" s="23"/>
      <c r="E1146" s="30"/>
      <c r="F1146" s="30"/>
      <c r="G1146" s="30"/>
      <c r="H1146" s="23"/>
      <c r="I1146" s="30"/>
      <c r="J1146" s="30"/>
      <c r="K1146" s="30"/>
      <c r="L1146" s="30"/>
      <c r="M1146" s="30"/>
      <c r="N1146" s="30"/>
      <c r="O1146" s="30"/>
    </row>
    <row r="1147" ht="14.25" customHeight="1">
      <c r="A1147" s="30"/>
      <c r="B1147" s="30"/>
      <c r="C1147" s="30"/>
      <c r="D1147" s="23"/>
      <c r="E1147" s="30"/>
      <c r="F1147" s="30"/>
      <c r="G1147" s="30"/>
      <c r="H1147" s="23"/>
      <c r="I1147" s="30"/>
      <c r="J1147" s="30"/>
      <c r="K1147" s="30"/>
      <c r="L1147" s="30"/>
      <c r="M1147" s="30"/>
      <c r="N1147" s="30"/>
      <c r="O1147" s="30"/>
    </row>
    <row r="1148" ht="14.25" customHeight="1">
      <c r="A1148" s="30"/>
      <c r="B1148" s="30"/>
      <c r="C1148" s="30"/>
      <c r="D1148" s="23"/>
      <c r="E1148" s="30"/>
      <c r="F1148" s="30"/>
      <c r="G1148" s="30"/>
      <c r="H1148" s="23"/>
      <c r="I1148" s="30"/>
      <c r="J1148" s="30"/>
      <c r="K1148" s="30"/>
      <c r="L1148" s="30"/>
      <c r="M1148" s="30"/>
      <c r="N1148" s="30"/>
      <c r="O1148" s="30"/>
    </row>
    <row r="1149" ht="14.25" customHeight="1">
      <c r="A1149" s="30"/>
      <c r="B1149" s="30"/>
      <c r="C1149" s="30"/>
      <c r="D1149" s="23"/>
      <c r="E1149" s="30"/>
      <c r="F1149" s="30"/>
      <c r="G1149" s="30"/>
      <c r="H1149" s="23"/>
      <c r="I1149" s="30"/>
      <c r="J1149" s="30"/>
      <c r="K1149" s="30"/>
      <c r="L1149" s="30"/>
      <c r="M1149" s="30"/>
      <c r="N1149" s="30"/>
      <c r="O1149" s="30"/>
    </row>
    <row r="1150" ht="14.25" customHeight="1">
      <c r="A1150" s="30"/>
      <c r="B1150" s="30"/>
      <c r="C1150" s="30"/>
      <c r="D1150" s="23"/>
      <c r="E1150" s="30"/>
      <c r="F1150" s="30"/>
      <c r="G1150" s="30"/>
      <c r="H1150" s="23"/>
      <c r="I1150" s="30"/>
      <c r="J1150" s="30"/>
      <c r="K1150" s="30"/>
      <c r="L1150" s="30"/>
      <c r="M1150" s="30"/>
      <c r="N1150" s="30"/>
      <c r="O1150" s="30"/>
    </row>
    <row r="1151" ht="14.25" customHeight="1">
      <c r="A1151" s="30"/>
      <c r="B1151" s="30"/>
      <c r="C1151" s="30"/>
      <c r="D1151" s="23"/>
      <c r="E1151" s="30"/>
      <c r="F1151" s="30"/>
      <c r="G1151" s="30"/>
      <c r="H1151" s="23"/>
      <c r="I1151" s="30"/>
      <c r="J1151" s="30"/>
      <c r="K1151" s="30"/>
      <c r="L1151" s="30"/>
      <c r="M1151" s="30"/>
      <c r="N1151" s="30"/>
      <c r="O1151" s="30"/>
    </row>
    <row r="1152" ht="14.25" customHeight="1">
      <c r="A1152" s="30"/>
      <c r="B1152" s="30"/>
      <c r="C1152" s="30"/>
      <c r="D1152" s="23"/>
      <c r="E1152" s="30"/>
      <c r="F1152" s="30"/>
      <c r="G1152" s="30"/>
      <c r="H1152" s="23"/>
      <c r="I1152" s="30"/>
      <c r="J1152" s="30"/>
      <c r="K1152" s="30"/>
      <c r="L1152" s="30"/>
      <c r="M1152" s="30"/>
      <c r="N1152" s="30"/>
      <c r="O1152" s="30"/>
    </row>
    <row r="1153" ht="14.25" customHeight="1">
      <c r="A1153" s="30"/>
      <c r="B1153" s="30"/>
      <c r="C1153" s="30"/>
      <c r="D1153" s="23"/>
      <c r="E1153" s="30"/>
      <c r="F1153" s="30"/>
      <c r="G1153" s="30"/>
      <c r="H1153" s="23"/>
      <c r="I1153" s="30"/>
      <c r="J1153" s="30"/>
      <c r="K1153" s="30"/>
      <c r="L1153" s="30"/>
      <c r="M1153" s="30"/>
      <c r="N1153" s="30"/>
      <c r="O1153" s="30"/>
    </row>
    <row r="1154" ht="14.25" customHeight="1">
      <c r="A1154" s="30"/>
      <c r="B1154" s="30"/>
      <c r="C1154" s="30"/>
      <c r="D1154" s="23"/>
      <c r="E1154" s="30"/>
      <c r="F1154" s="30"/>
      <c r="G1154" s="30"/>
      <c r="H1154" s="23"/>
      <c r="I1154" s="30"/>
      <c r="J1154" s="30"/>
      <c r="K1154" s="30"/>
      <c r="L1154" s="30"/>
      <c r="M1154" s="30"/>
      <c r="N1154" s="30"/>
      <c r="O1154" s="30"/>
    </row>
    <row r="1155" ht="14.25" customHeight="1">
      <c r="A1155" s="30"/>
      <c r="B1155" s="30"/>
      <c r="C1155" s="30"/>
      <c r="D1155" s="23"/>
      <c r="E1155" s="30"/>
      <c r="F1155" s="30"/>
      <c r="G1155" s="30"/>
      <c r="H1155" s="23"/>
      <c r="I1155" s="30"/>
      <c r="J1155" s="30"/>
      <c r="K1155" s="30"/>
      <c r="L1155" s="30"/>
      <c r="M1155" s="30"/>
      <c r="N1155" s="30"/>
      <c r="O1155" s="30"/>
    </row>
    <row r="1156" ht="14.25" customHeight="1">
      <c r="A1156" s="30"/>
      <c r="B1156" s="30"/>
      <c r="C1156" s="30"/>
      <c r="D1156" s="23"/>
      <c r="E1156" s="30"/>
      <c r="F1156" s="30"/>
      <c r="G1156" s="30"/>
      <c r="H1156" s="23"/>
      <c r="I1156" s="30"/>
      <c r="J1156" s="30"/>
      <c r="K1156" s="30"/>
      <c r="L1156" s="30"/>
      <c r="M1156" s="30"/>
      <c r="N1156" s="30"/>
      <c r="O1156" s="30"/>
    </row>
    <row r="1157" ht="14.25" customHeight="1">
      <c r="A1157" s="30"/>
      <c r="B1157" s="30"/>
      <c r="C1157" s="30"/>
      <c r="D1157" s="23"/>
      <c r="E1157" s="30"/>
      <c r="F1157" s="30"/>
      <c r="G1157" s="30"/>
      <c r="H1157" s="23"/>
      <c r="I1157" s="30"/>
      <c r="J1157" s="30"/>
      <c r="K1157" s="30"/>
      <c r="L1157" s="30"/>
      <c r="M1157" s="30"/>
      <c r="N1157" s="30"/>
      <c r="O1157" s="30"/>
    </row>
    <row r="1158" ht="14.25" customHeight="1">
      <c r="A1158" s="30"/>
      <c r="B1158" s="30"/>
      <c r="C1158" s="30"/>
      <c r="D1158" s="23"/>
      <c r="E1158" s="30"/>
      <c r="F1158" s="30"/>
      <c r="G1158" s="30"/>
      <c r="H1158" s="23"/>
      <c r="I1158" s="30"/>
      <c r="J1158" s="30"/>
      <c r="K1158" s="30"/>
      <c r="L1158" s="30"/>
      <c r="M1158" s="30"/>
      <c r="N1158" s="30"/>
      <c r="O1158" s="30"/>
    </row>
    <row r="1159" ht="14.25" customHeight="1">
      <c r="A1159" s="30"/>
      <c r="B1159" s="30"/>
      <c r="C1159" s="30"/>
      <c r="D1159" s="23"/>
      <c r="E1159" s="30"/>
      <c r="F1159" s="30"/>
      <c r="G1159" s="30"/>
      <c r="H1159" s="23"/>
      <c r="I1159" s="30"/>
      <c r="J1159" s="30"/>
      <c r="K1159" s="30"/>
      <c r="L1159" s="30"/>
      <c r="M1159" s="30"/>
      <c r="N1159" s="30"/>
      <c r="O1159" s="30"/>
    </row>
    <row r="1160" ht="14.25" customHeight="1">
      <c r="A1160" s="30"/>
      <c r="B1160" s="30"/>
      <c r="C1160" s="30"/>
      <c r="D1160" s="23"/>
      <c r="E1160" s="30"/>
      <c r="F1160" s="30"/>
      <c r="G1160" s="30"/>
      <c r="H1160" s="23"/>
      <c r="I1160" s="30"/>
      <c r="J1160" s="30"/>
      <c r="K1160" s="30"/>
      <c r="L1160" s="30"/>
      <c r="M1160" s="30"/>
      <c r="N1160" s="30"/>
      <c r="O1160" s="30"/>
    </row>
    <row r="1161" ht="14.25" customHeight="1">
      <c r="A1161" s="30"/>
      <c r="B1161" s="30"/>
      <c r="C1161" s="30"/>
      <c r="D1161" s="23"/>
      <c r="E1161" s="30"/>
      <c r="F1161" s="30"/>
      <c r="G1161" s="30"/>
      <c r="H1161" s="23"/>
      <c r="I1161" s="30"/>
      <c r="J1161" s="30"/>
      <c r="K1161" s="30"/>
      <c r="L1161" s="30"/>
      <c r="M1161" s="30"/>
      <c r="N1161" s="30"/>
      <c r="O1161" s="30"/>
    </row>
    <row r="1162" ht="14.25" customHeight="1">
      <c r="A1162" s="30"/>
      <c r="B1162" s="30"/>
      <c r="C1162" s="30"/>
      <c r="D1162" s="23"/>
      <c r="E1162" s="30"/>
      <c r="F1162" s="30"/>
      <c r="G1162" s="30"/>
      <c r="H1162" s="23"/>
      <c r="I1162" s="30"/>
      <c r="J1162" s="30"/>
      <c r="K1162" s="30"/>
      <c r="L1162" s="30"/>
      <c r="M1162" s="30"/>
      <c r="N1162" s="30"/>
      <c r="O1162" s="30"/>
    </row>
    <row r="1163" ht="14.25" customHeight="1">
      <c r="A1163" s="30"/>
      <c r="B1163" s="30"/>
      <c r="C1163" s="30"/>
      <c r="D1163" s="23"/>
      <c r="E1163" s="30"/>
      <c r="F1163" s="30"/>
      <c r="G1163" s="30"/>
      <c r="H1163" s="23"/>
      <c r="I1163" s="30"/>
      <c r="J1163" s="30"/>
      <c r="K1163" s="30"/>
      <c r="L1163" s="30"/>
      <c r="M1163" s="30"/>
      <c r="N1163" s="30"/>
      <c r="O1163" s="30"/>
    </row>
    <row r="1164" ht="14.25" customHeight="1">
      <c r="A1164" s="30"/>
      <c r="B1164" s="30"/>
      <c r="C1164" s="30"/>
      <c r="D1164" s="23"/>
      <c r="E1164" s="30"/>
      <c r="F1164" s="30"/>
      <c r="G1164" s="30"/>
      <c r="H1164" s="23"/>
      <c r="I1164" s="30"/>
      <c r="J1164" s="30"/>
      <c r="K1164" s="30"/>
      <c r="L1164" s="30"/>
      <c r="M1164" s="30"/>
      <c r="N1164" s="30"/>
      <c r="O1164" s="30"/>
    </row>
    <row r="1165" ht="14.25" customHeight="1">
      <c r="A1165" s="30"/>
      <c r="B1165" s="30"/>
      <c r="C1165" s="30"/>
      <c r="D1165" s="23"/>
      <c r="E1165" s="30"/>
      <c r="F1165" s="30"/>
      <c r="G1165" s="30"/>
      <c r="H1165" s="23"/>
      <c r="I1165" s="30"/>
      <c r="J1165" s="30"/>
      <c r="K1165" s="30"/>
      <c r="L1165" s="30"/>
      <c r="M1165" s="30"/>
      <c r="N1165" s="30"/>
      <c r="O1165" s="30"/>
    </row>
    <row r="1166" ht="14.25" customHeight="1">
      <c r="A1166" s="30"/>
      <c r="B1166" s="30"/>
      <c r="C1166" s="30"/>
      <c r="D1166" s="23"/>
      <c r="E1166" s="30"/>
      <c r="F1166" s="30"/>
      <c r="G1166" s="30"/>
      <c r="H1166" s="23"/>
      <c r="I1166" s="30"/>
      <c r="J1166" s="30"/>
      <c r="K1166" s="30"/>
      <c r="L1166" s="30"/>
      <c r="M1166" s="30"/>
      <c r="N1166" s="30"/>
      <c r="O1166" s="30"/>
    </row>
    <row r="1167" ht="14.25" customHeight="1">
      <c r="A1167" s="30"/>
      <c r="B1167" s="30"/>
      <c r="C1167" s="30"/>
      <c r="D1167" s="23"/>
      <c r="E1167" s="30"/>
      <c r="F1167" s="30"/>
      <c r="G1167" s="30"/>
      <c r="H1167" s="23"/>
      <c r="I1167" s="30"/>
      <c r="J1167" s="30"/>
      <c r="K1167" s="30"/>
      <c r="L1167" s="30"/>
      <c r="M1167" s="30"/>
      <c r="N1167" s="30"/>
      <c r="O1167" s="30"/>
    </row>
    <row r="1168" ht="14.25" customHeight="1">
      <c r="A1168" s="30"/>
      <c r="B1168" s="30"/>
      <c r="C1168" s="30"/>
      <c r="D1168" s="23"/>
      <c r="E1168" s="30"/>
      <c r="F1168" s="30"/>
      <c r="G1168" s="30"/>
      <c r="H1168" s="23"/>
      <c r="I1168" s="30"/>
      <c r="J1168" s="30"/>
      <c r="K1168" s="30"/>
      <c r="L1168" s="30"/>
      <c r="M1168" s="30"/>
      <c r="N1168" s="30"/>
      <c r="O1168" s="30"/>
    </row>
    <row r="1169" ht="14.25" customHeight="1">
      <c r="A1169" s="30"/>
      <c r="B1169" s="30"/>
      <c r="C1169" s="30"/>
      <c r="D1169" s="23"/>
      <c r="E1169" s="30"/>
      <c r="F1169" s="30"/>
      <c r="G1169" s="30"/>
      <c r="H1169" s="23"/>
      <c r="I1169" s="30"/>
      <c r="J1169" s="30"/>
      <c r="K1169" s="30"/>
      <c r="L1169" s="30"/>
      <c r="M1169" s="30"/>
      <c r="N1169" s="30"/>
      <c r="O1169" s="30"/>
    </row>
    <row r="1170" ht="14.25" customHeight="1">
      <c r="A1170" s="30"/>
      <c r="B1170" s="30"/>
      <c r="C1170" s="30"/>
      <c r="D1170" s="23"/>
      <c r="E1170" s="30"/>
      <c r="F1170" s="30"/>
      <c r="G1170" s="30"/>
      <c r="H1170" s="23"/>
      <c r="I1170" s="30"/>
      <c r="J1170" s="30"/>
      <c r="K1170" s="30"/>
      <c r="L1170" s="30"/>
      <c r="M1170" s="30"/>
      <c r="N1170" s="30"/>
      <c r="O1170" s="30"/>
    </row>
    <row r="1171" ht="14.25" customHeight="1">
      <c r="A1171" s="30"/>
      <c r="B1171" s="30"/>
      <c r="C1171" s="30"/>
      <c r="D1171" s="23"/>
      <c r="E1171" s="30"/>
      <c r="F1171" s="30"/>
      <c r="G1171" s="30"/>
      <c r="H1171" s="23"/>
      <c r="I1171" s="30"/>
      <c r="J1171" s="30"/>
      <c r="K1171" s="30"/>
      <c r="L1171" s="30"/>
      <c r="M1171" s="30"/>
      <c r="N1171" s="30"/>
      <c r="O1171" s="30"/>
    </row>
    <row r="1172" ht="14.25" customHeight="1">
      <c r="A1172" s="30"/>
      <c r="B1172" s="30"/>
      <c r="C1172" s="30"/>
      <c r="D1172" s="23"/>
      <c r="E1172" s="30"/>
      <c r="F1172" s="30"/>
      <c r="G1172" s="30"/>
      <c r="H1172" s="23"/>
      <c r="I1172" s="30"/>
      <c r="J1172" s="30"/>
      <c r="K1172" s="30"/>
      <c r="L1172" s="30"/>
      <c r="M1172" s="30"/>
      <c r="N1172" s="30"/>
      <c r="O1172" s="30"/>
    </row>
    <row r="1173" ht="14.25" customHeight="1">
      <c r="A1173" s="30"/>
      <c r="B1173" s="30"/>
      <c r="C1173" s="30"/>
      <c r="D1173" s="23"/>
      <c r="E1173" s="30"/>
      <c r="F1173" s="30"/>
      <c r="G1173" s="30"/>
      <c r="H1173" s="23"/>
      <c r="I1173" s="30"/>
      <c r="J1173" s="30"/>
      <c r="K1173" s="30"/>
      <c r="L1173" s="30"/>
      <c r="M1173" s="30"/>
      <c r="N1173" s="30"/>
      <c r="O1173" s="30"/>
    </row>
    <row r="1174" ht="14.25" customHeight="1">
      <c r="A1174" s="30"/>
      <c r="B1174" s="30"/>
      <c r="C1174" s="30"/>
      <c r="D1174" s="23"/>
      <c r="E1174" s="30"/>
      <c r="F1174" s="30"/>
      <c r="G1174" s="30"/>
      <c r="H1174" s="23"/>
      <c r="I1174" s="30"/>
      <c r="J1174" s="30"/>
      <c r="K1174" s="30"/>
      <c r="L1174" s="30"/>
      <c r="M1174" s="30"/>
      <c r="N1174" s="30"/>
      <c r="O1174" s="30"/>
    </row>
    <row r="1175" ht="14.25" customHeight="1">
      <c r="A1175" s="30"/>
      <c r="B1175" s="30"/>
      <c r="C1175" s="30"/>
      <c r="D1175" s="23"/>
      <c r="E1175" s="30"/>
      <c r="F1175" s="30"/>
      <c r="G1175" s="30"/>
      <c r="H1175" s="23"/>
      <c r="I1175" s="30"/>
      <c r="J1175" s="30"/>
      <c r="K1175" s="30"/>
      <c r="L1175" s="30"/>
      <c r="M1175" s="30"/>
      <c r="N1175" s="30"/>
      <c r="O1175" s="30"/>
    </row>
    <row r="1176" ht="14.25" customHeight="1">
      <c r="A1176" s="30"/>
      <c r="B1176" s="30"/>
      <c r="C1176" s="30"/>
      <c r="D1176" s="23"/>
      <c r="E1176" s="30"/>
      <c r="F1176" s="30"/>
      <c r="G1176" s="30"/>
      <c r="H1176" s="23"/>
      <c r="I1176" s="30"/>
      <c r="J1176" s="30"/>
      <c r="K1176" s="30"/>
      <c r="L1176" s="30"/>
      <c r="M1176" s="30"/>
      <c r="N1176" s="30"/>
      <c r="O1176" s="30"/>
    </row>
    <row r="1177" ht="14.25" customHeight="1">
      <c r="A1177" s="30"/>
      <c r="B1177" s="30"/>
      <c r="C1177" s="30"/>
      <c r="D1177" s="23"/>
      <c r="E1177" s="30"/>
      <c r="F1177" s="30"/>
      <c r="G1177" s="30"/>
      <c r="H1177" s="23"/>
      <c r="I1177" s="30"/>
      <c r="J1177" s="30"/>
      <c r="K1177" s="30"/>
      <c r="L1177" s="30"/>
      <c r="M1177" s="30"/>
      <c r="N1177" s="30"/>
      <c r="O1177" s="30"/>
    </row>
    <row r="1178" ht="14.25" customHeight="1">
      <c r="A1178" s="30"/>
      <c r="B1178" s="30"/>
      <c r="C1178" s="30"/>
      <c r="D1178" s="23"/>
      <c r="E1178" s="30"/>
      <c r="F1178" s="30"/>
      <c r="G1178" s="30"/>
      <c r="H1178" s="23"/>
      <c r="I1178" s="30"/>
      <c r="J1178" s="30"/>
      <c r="K1178" s="30"/>
      <c r="L1178" s="30"/>
      <c r="M1178" s="30"/>
      <c r="N1178" s="30"/>
      <c r="O1178" s="30"/>
    </row>
    <row r="1179" ht="14.25" customHeight="1">
      <c r="A1179" s="30"/>
      <c r="B1179" s="30"/>
      <c r="C1179" s="30"/>
      <c r="D1179" s="23"/>
      <c r="E1179" s="30"/>
      <c r="F1179" s="30"/>
      <c r="G1179" s="30"/>
      <c r="H1179" s="23"/>
      <c r="I1179" s="30"/>
      <c r="J1179" s="30"/>
      <c r="K1179" s="30"/>
      <c r="L1179" s="30"/>
      <c r="M1179" s="30"/>
      <c r="N1179" s="30"/>
      <c r="O1179" s="30"/>
    </row>
    <row r="1180" ht="14.25" customHeight="1">
      <c r="A1180" s="30"/>
      <c r="B1180" s="30"/>
      <c r="C1180" s="30"/>
      <c r="D1180" s="23"/>
      <c r="E1180" s="30"/>
      <c r="F1180" s="30"/>
      <c r="G1180" s="30"/>
      <c r="H1180" s="23"/>
      <c r="I1180" s="30"/>
      <c r="J1180" s="30"/>
      <c r="K1180" s="30"/>
      <c r="L1180" s="30"/>
      <c r="M1180" s="30"/>
      <c r="N1180" s="30"/>
      <c r="O1180" s="30"/>
    </row>
    <row r="1181" ht="14.25" customHeight="1">
      <c r="A1181" s="30"/>
      <c r="B1181" s="30"/>
      <c r="C1181" s="30"/>
      <c r="D1181" s="23"/>
      <c r="E1181" s="30"/>
      <c r="F1181" s="30"/>
      <c r="G1181" s="30"/>
      <c r="H1181" s="23"/>
      <c r="I1181" s="30"/>
      <c r="J1181" s="30"/>
      <c r="K1181" s="30"/>
      <c r="L1181" s="30"/>
      <c r="M1181" s="30"/>
      <c r="N1181" s="30"/>
      <c r="O1181" s="30"/>
    </row>
    <row r="1182" ht="14.25" customHeight="1">
      <c r="A1182" s="30"/>
      <c r="B1182" s="30"/>
      <c r="C1182" s="30"/>
      <c r="D1182" s="23"/>
      <c r="E1182" s="30"/>
      <c r="F1182" s="30"/>
      <c r="G1182" s="30"/>
      <c r="H1182" s="23"/>
      <c r="I1182" s="30"/>
      <c r="J1182" s="30"/>
      <c r="K1182" s="30"/>
      <c r="L1182" s="30"/>
      <c r="M1182" s="30"/>
      <c r="N1182" s="30"/>
      <c r="O1182" s="30"/>
    </row>
    <row r="1183" ht="14.25" customHeight="1">
      <c r="A1183" s="30"/>
      <c r="B1183" s="30"/>
      <c r="C1183" s="30"/>
      <c r="D1183" s="23"/>
      <c r="E1183" s="30"/>
      <c r="F1183" s="30"/>
      <c r="G1183" s="30"/>
      <c r="H1183" s="23"/>
      <c r="I1183" s="30"/>
      <c r="J1183" s="30"/>
      <c r="K1183" s="30"/>
      <c r="L1183" s="30"/>
      <c r="M1183" s="30"/>
      <c r="N1183" s="30"/>
      <c r="O1183" s="30"/>
    </row>
    <row r="1184" ht="14.25" customHeight="1">
      <c r="A1184" s="30"/>
      <c r="B1184" s="30"/>
      <c r="C1184" s="30"/>
      <c r="D1184" s="23"/>
      <c r="E1184" s="30"/>
      <c r="F1184" s="30"/>
      <c r="G1184" s="30"/>
      <c r="H1184" s="23"/>
      <c r="I1184" s="30"/>
      <c r="J1184" s="30"/>
      <c r="K1184" s="30"/>
      <c r="L1184" s="30"/>
      <c r="M1184" s="30"/>
      <c r="N1184" s="30"/>
      <c r="O1184" s="30"/>
    </row>
    <row r="1185" ht="14.25" customHeight="1">
      <c r="A1185" s="30"/>
      <c r="B1185" s="30"/>
      <c r="C1185" s="30"/>
      <c r="D1185" s="23"/>
      <c r="E1185" s="30"/>
      <c r="F1185" s="30"/>
      <c r="G1185" s="30"/>
      <c r="H1185" s="23"/>
      <c r="I1185" s="30"/>
      <c r="J1185" s="30"/>
      <c r="K1185" s="30"/>
      <c r="L1185" s="30"/>
      <c r="M1185" s="30"/>
      <c r="N1185" s="30"/>
      <c r="O1185" s="30"/>
    </row>
    <row r="1186" ht="14.25" customHeight="1">
      <c r="A1186" s="30"/>
      <c r="B1186" s="30"/>
      <c r="C1186" s="30"/>
      <c r="D1186" s="23"/>
      <c r="E1186" s="30"/>
      <c r="F1186" s="30"/>
      <c r="G1186" s="30"/>
      <c r="H1186" s="23"/>
      <c r="I1186" s="30"/>
      <c r="J1186" s="30"/>
      <c r="K1186" s="30"/>
      <c r="L1186" s="30"/>
      <c r="M1186" s="30"/>
      <c r="N1186" s="30"/>
      <c r="O1186" s="30"/>
    </row>
    <row r="1187" ht="14.25" customHeight="1">
      <c r="A1187" s="30"/>
      <c r="B1187" s="30"/>
      <c r="C1187" s="30"/>
      <c r="D1187" s="23"/>
      <c r="E1187" s="30"/>
      <c r="F1187" s="30"/>
      <c r="G1187" s="30"/>
      <c r="H1187" s="23"/>
      <c r="I1187" s="30"/>
      <c r="J1187" s="30"/>
      <c r="K1187" s="30"/>
      <c r="L1187" s="30"/>
      <c r="M1187" s="30"/>
      <c r="N1187" s="30"/>
      <c r="O1187" s="30"/>
    </row>
    <row r="1188" ht="14.25" customHeight="1">
      <c r="A1188" s="30"/>
      <c r="B1188" s="30"/>
      <c r="C1188" s="30"/>
      <c r="D1188" s="23"/>
      <c r="E1188" s="30"/>
      <c r="F1188" s="30"/>
      <c r="G1188" s="30"/>
      <c r="H1188" s="23"/>
      <c r="I1188" s="30"/>
      <c r="J1188" s="30"/>
      <c r="K1188" s="30"/>
      <c r="L1188" s="30"/>
      <c r="M1188" s="30"/>
      <c r="N1188" s="30"/>
      <c r="O1188" s="30"/>
    </row>
    <row r="1189" ht="14.25" customHeight="1">
      <c r="A1189" s="30"/>
      <c r="B1189" s="30"/>
      <c r="C1189" s="30"/>
      <c r="D1189" s="23"/>
      <c r="E1189" s="30"/>
      <c r="F1189" s="30"/>
      <c r="G1189" s="30"/>
      <c r="H1189" s="23"/>
      <c r="I1189" s="30"/>
      <c r="J1189" s="30"/>
      <c r="K1189" s="30"/>
      <c r="L1189" s="30"/>
      <c r="M1189" s="30"/>
      <c r="N1189" s="30"/>
      <c r="O1189" s="30"/>
    </row>
    <row r="1190" ht="14.25" customHeight="1">
      <c r="A1190" s="30"/>
      <c r="B1190" s="30"/>
      <c r="C1190" s="30"/>
      <c r="D1190" s="23"/>
      <c r="E1190" s="30"/>
      <c r="F1190" s="30"/>
      <c r="G1190" s="30"/>
      <c r="H1190" s="23"/>
      <c r="I1190" s="30"/>
      <c r="J1190" s="30"/>
      <c r="K1190" s="30"/>
      <c r="L1190" s="30"/>
      <c r="M1190" s="30"/>
      <c r="N1190" s="30"/>
      <c r="O1190" s="30"/>
    </row>
    <row r="1191" ht="14.25" customHeight="1">
      <c r="A1191" s="30"/>
      <c r="B1191" s="30"/>
      <c r="C1191" s="30"/>
      <c r="D1191" s="23"/>
      <c r="E1191" s="30"/>
      <c r="F1191" s="30"/>
      <c r="G1191" s="30"/>
      <c r="H1191" s="23"/>
      <c r="I1191" s="30"/>
      <c r="J1191" s="30"/>
      <c r="K1191" s="30"/>
      <c r="L1191" s="30"/>
      <c r="M1191" s="30"/>
      <c r="N1191" s="30"/>
      <c r="O1191" s="30"/>
    </row>
    <row r="1192" ht="14.25" customHeight="1">
      <c r="A1192" s="30"/>
      <c r="B1192" s="30"/>
      <c r="C1192" s="30"/>
      <c r="D1192" s="23"/>
      <c r="E1192" s="30"/>
      <c r="F1192" s="30"/>
      <c r="G1192" s="30"/>
      <c r="H1192" s="23"/>
      <c r="I1192" s="30"/>
      <c r="J1192" s="30"/>
      <c r="K1192" s="30"/>
      <c r="L1192" s="30"/>
      <c r="M1192" s="30"/>
      <c r="N1192" s="30"/>
      <c r="O1192" s="30"/>
    </row>
    <row r="1193" ht="14.25" customHeight="1">
      <c r="A1193" s="30"/>
      <c r="B1193" s="30"/>
      <c r="C1193" s="30"/>
      <c r="D1193" s="23"/>
      <c r="E1193" s="30"/>
      <c r="F1193" s="30"/>
      <c r="G1193" s="30"/>
      <c r="H1193" s="23"/>
      <c r="I1193" s="30"/>
      <c r="J1193" s="30"/>
      <c r="K1193" s="30"/>
      <c r="L1193" s="30"/>
      <c r="M1193" s="30"/>
      <c r="N1193" s="30"/>
      <c r="O1193" s="30"/>
    </row>
    <row r="1194" ht="14.25" customHeight="1">
      <c r="A1194" s="30"/>
      <c r="B1194" s="30"/>
      <c r="C1194" s="30"/>
      <c r="D1194" s="23"/>
      <c r="E1194" s="30"/>
      <c r="F1194" s="30"/>
      <c r="G1194" s="30"/>
      <c r="H1194" s="23"/>
      <c r="I1194" s="30"/>
      <c r="J1194" s="30"/>
      <c r="K1194" s="30"/>
      <c r="L1194" s="30"/>
      <c r="M1194" s="30"/>
      <c r="N1194" s="30"/>
      <c r="O1194" s="30"/>
    </row>
    <row r="1195" ht="14.25" customHeight="1">
      <c r="A1195" s="30"/>
      <c r="B1195" s="30"/>
      <c r="C1195" s="30"/>
      <c r="D1195" s="23"/>
      <c r="E1195" s="30"/>
      <c r="F1195" s="30"/>
      <c r="G1195" s="30"/>
      <c r="H1195" s="23"/>
      <c r="I1195" s="30"/>
      <c r="J1195" s="30"/>
      <c r="K1195" s="30"/>
      <c r="L1195" s="30"/>
      <c r="M1195" s="30"/>
      <c r="N1195" s="30"/>
      <c r="O1195" s="30"/>
    </row>
    <row r="1196" ht="14.25" customHeight="1">
      <c r="A1196" s="30"/>
      <c r="B1196" s="30"/>
      <c r="C1196" s="30"/>
      <c r="D1196" s="23"/>
      <c r="E1196" s="30"/>
      <c r="F1196" s="30"/>
      <c r="G1196" s="30"/>
      <c r="H1196" s="23"/>
      <c r="I1196" s="30"/>
      <c r="J1196" s="30"/>
      <c r="K1196" s="30"/>
      <c r="L1196" s="30"/>
      <c r="M1196" s="30"/>
      <c r="N1196" s="30"/>
      <c r="O1196" s="30"/>
    </row>
    <row r="1197" ht="14.25" customHeight="1">
      <c r="A1197" s="30"/>
      <c r="B1197" s="30"/>
      <c r="C1197" s="30"/>
      <c r="D1197" s="23"/>
      <c r="E1197" s="30"/>
      <c r="F1197" s="30"/>
      <c r="G1197" s="30"/>
      <c r="H1197" s="23"/>
      <c r="I1197" s="30"/>
      <c r="J1197" s="30"/>
      <c r="K1197" s="30"/>
      <c r="L1197" s="30"/>
      <c r="M1197" s="30"/>
      <c r="N1197" s="30"/>
      <c r="O1197" s="30"/>
    </row>
    <row r="1198" ht="14.25" customHeight="1">
      <c r="A1198" s="30"/>
      <c r="B1198" s="30"/>
      <c r="C1198" s="30"/>
      <c r="D1198" s="23"/>
      <c r="E1198" s="30"/>
      <c r="F1198" s="30"/>
      <c r="G1198" s="30"/>
      <c r="H1198" s="23"/>
      <c r="I1198" s="30"/>
      <c r="J1198" s="30"/>
      <c r="K1198" s="30"/>
      <c r="L1198" s="30"/>
      <c r="M1198" s="30"/>
      <c r="N1198" s="30"/>
      <c r="O1198" s="30"/>
    </row>
    <row r="1199" ht="14.25" customHeight="1">
      <c r="A1199" s="30"/>
      <c r="B1199" s="30"/>
      <c r="C1199" s="30"/>
      <c r="D1199" s="23"/>
      <c r="E1199" s="30"/>
      <c r="F1199" s="30"/>
      <c r="G1199" s="30"/>
      <c r="H1199" s="23"/>
      <c r="I1199" s="30"/>
      <c r="J1199" s="30"/>
      <c r="K1199" s="30"/>
      <c r="L1199" s="30"/>
      <c r="M1199" s="30"/>
      <c r="N1199" s="30"/>
      <c r="O1199" s="30"/>
    </row>
    <row r="1200" ht="14.25" customHeight="1">
      <c r="A1200" s="30"/>
      <c r="B1200" s="30"/>
      <c r="C1200" s="30"/>
      <c r="D1200" s="23"/>
      <c r="E1200" s="30"/>
      <c r="F1200" s="30"/>
      <c r="G1200" s="30"/>
      <c r="H1200" s="23"/>
      <c r="I1200" s="30"/>
      <c r="J1200" s="30"/>
      <c r="K1200" s="30"/>
      <c r="L1200" s="30"/>
      <c r="M1200" s="30"/>
      <c r="N1200" s="30"/>
      <c r="O1200" s="30"/>
    </row>
    <row r="1201" ht="14.25" customHeight="1">
      <c r="A1201" s="30"/>
      <c r="B1201" s="30"/>
      <c r="C1201" s="30"/>
      <c r="D1201" s="23"/>
      <c r="E1201" s="30"/>
      <c r="F1201" s="30"/>
      <c r="G1201" s="30"/>
      <c r="H1201" s="23"/>
      <c r="I1201" s="30"/>
      <c r="J1201" s="30"/>
      <c r="K1201" s="30"/>
      <c r="L1201" s="30"/>
      <c r="M1201" s="30"/>
      <c r="N1201" s="30"/>
      <c r="O1201" s="30"/>
    </row>
    <row r="1202" ht="14.25" customHeight="1">
      <c r="A1202" s="30"/>
      <c r="B1202" s="30"/>
      <c r="C1202" s="30"/>
      <c r="D1202" s="23"/>
      <c r="E1202" s="30"/>
      <c r="F1202" s="30"/>
      <c r="G1202" s="30"/>
      <c r="H1202" s="23"/>
      <c r="I1202" s="30"/>
      <c r="J1202" s="30"/>
      <c r="K1202" s="30"/>
      <c r="L1202" s="30"/>
      <c r="M1202" s="30"/>
      <c r="N1202" s="30"/>
      <c r="O1202" s="30"/>
    </row>
    <row r="1203" ht="14.25" customHeight="1">
      <c r="A1203" s="30"/>
      <c r="B1203" s="30"/>
      <c r="C1203" s="30"/>
      <c r="D1203" s="23"/>
      <c r="E1203" s="30"/>
      <c r="F1203" s="30"/>
      <c r="G1203" s="30"/>
      <c r="H1203" s="23"/>
      <c r="I1203" s="30"/>
      <c r="J1203" s="30"/>
      <c r="K1203" s="30"/>
      <c r="L1203" s="30"/>
      <c r="M1203" s="30"/>
      <c r="N1203" s="30"/>
      <c r="O1203" s="30"/>
    </row>
    <row r="1204" ht="14.25" customHeight="1">
      <c r="A1204" s="30"/>
      <c r="B1204" s="30"/>
      <c r="C1204" s="30"/>
      <c r="D1204" s="23"/>
      <c r="E1204" s="30"/>
      <c r="F1204" s="30"/>
      <c r="G1204" s="30"/>
      <c r="H1204" s="23"/>
      <c r="I1204" s="30"/>
      <c r="J1204" s="30"/>
      <c r="K1204" s="30"/>
      <c r="L1204" s="30"/>
      <c r="M1204" s="30"/>
      <c r="N1204" s="30"/>
      <c r="O1204" s="30"/>
    </row>
    <row r="1205" ht="14.25" customHeight="1">
      <c r="A1205" s="30"/>
      <c r="B1205" s="30"/>
      <c r="C1205" s="30"/>
      <c r="D1205" s="23"/>
      <c r="E1205" s="30"/>
      <c r="F1205" s="30"/>
      <c r="G1205" s="30"/>
      <c r="H1205" s="23"/>
      <c r="I1205" s="30"/>
      <c r="J1205" s="30"/>
      <c r="K1205" s="30"/>
      <c r="L1205" s="30"/>
      <c r="M1205" s="30"/>
      <c r="N1205" s="30"/>
      <c r="O1205" s="30"/>
    </row>
    <row r="1206" ht="14.25" customHeight="1">
      <c r="A1206" s="30"/>
      <c r="B1206" s="30"/>
      <c r="C1206" s="30"/>
      <c r="D1206" s="23"/>
      <c r="E1206" s="30"/>
      <c r="F1206" s="30"/>
      <c r="G1206" s="30"/>
      <c r="H1206" s="23"/>
      <c r="I1206" s="30"/>
      <c r="J1206" s="30"/>
      <c r="K1206" s="30"/>
      <c r="L1206" s="30"/>
      <c r="M1206" s="30"/>
      <c r="N1206" s="30"/>
      <c r="O1206" s="30"/>
    </row>
    <row r="1207" ht="14.25" customHeight="1">
      <c r="A1207" s="30"/>
      <c r="B1207" s="30"/>
      <c r="C1207" s="30"/>
      <c r="D1207" s="23"/>
      <c r="E1207" s="30"/>
      <c r="F1207" s="30"/>
      <c r="G1207" s="30"/>
      <c r="H1207" s="23"/>
      <c r="I1207" s="30"/>
      <c r="J1207" s="30"/>
      <c r="K1207" s="30"/>
      <c r="L1207" s="30"/>
      <c r="M1207" s="30"/>
      <c r="N1207" s="30"/>
      <c r="O1207" s="30"/>
    </row>
    <row r="1208" ht="14.25" customHeight="1">
      <c r="A1208" s="30"/>
      <c r="B1208" s="30"/>
      <c r="C1208" s="30"/>
      <c r="D1208" s="23"/>
      <c r="E1208" s="30"/>
      <c r="F1208" s="30"/>
      <c r="G1208" s="30"/>
      <c r="H1208" s="23"/>
      <c r="I1208" s="30"/>
      <c r="J1208" s="30"/>
      <c r="K1208" s="30"/>
      <c r="L1208" s="30"/>
      <c r="M1208" s="30"/>
      <c r="N1208" s="30"/>
      <c r="O1208" s="30"/>
    </row>
    <row r="1209" ht="14.25" customHeight="1">
      <c r="A1209" s="30"/>
      <c r="B1209" s="30"/>
      <c r="C1209" s="30"/>
      <c r="D1209" s="23"/>
      <c r="E1209" s="30"/>
      <c r="F1209" s="30"/>
      <c r="G1209" s="30"/>
      <c r="H1209" s="23"/>
      <c r="I1209" s="30"/>
      <c r="J1209" s="30"/>
      <c r="K1209" s="30"/>
      <c r="L1209" s="30"/>
      <c r="M1209" s="30"/>
      <c r="N1209" s="30"/>
      <c r="O1209" s="30"/>
    </row>
    <row r="1210" ht="14.25" customHeight="1">
      <c r="A1210" s="30"/>
      <c r="B1210" s="30"/>
      <c r="C1210" s="30"/>
      <c r="D1210" s="23"/>
      <c r="E1210" s="30"/>
      <c r="F1210" s="30"/>
      <c r="G1210" s="30"/>
      <c r="H1210" s="23"/>
      <c r="I1210" s="30"/>
      <c r="J1210" s="30"/>
      <c r="K1210" s="30"/>
      <c r="L1210" s="30"/>
      <c r="M1210" s="30"/>
      <c r="N1210" s="30"/>
      <c r="O1210" s="30"/>
    </row>
    <row r="1211" ht="14.25" customHeight="1">
      <c r="A1211" s="30"/>
      <c r="B1211" s="30"/>
      <c r="C1211" s="30"/>
      <c r="D1211" s="23"/>
      <c r="E1211" s="30"/>
      <c r="F1211" s="30"/>
      <c r="G1211" s="30"/>
      <c r="H1211" s="23"/>
      <c r="I1211" s="30"/>
      <c r="J1211" s="30"/>
      <c r="K1211" s="30"/>
      <c r="L1211" s="30"/>
      <c r="M1211" s="30"/>
      <c r="N1211" s="30"/>
      <c r="O1211" s="30"/>
    </row>
    <row r="1212" ht="14.25" customHeight="1">
      <c r="A1212" s="30"/>
      <c r="B1212" s="30"/>
      <c r="C1212" s="30"/>
      <c r="D1212" s="23"/>
      <c r="E1212" s="30"/>
      <c r="F1212" s="30"/>
      <c r="G1212" s="30"/>
      <c r="H1212" s="23"/>
      <c r="I1212" s="30"/>
      <c r="J1212" s="30"/>
      <c r="K1212" s="30"/>
      <c r="L1212" s="30"/>
      <c r="M1212" s="30"/>
      <c r="N1212" s="30"/>
      <c r="O1212" s="30"/>
    </row>
    <row r="1213" ht="14.25" customHeight="1">
      <c r="A1213" s="30"/>
      <c r="B1213" s="30"/>
      <c r="C1213" s="30"/>
      <c r="D1213" s="23"/>
      <c r="E1213" s="30"/>
      <c r="F1213" s="30"/>
      <c r="G1213" s="30"/>
      <c r="H1213" s="23"/>
      <c r="I1213" s="30"/>
      <c r="J1213" s="30"/>
      <c r="K1213" s="30"/>
      <c r="L1213" s="30"/>
      <c r="M1213" s="30"/>
      <c r="N1213" s="30"/>
      <c r="O1213" s="30"/>
    </row>
    <row r="1214" ht="14.25" customHeight="1">
      <c r="A1214" s="30"/>
      <c r="B1214" s="30"/>
      <c r="C1214" s="30"/>
      <c r="D1214" s="23"/>
      <c r="E1214" s="30"/>
      <c r="F1214" s="30"/>
      <c r="G1214" s="30"/>
      <c r="H1214" s="23"/>
      <c r="I1214" s="30"/>
      <c r="J1214" s="30"/>
      <c r="K1214" s="30"/>
      <c r="L1214" s="30"/>
      <c r="M1214" s="30"/>
      <c r="N1214" s="30"/>
      <c r="O1214" s="30"/>
    </row>
    <row r="1215" ht="14.25" customHeight="1">
      <c r="A1215" s="30"/>
      <c r="B1215" s="30"/>
      <c r="C1215" s="30"/>
      <c r="D1215" s="23"/>
      <c r="E1215" s="30"/>
      <c r="F1215" s="30"/>
      <c r="G1215" s="30"/>
      <c r="H1215" s="23"/>
      <c r="I1215" s="30"/>
      <c r="J1215" s="30"/>
      <c r="K1215" s="30"/>
      <c r="L1215" s="30"/>
      <c r="M1215" s="30"/>
      <c r="N1215" s="30"/>
      <c r="O1215" s="30"/>
    </row>
    <row r="1216" ht="14.25" customHeight="1">
      <c r="A1216" s="30"/>
      <c r="B1216" s="30"/>
      <c r="C1216" s="30"/>
      <c r="D1216" s="23"/>
      <c r="E1216" s="30"/>
      <c r="F1216" s="30"/>
      <c r="G1216" s="30"/>
      <c r="H1216" s="23"/>
      <c r="I1216" s="30"/>
      <c r="J1216" s="30"/>
      <c r="K1216" s="30"/>
      <c r="L1216" s="30"/>
      <c r="M1216" s="30"/>
      <c r="N1216" s="30"/>
      <c r="O1216" s="30"/>
    </row>
    <row r="1217" ht="14.25" customHeight="1">
      <c r="A1217" s="30"/>
      <c r="B1217" s="30"/>
      <c r="C1217" s="30"/>
      <c r="D1217" s="23"/>
      <c r="E1217" s="30"/>
      <c r="F1217" s="30"/>
      <c r="G1217" s="30"/>
      <c r="H1217" s="23"/>
      <c r="I1217" s="30"/>
      <c r="J1217" s="30"/>
      <c r="K1217" s="30"/>
      <c r="L1217" s="30"/>
      <c r="M1217" s="30"/>
      <c r="N1217" s="30"/>
      <c r="O1217" s="30"/>
    </row>
    <row r="1218" ht="14.25" customHeight="1">
      <c r="A1218" s="30"/>
      <c r="B1218" s="30"/>
      <c r="C1218" s="30"/>
      <c r="D1218" s="23"/>
      <c r="E1218" s="30"/>
      <c r="F1218" s="30"/>
      <c r="G1218" s="30"/>
      <c r="H1218" s="23"/>
      <c r="I1218" s="30"/>
      <c r="J1218" s="30"/>
      <c r="K1218" s="30"/>
      <c r="L1218" s="30"/>
      <c r="M1218" s="30"/>
      <c r="N1218" s="30"/>
      <c r="O1218" s="30"/>
    </row>
    <row r="1219" ht="14.25" customHeight="1">
      <c r="A1219" s="30"/>
      <c r="B1219" s="30"/>
      <c r="C1219" s="30"/>
      <c r="D1219" s="23"/>
      <c r="E1219" s="30"/>
      <c r="F1219" s="30"/>
      <c r="G1219" s="30"/>
      <c r="H1219" s="23"/>
      <c r="I1219" s="30"/>
      <c r="J1219" s="30"/>
      <c r="K1219" s="30"/>
      <c r="L1219" s="30"/>
      <c r="M1219" s="30"/>
      <c r="N1219" s="30"/>
      <c r="O1219" s="30"/>
    </row>
    <row r="1220" ht="14.25" customHeight="1">
      <c r="A1220" s="30"/>
      <c r="B1220" s="30"/>
      <c r="C1220" s="30"/>
      <c r="D1220" s="23"/>
      <c r="E1220" s="30"/>
      <c r="F1220" s="30"/>
      <c r="G1220" s="30"/>
      <c r="H1220" s="23"/>
      <c r="I1220" s="30"/>
      <c r="J1220" s="30"/>
      <c r="K1220" s="30"/>
      <c r="L1220" s="30"/>
      <c r="M1220" s="30"/>
      <c r="N1220" s="30"/>
      <c r="O1220" s="30"/>
    </row>
    <row r="1221" ht="14.25" customHeight="1">
      <c r="A1221" s="30"/>
      <c r="B1221" s="30"/>
      <c r="C1221" s="30"/>
      <c r="D1221" s="23"/>
      <c r="E1221" s="30"/>
      <c r="F1221" s="30"/>
      <c r="G1221" s="30"/>
      <c r="H1221" s="23"/>
      <c r="I1221" s="30"/>
      <c r="J1221" s="30"/>
      <c r="K1221" s="30"/>
      <c r="L1221" s="30"/>
      <c r="M1221" s="30"/>
      <c r="N1221" s="30"/>
      <c r="O1221" s="30"/>
    </row>
    <row r="1222" ht="14.25" customHeight="1">
      <c r="A1222" s="30"/>
      <c r="B1222" s="30"/>
      <c r="C1222" s="30"/>
      <c r="D1222" s="23"/>
      <c r="E1222" s="30"/>
      <c r="F1222" s="30"/>
      <c r="G1222" s="30"/>
      <c r="H1222" s="23"/>
      <c r="I1222" s="30"/>
      <c r="J1222" s="30"/>
      <c r="K1222" s="30"/>
      <c r="L1222" s="30"/>
      <c r="M1222" s="30"/>
      <c r="N1222" s="30"/>
      <c r="O1222" s="30"/>
    </row>
    <row r="1223" ht="14.25" customHeight="1">
      <c r="A1223" s="30"/>
      <c r="B1223" s="30"/>
      <c r="C1223" s="30"/>
      <c r="D1223" s="23"/>
      <c r="E1223" s="30"/>
      <c r="F1223" s="30"/>
      <c r="G1223" s="30"/>
      <c r="H1223" s="23"/>
      <c r="I1223" s="30"/>
      <c r="J1223" s="30"/>
      <c r="K1223" s="30"/>
      <c r="L1223" s="30"/>
      <c r="M1223" s="30"/>
      <c r="N1223" s="30"/>
      <c r="O1223" s="30"/>
    </row>
    <row r="1224" ht="14.25" customHeight="1">
      <c r="A1224" s="30"/>
      <c r="B1224" s="30"/>
      <c r="C1224" s="30"/>
      <c r="D1224" s="23"/>
      <c r="E1224" s="30"/>
      <c r="F1224" s="30"/>
      <c r="G1224" s="30"/>
      <c r="H1224" s="23"/>
      <c r="I1224" s="30"/>
      <c r="J1224" s="30"/>
      <c r="K1224" s="30"/>
      <c r="L1224" s="30"/>
      <c r="M1224" s="30"/>
      <c r="N1224" s="30"/>
      <c r="O1224" s="30"/>
    </row>
    <row r="1225" ht="14.25" customHeight="1">
      <c r="A1225" s="30"/>
      <c r="B1225" s="30"/>
      <c r="C1225" s="30"/>
      <c r="D1225" s="23"/>
      <c r="E1225" s="30"/>
      <c r="F1225" s="30"/>
      <c r="G1225" s="30"/>
      <c r="H1225" s="23"/>
      <c r="I1225" s="30"/>
      <c r="J1225" s="30"/>
      <c r="K1225" s="30"/>
      <c r="L1225" s="30"/>
      <c r="M1225" s="30"/>
      <c r="N1225" s="30"/>
      <c r="O1225" s="30"/>
    </row>
    <row r="1226" ht="14.25" customHeight="1">
      <c r="A1226" s="30"/>
      <c r="B1226" s="30"/>
      <c r="C1226" s="30"/>
      <c r="D1226" s="23"/>
      <c r="E1226" s="30"/>
      <c r="F1226" s="30"/>
      <c r="G1226" s="30"/>
      <c r="H1226" s="23"/>
      <c r="I1226" s="30"/>
      <c r="J1226" s="30"/>
      <c r="K1226" s="30"/>
      <c r="L1226" s="30"/>
      <c r="M1226" s="30"/>
      <c r="N1226" s="30"/>
      <c r="O1226" s="30"/>
    </row>
    <row r="1227" ht="14.25" customHeight="1">
      <c r="A1227" s="30"/>
      <c r="B1227" s="30"/>
      <c r="C1227" s="30"/>
      <c r="D1227" s="23"/>
      <c r="E1227" s="30"/>
      <c r="F1227" s="30"/>
      <c r="G1227" s="30"/>
      <c r="H1227" s="23"/>
      <c r="I1227" s="30"/>
      <c r="J1227" s="30"/>
      <c r="K1227" s="30"/>
      <c r="L1227" s="30"/>
      <c r="M1227" s="30"/>
      <c r="N1227" s="30"/>
      <c r="O1227" s="30"/>
    </row>
    <row r="1228" ht="14.25" customHeight="1">
      <c r="A1228" s="30"/>
      <c r="B1228" s="30"/>
      <c r="C1228" s="30"/>
      <c r="D1228" s="23"/>
      <c r="E1228" s="30"/>
      <c r="F1228" s="30"/>
      <c r="G1228" s="30"/>
      <c r="H1228" s="23"/>
      <c r="I1228" s="30"/>
      <c r="J1228" s="30"/>
      <c r="K1228" s="30"/>
      <c r="L1228" s="30"/>
      <c r="M1228" s="30"/>
      <c r="N1228" s="30"/>
      <c r="O1228" s="30"/>
    </row>
    <row r="1229" ht="14.25" customHeight="1">
      <c r="A1229" s="30"/>
      <c r="B1229" s="30"/>
      <c r="C1229" s="30"/>
      <c r="D1229" s="23"/>
      <c r="E1229" s="30"/>
      <c r="F1229" s="30"/>
      <c r="G1229" s="30"/>
      <c r="H1229" s="23"/>
      <c r="I1229" s="30"/>
      <c r="J1229" s="30"/>
      <c r="K1229" s="30"/>
      <c r="L1229" s="30"/>
      <c r="M1229" s="30"/>
      <c r="N1229" s="30"/>
      <c r="O1229" s="30"/>
    </row>
    <row r="1230" ht="14.25" customHeight="1">
      <c r="A1230" s="30"/>
      <c r="B1230" s="30"/>
      <c r="C1230" s="30"/>
      <c r="D1230" s="23"/>
      <c r="E1230" s="30"/>
      <c r="F1230" s="30"/>
      <c r="G1230" s="30"/>
      <c r="H1230" s="23"/>
      <c r="I1230" s="30"/>
      <c r="J1230" s="30"/>
      <c r="K1230" s="30"/>
      <c r="L1230" s="30"/>
      <c r="M1230" s="30"/>
      <c r="N1230" s="30"/>
      <c r="O1230" s="30"/>
    </row>
    <row r="1231" ht="14.25" customHeight="1">
      <c r="A1231" s="30"/>
      <c r="B1231" s="30"/>
      <c r="C1231" s="30"/>
      <c r="D1231" s="23"/>
      <c r="E1231" s="30"/>
      <c r="F1231" s="30"/>
      <c r="G1231" s="30"/>
      <c r="H1231" s="23"/>
      <c r="I1231" s="30"/>
      <c r="J1231" s="30"/>
      <c r="K1231" s="30"/>
      <c r="L1231" s="30"/>
      <c r="M1231" s="30"/>
      <c r="N1231" s="30"/>
      <c r="O1231" s="30"/>
    </row>
    <row r="1232" ht="14.25" customHeight="1">
      <c r="A1232" s="30"/>
      <c r="B1232" s="30"/>
      <c r="C1232" s="30"/>
      <c r="D1232" s="23"/>
      <c r="E1232" s="30"/>
      <c r="F1232" s="30"/>
      <c r="G1232" s="30"/>
      <c r="H1232" s="23"/>
      <c r="I1232" s="30"/>
      <c r="J1232" s="30"/>
      <c r="K1232" s="30"/>
      <c r="L1232" s="30"/>
      <c r="M1232" s="30"/>
      <c r="N1232" s="30"/>
      <c r="O1232" s="30"/>
    </row>
    <row r="1233" ht="14.25" customHeight="1">
      <c r="A1233" s="30"/>
      <c r="B1233" s="30"/>
      <c r="C1233" s="30"/>
      <c r="D1233" s="23"/>
      <c r="E1233" s="30"/>
      <c r="F1233" s="30"/>
      <c r="G1233" s="30"/>
      <c r="H1233" s="23"/>
      <c r="I1233" s="30"/>
      <c r="J1233" s="30"/>
      <c r="K1233" s="30"/>
      <c r="L1233" s="30"/>
      <c r="M1233" s="30"/>
      <c r="N1233" s="30"/>
      <c r="O1233" s="30"/>
    </row>
    <row r="1234" ht="14.25" customHeight="1">
      <c r="A1234" s="30"/>
      <c r="B1234" s="30"/>
      <c r="C1234" s="30"/>
      <c r="D1234" s="23"/>
      <c r="E1234" s="30"/>
      <c r="F1234" s="30"/>
      <c r="G1234" s="30"/>
      <c r="H1234" s="23"/>
      <c r="I1234" s="30"/>
      <c r="J1234" s="30"/>
      <c r="K1234" s="30"/>
      <c r="L1234" s="30"/>
      <c r="M1234" s="30"/>
      <c r="N1234" s="30"/>
      <c r="O1234" s="30"/>
    </row>
    <row r="1235" ht="14.25" customHeight="1">
      <c r="A1235" s="30"/>
      <c r="B1235" s="30"/>
      <c r="C1235" s="30"/>
      <c r="D1235" s="23"/>
      <c r="E1235" s="30"/>
      <c r="F1235" s="30"/>
      <c r="G1235" s="30"/>
      <c r="H1235" s="23"/>
      <c r="I1235" s="30"/>
      <c r="J1235" s="30"/>
      <c r="K1235" s="30"/>
      <c r="L1235" s="30"/>
      <c r="M1235" s="30"/>
      <c r="N1235" s="30"/>
      <c r="O1235" s="30"/>
    </row>
    <row r="1236" ht="14.25" customHeight="1">
      <c r="A1236" s="30"/>
      <c r="B1236" s="30"/>
      <c r="C1236" s="30"/>
      <c r="D1236" s="23"/>
      <c r="E1236" s="30"/>
      <c r="F1236" s="30"/>
      <c r="G1236" s="30"/>
      <c r="H1236" s="23"/>
      <c r="I1236" s="30"/>
      <c r="J1236" s="30"/>
      <c r="K1236" s="30"/>
      <c r="L1236" s="30"/>
      <c r="M1236" s="30"/>
      <c r="N1236" s="30"/>
      <c r="O1236" s="30"/>
    </row>
    <row r="1237" ht="14.25" customHeight="1">
      <c r="A1237" s="30"/>
      <c r="B1237" s="30"/>
      <c r="C1237" s="30"/>
      <c r="D1237" s="23"/>
      <c r="E1237" s="30"/>
      <c r="F1237" s="30"/>
      <c r="G1237" s="30"/>
      <c r="H1237" s="23"/>
      <c r="I1237" s="30"/>
      <c r="J1237" s="30"/>
      <c r="K1237" s="30"/>
      <c r="L1237" s="30"/>
      <c r="M1237" s="30"/>
      <c r="N1237" s="30"/>
      <c r="O1237" s="30"/>
    </row>
    <row r="1238" ht="14.25" customHeight="1">
      <c r="A1238" s="30"/>
      <c r="B1238" s="30"/>
      <c r="C1238" s="30"/>
      <c r="D1238" s="23"/>
      <c r="E1238" s="30"/>
      <c r="F1238" s="30"/>
      <c r="G1238" s="30"/>
      <c r="H1238" s="23"/>
      <c r="I1238" s="30"/>
      <c r="J1238" s="30"/>
      <c r="K1238" s="30"/>
      <c r="L1238" s="30"/>
      <c r="M1238" s="30"/>
      <c r="N1238" s="30"/>
      <c r="O1238" s="30"/>
    </row>
    <row r="1239" ht="14.25" customHeight="1">
      <c r="A1239" s="30"/>
      <c r="B1239" s="30"/>
      <c r="C1239" s="30"/>
      <c r="D1239" s="23"/>
      <c r="E1239" s="30"/>
      <c r="F1239" s="30"/>
      <c r="G1239" s="30"/>
      <c r="H1239" s="23"/>
      <c r="I1239" s="30"/>
      <c r="J1239" s="30"/>
      <c r="K1239" s="30"/>
      <c r="L1239" s="30"/>
      <c r="M1239" s="30"/>
      <c r="N1239" s="30"/>
      <c r="O1239" s="30"/>
    </row>
    <row r="1240" ht="14.25" customHeight="1">
      <c r="A1240" s="30"/>
      <c r="B1240" s="30"/>
      <c r="C1240" s="30"/>
      <c r="D1240" s="23"/>
      <c r="E1240" s="30"/>
      <c r="F1240" s="30"/>
      <c r="G1240" s="30"/>
      <c r="H1240" s="23"/>
      <c r="I1240" s="30"/>
      <c r="J1240" s="30"/>
      <c r="K1240" s="30"/>
      <c r="L1240" s="30"/>
      <c r="M1240" s="30"/>
      <c r="N1240" s="30"/>
      <c r="O1240" s="30"/>
    </row>
    <row r="1241" ht="14.25" customHeight="1">
      <c r="A1241" s="30"/>
      <c r="B1241" s="30"/>
      <c r="C1241" s="30"/>
      <c r="D1241" s="23"/>
      <c r="E1241" s="30"/>
      <c r="F1241" s="30"/>
      <c r="G1241" s="30"/>
      <c r="H1241" s="23"/>
      <c r="I1241" s="30"/>
      <c r="J1241" s="30"/>
      <c r="K1241" s="30"/>
      <c r="L1241" s="30"/>
      <c r="M1241" s="30"/>
      <c r="N1241" s="30"/>
      <c r="O1241" s="30"/>
    </row>
    <row r="1242" ht="14.25" customHeight="1">
      <c r="A1242" s="30"/>
      <c r="B1242" s="30"/>
      <c r="C1242" s="30"/>
      <c r="D1242" s="23"/>
      <c r="E1242" s="30"/>
      <c r="F1242" s="30"/>
      <c r="G1242" s="30"/>
      <c r="H1242" s="23"/>
      <c r="I1242" s="30"/>
      <c r="J1242" s="30"/>
      <c r="K1242" s="30"/>
      <c r="L1242" s="30"/>
      <c r="M1242" s="30"/>
      <c r="N1242" s="30"/>
      <c r="O1242" s="30"/>
    </row>
    <row r="1243" ht="14.25" customHeight="1">
      <c r="A1243" s="30"/>
      <c r="B1243" s="30"/>
      <c r="C1243" s="30"/>
      <c r="D1243" s="23"/>
      <c r="E1243" s="30"/>
      <c r="F1243" s="30"/>
      <c r="G1243" s="30"/>
      <c r="H1243" s="23"/>
      <c r="I1243" s="30"/>
      <c r="J1243" s="30"/>
      <c r="K1243" s="30"/>
      <c r="L1243" s="30"/>
      <c r="M1243" s="30"/>
      <c r="N1243" s="30"/>
      <c r="O1243" s="30"/>
    </row>
    <row r="1244" ht="14.25" customHeight="1">
      <c r="A1244" s="30"/>
      <c r="B1244" s="30"/>
      <c r="C1244" s="30"/>
      <c r="D1244" s="23"/>
      <c r="E1244" s="30"/>
      <c r="F1244" s="30"/>
      <c r="G1244" s="30"/>
      <c r="H1244" s="23"/>
      <c r="I1244" s="30"/>
      <c r="J1244" s="30"/>
      <c r="K1244" s="30"/>
      <c r="L1244" s="30"/>
      <c r="M1244" s="30"/>
      <c r="N1244" s="30"/>
      <c r="O1244" s="30"/>
    </row>
    <row r="1245" ht="14.25" customHeight="1">
      <c r="A1245" s="30"/>
      <c r="B1245" s="30"/>
      <c r="C1245" s="30"/>
      <c r="D1245" s="23"/>
      <c r="E1245" s="30"/>
      <c r="F1245" s="30"/>
      <c r="G1245" s="30"/>
      <c r="H1245" s="23"/>
      <c r="I1245" s="30"/>
      <c r="J1245" s="30"/>
      <c r="K1245" s="30"/>
      <c r="L1245" s="30"/>
      <c r="M1245" s="30"/>
      <c r="N1245" s="30"/>
      <c r="O1245" s="30"/>
    </row>
    <row r="1246" ht="14.25" customHeight="1">
      <c r="A1246" s="30"/>
      <c r="B1246" s="30"/>
      <c r="C1246" s="30"/>
      <c r="D1246" s="23"/>
      <c r="E1246" s="30"/>
      <c r="F1246" s="30"/>
      <c r="G1246" s="30"/>
      <c r="H1246" s="23"/>
      <c r="I1246" s="30"/>
      <c r="J1246" s="30"/>
      <c r="K1246" s="30"/>
      <c r="L1246" s="30"/>
      <c r="M1246" s="30"/>
      <c r="N1246" s="30"/>
      <c r="O1246" s="30"/>
    </row>
    <row r="1247" ht="14.25" customHeight="1">
      <c r="A1247" s="30"/>
      <c r="B1247" s="30"/>
      <c r="C1247" s="30"/>
      <c r="D1247" s="23"/>
      <c r="E1247" s="30"/>
      <c r="F1247" s="30"/>
      <c r="G1247" s="30"/>
      <c r="H1247" s="23"/>
      <c r="I1247" s="30"/>
      <c r="J1247" s="30"/>
      <c r="K1247" s="30"/>
      <c r="L1247" s="30"/>
      <c r="M1247" s="30"/>
      <c r="N1247" s="30"/>
      <c r="O1247" s="30"/>
    </row>
    <row r="1248" ht="14.25" customHeight="1">
      <c r="A1248" s="30"/>
      <c r="B1248" s="30"/>
      <c r="C1248" s="30"/>
      <c r="D1248" s="23"/>
      <c r="E1248" s="30"/>
      <c r="F1248" s="30"/>
      <c r="G1248" s="30"/>
      <c r="H1248" s="23"/>
      <c r="I1248" s="30"/>
      <c r="J1248" s="30"/>
      <c r="K1248" s="30"/>
      <c r="L1248" s="30"/>
      <c r="M1248" s="30"/>
      <c r="N1248" s="30"/>
      <c r="O1248" s="30"/>
    </row>
    <row r="1249" ht="14.25" customHeight="1">
      <c r="A1249" s="30"/>
      <c r="B1249" s="30"/>
      <c r="C1249" s="30"/>
      <c r="D1249" s="23"/>
      <c r="E1249" s="30"/>
      <c r="F1249" s="30"/>
      <c r="G1249" s="30"/>
      <c r="H1249" s="23"/>
      <c r="I1249" s="30"/>
      <c r="J1249" s="30"/>
      <c r="K1249" s="30"/>
      <c r="L1249" s="30"/>
      <c r="M1249" s="30"/>
      <c r="N1249" s="30"/>
      <c r="O1249" s="30"/>
    </row>
    <row r="1250" ht="14.25" customHeight="1">
      <c r="A1250" s="30"/>
      <c r="B1250" s="30"/>
      <c r="C1250" s="30"/>
      <c r="D1250" s="23"/>
      <c r="E1250" s="30"/>
      <c r="F1250" s="30"/>
      <c r="G1250" s="30"/>
      <c r="H1250" s="23"/>
      <c r="I1250" s="30"/>
      <c r="J1250" s="30"/>
      <c r="K1250" s="30"/>
      <c r="L1250" s="30"/>
      <c r="M1250" s="30"/>
      <c r="N1250" s="30"/>
      <c r="O1250" s="30"/>
    </row>
    <row r="1251" ht="14.25" customHeight="1">
      <c r="A1251" s="30"/>
      <c r="B1251" s="30"/>
      <c r="C1251" s="30"/>
      <c r="D1251" s="23"/>
      <c r="E1251" s="30"/>
      <c r="F1251" s="30"/>
      <c r="G1251" s="30"/>
      <c r="H1251" s="23"/>
      <c r="I1251" s="30"/>
      <c r="J1251" s="30"/>
      <c r="K1251" s="30"/>
      <c r="L1251" s="30"/>
      <c r="M1251" s="30"/>
      <c r="N1251" s="30"/>
      <c r="O1251" s="30"/>
    </row>
    <row r="1252" ht="14.25" customHeight="1">
      <c r="A1252" s="30"/>
      <c r="B1252" s="30"/>
      <c r="C1252" s="30"/>
      <c r="D1252" s="23"/>
      <c r="E1252" s="30"/>
      <c r="F1252" s="30"/>
      <c r="G1252" s="30"/>
      <c r="H1252" s="23"/>
      <c r="I1252" s="30"/>
      <c r="J1252" s="30"/>
      <c r="K1252" s="30"/>
      <c r="L1252" s="30"/>
      <c r="M1252" s="30"/>
      <c r="N1252" s="30"/>
      <c r="O1252" s="30"/>
    </row>
    <row r="1253" ht="14.25" customHeight="1">
      <c r="A1253" s="30"/>
      <c r="B1253" s="30"/>
      <c r="C1253" s="30"/>
      <c r="D1253" s="23"/>
      <c r="E1253" s="30"/>
      <c r="F1253" s="30"/>
      <c r="G1253" s="30"/>
      <c r="H1253" s="23"/>
      <c r="I1253" s="30"/>
      <c r="J1253" s="30"/>
      <c r="K1253" s="30"/>
      <c r="L1253" s="30"/>
      <c r="M1253" s="30"/>
      <c r="N1253" s="30"/>
      <c r="O1253" s="30"/>
    </row>
    <row r="1254" ht="14.25" customHeight="1">
      <c r="A1254" s="30"/>
      <c r="B1254" s="30"/>
      <c r="C1254" s="30"/>
      <c r="D1254" s="23"/>
      <c r="E1254" s="30"/>
      <c r="F1254" s="30"/>
      <c r="G1254" s="30"/>
      <c r="H1254" s="23"/>
      <c r="I1254" s="30"/>
      <c r="J1254" s="30"/>
      <c r="K1254" s="30"/>
      <c r="L1254" s="30"/>
      <c r="M1254" s="30"/>
      <c r="N1254" s="30"/>
      <c r="O1254" s="30"/>
    </row>
    <row r="1255" ht="14.25" customHeight="1">
      <c r="A1255" s="30"/>
      <c r="B1255" s="30"/>
      <c r="C1255" s="30"/>
      <c r="D1255" s="23"/>
      <c r="E1255" s="30"/>
      <c r="F1255" s="30"/>
      <c r="G1255" s="30"/>
      <c r="H1255" s="23"/>
      <c r="I1255" s="30"/>
      <c r="J1255" s="30"/>
      <c r="K1255" s="30"/>
      <c r="L1255" s="30"/>
      <c r="M1255" s="30"/>
      <c r="N1255" s="30"/>
      <c r="O1255" s="30"/>
    </row>
    <row r="1256" ht="14.25" customHeight="1">
      <c r="A1256" s="30"/>
      <c r="B1256" s="30"/>
      <c r="C1256" s="30"/>
      <c r="D1256" s="23"/>
      <c r="E1256" s="30"/>
      <c r="F1256" s="30"/>
      <c r="G1256" s="30"/>
      <c r="H1256" s="23"/>
      <c r="I1256" s="30"/>
      <c r="J1256" s="30"/>
      <c r="K1256" s="30"/>
      <c r="L1256" s="30"/>
      <c r="M1256" s="30"/>
      <c r="N1256" s="30"/>
      <c r="O1256" s="30"/>
    </row>
    <row r="1257" ht="14.25" customHeight="1">
      <c r="A1257" s="30"/>
      <c r="B1257" s="30"/>
      <c r="C1257" s="30"/>
      <c r="D1257" s="23"/>
      <c r="E1257" s="30"/>
      <c r="F1257" s="30"/>
      <c r="G1257" s="30"/>
      <c r="H1257" s="23"/>
      <c r="I1257" s="30"/>
      <c r="J1257" s="30"/>
      <c r="K1257" s="30"/>
      <c r="L1257" s="30"/>
      <c r="M1257" s="30"/>
      <c r="N1257" s="30"/>
      <c r="O1257" s="30"/>
    </row>
    <row r="1258" ht="14.25" customHeight="1">
      <c r="A1258" s="30"/>
      <c r="B1258" s="30"/>
      <c r="C1258" s="30"/>
      <c r="D1258" s="23"/>
      <c r="E1258" s="30"/>
      <c r="F1258" s="30"/>
      <c r="G1258" s="30"/>
      <c r="H1258" s="23"/>
      <c r="I1258" s="30"/>
      <c r="J1258" s="30"/>
      <c r="K1258" s="30"/>
      <c r="L1258" s="30"/>
      <c r="M1258" s="30"/>
      <c r="N1258" s="30"/>
      <c r="O1258" s="30"/>
    </row>
    <row r="1259" ht="14.25" customHeight="1">
      <c r="A1259" s="30"/>
      <c r="B1259" s="30"/>
      <c r="C1259" s="30"/>
      <c r="D1259" s="23"/>
      <c r="E1259" s="30"/>
      <c r="F1259" s="30"/>
      <c r="G1259" s="30"/>
      <c r="H1259" s="23"/>
      <c r="I1259" s="30"/>
      <c r="J1259" s="30"/>
      <c r="K1259" s="30"/>
      <c r="L1259" s="30"/>
      <c r="M1259" s="30"/>
      <c r="N1259" s="30"/>
      <c r="O1259" s="30"/>
    </row>
    <row r="1260" ht="14.25" customHeight="1">
      <c r="A1260" s="30"/>
      <c r="B1260" s="30"/>
      <c r="C1260" s="30"/>
      <c r="D1260" s="23"/>
      <c r="E1260" s="30"/>
      <c r="F1260" s="30"/>
      <c r="G1260" s="30"/>
      <c r="H1260" s="23"/>
      <c r="I1260" s="30"/>
      <c r="J1260" s="30"/>
      <c r="K1260" s="30"/>
      <c r="L1260" s="30"/>
      <c r="M1260" s="30"/>
      <c r="N1260" s="30"/>
      <c r="O1260" s="30"/>
    </row>
    <row r="1261" ht="14.25" customHeight="1">
      <c r="A1261" s="30"/>
      <c r="B1261" s="30"/>
      <c r="C1261" s="30"/>
      <c r="D1261" s="23"/>
      <c r="E1261" s="30"/>
      <c r="F1261" s="30"/>
      <c r="G1261" s="30"/>
      <c r="H1261" s="23"/>
      <c r="I1261" s="30"/>
      <c r="J1261" s="30"/>
      <c r="K1261" s="30"/>
      <c r="L1261" s="30"/>
      <c r="M1261" s="30"/>
      <c r="N1261" s="30"/>
      <c r="O1261" s="30"/>
    </row>
    <row r="1262" ht="14.25" customHeight="1">
      <c r="A1262" s="30"/>
      <c r="B1262" s="30"/>
      <c r="C1262" s="30"/>
      <c r="D1262" s="23"/>
      <c r="E1262" s="30"/>
      <c r="F1262" s="30"/>
      <c r="G1262" s="30"/>
      <c r="H1262" s="23"/>
      <c r="I1262" s="30"/>
      <c r="J1262" s="30"/>
      <c r="K1262" s="30"/>
      <c r="L1262" s="30"/>
      <c r="M1262" s="30"/>
      <c r="N1262" s="30"/>
      <c r="O1262" s="30"/>
    </row>
    <row r="1263" ht="14.25" customHeight="1">
      <c r="A1263" s="30"/>
      <c r="B1263" s="30"/>
      <c r="C1263" s="30"/>
      <c r="D1263" s="23"/>
      <c r="E1263" s="30"/>
      <c r="F1263" s="30"/>
      <c r="G1263" s="30"/>
      <c r="H1263" s="23"/>
      <c r="I1263" s="30"/>
      <c r="J1263" s="30"/>
      <c r="K1263" s="30"/>
      <c r="L1263" s="30"/>
      <c r="M1263" s="30"/>
      <c r="N1263" s="30"/>
      <c r="O1263" s="30"/>
    </row>
    <row r="1264" ht="14.25" customHeight="1">
      <c r="A1264" s="30"/>
      <c r="B1264" s="30"/>
      <c r="C1264" s="30"/>
      <c r="D1264" s="23"/>
      <c r="E1264" s="30"/>
      <c r="F1264" s="30"/>
      <c r="G1264" s="30"/>
      <c r="H1264" s="23"/>
      <c r="I1264" s="30"/>
      <c r="J1264" s="30"/>
      <c r="K1264" s="30"/>
      <c r="L1264" s="30"/>
      <c r="M1264" s="30"/>
      <c r="N1264" s="30"/>
      <c r="O1264" s="30"/>
    </row>
    <row r="1265" ht="14.25" customHeight="1">
      <c r="A1265" s="30"/>
      <c r="B1265" s="30"/>
      <c r="C1265" s="30"/>
      <c r="D1265" s="23"/>
      <c r="E1265" s="30"/>
      <c r="F1265" s="30"/>
      <c r="G1265" s="30"/>
      <c r="H1265" s="23"/>
      <c r="I1265" s="30"/>
      <c r="J1265" s="30"/>
      <c r="K1265" s="30"/>
      <c r="L1265" s="30"/>
      <c r="M1265" s="30"/>
      <c r="N1265" s="30"/>
      <c r="O1265" s="30"/>
    </row>
    <row r="1266" ht="14.25" customHeight="1">
      <c r="A1266" s="30"/>
      <c r="B1266" s="30"/>
      <c r="C1266" s="30"/>
      <c r="D1266" s="23"/>
      <c r="E1266" s="30"/>
      <c r="F1266" s="30"/>
      <c r="G1266" s="30"/>
      <c r="H1266" s="23"/>
      <c r="I1266" s="30"/>
      <c r="J1266" s="30"/>
      <c r="K1266" s="30"/>
      <c r="L1266" s="30"/>
      <c r="M1266" s="30"/>
      <c r="N1266" s="30"/>
      <c r="O1266" s="30"/>
    </row>
    <row r="1267" ht="14.25" customHeight="1">
      <c r="A1267" s="30"/>
      <c r="B1267" s="30"/>
      <c r="C1267" s="30"/>
      <c r="D1267" s="23"/>
      <c r="E1267" s="30"/>
      <c r="F1267" s="30"/>
      <c r="G1267" s="30"/>
      <c r="H1267" s="23"/>
      <c r="I1267" s="30"/>
      <c r="J1267" s="30"/>
      <c r="K1267" s="30"/>
      <c r="L1267" s="30"/>
      <c r="M1267" s="30"/>
      <c r="N1267" s="30"/>
      <c r="O1267" s="30"/>
    </row>
    <row r="1268" ht="14.25" customHeight="1">
      <c r="A1268" s="30"/>
      <c r="B1268" s="30"/>
      <c r="C1268" s="30"/>
      <c r="D1268" s="23"/>
      <c r="E1268" s="30"/>
      <c r="F1268" s="30"/>
      <c r="G1268" s="30"/>
      <c r="H1268" s="23"/>
      <c r="I1268" s="30"/>
      <c r="J1268" s="30"/>
      <c r="K1268" s="30"/>
      <c r="L1268" s="30"/>
      <c r="M1268" s="30"/>
      <c r="N1268" s="30"/>
      <c r="O1268" s="30"/>
    </row>
    <row r="1269" ht="14.25" customHeight="1">
      <c r="A1269" s="30"/>
      <c r="B1269" s="30"/>
      <c r="C1269" s="30"/>
      <c r="D1269" s="23"/>
      <c r="E1269" s="30"/>
      <c r="F1269" s="30"/>
      <c r="G1269" s="30"/>
      <c r="H1269" s="23"/>
      <c r="I1269" s="30"/>
      <c r="J1269" s="30"/>
      <c r="K1269" s="30"/>
      <c r="L1269" s="30"/>
      <c r="M1269" s="30"/>
      <c r="N1269" s="30"/>
      <c r="O1269" s="30"/>
    </row>
    <row r="1270" ht="14.25" customHeight="1">
      <c r="A1270" s="30"/>
      <c r="B1270" s="30"/>
      <c r="C1270" s="30"/>
      <c r="D1270" s="23"/>
      <c r="E1270" s="30"/>
      <c r="F1270" s="30"/>
      <c r="G1270" s="30"/>
      <c r="H1270" s="23"/>
      <c r="I1270" s="30"/>
      <c r="J1270" s="30"/>
      <c r="K1270" s="30"/>
      <c r="L1270" s="30"/>
      <c r="M1270" s="30"/>
      <c r="N1270" s="30"/>
      <c r="O1270" s="30"/>
    </row>
    <row r="1271" ht="14.25" customHeight="1">
      <c r="A1271" s="30"/>
      <c r="B1271" s="30"/>
      <c r="C1271" s="30"/>
      <c r="D1271" s="23"/>
      <c r="E1271" s="30"/>
      <c r="F1271" s="30"/>
      <c r="G1271" s="30"/>
      <c r="H1271" s="23"/>
      <c r="I1271" s="30"/>
      <c r="J1271" s="30"/>
      <c r="K1271" s="30"/>
      <c r="L1271" s="30"/>
      <c r="M1271" s="30"/>
      <c r="N1271" s="30"/>
      <c r="O1271" s="30"/>
    </row>
    <row r="1272" ht="14.25" customHeight="1">
      <c r="A1272" s="30"/>
      <c r="B1272" s="30"/>
      <c r="C1272" s="30"/>
      <c r="D1272" s="23"/>
      <c r="E1272" s="30"/>
      <c r="F1272" s="30"/>
      <c r="G1272" s="30"/>
      <c r="H1272" s="23"/>
      <c r="I1272" s="30"/>
      <c r="J1272" s="30"/>
      <c r="K1272" s="30"/>
      <c r="L1272" s="30"/>
      <c r="M1272" s="30"/>
      <c r="N1272" s="30"/>
      <c r="O1272" s="30"/>
    </row>
    <row r="1273" ht="14.25" customHeight="1">
      <c r="A1273" s="30"/>
      <c r="B1273" s="30"/>
      <c r="C1273" s="30"/>
      <c r="D1273" s="23"/>
      <c r="E1273" s="30"/>
      <c r="F1273" s="30"/>
      <c r="G1273" s="30"/>
      <c r="H1273" s="23"/>
      <c r="I1273" s="30"/>
      <c r="J1273" s="30"/>
      <c r="K1273" s="30"/>
      <c r="L1273" s="30"/>
      <c r="M1273" s="30"/>
      <c r="N1273" s="30"/>
      <c r="O1273" s="30"/>
    </row>
    <row r="1274" ht="14.25" customHeight="1">
      <c r="A1274" s="30"/>
      <c r="B1274" s="30"/>
      <c r="C1274" s="30"/>
      <c r="D1274" s="23"/>
      <c r="E1274" s="30"/>
      <c r="F1274" s="30"/>
      <c r="G1274" s="30"/>
      <c r="H1274" s="23"/>
      <c r="I1274" s="30"/>
      <c r="J1274" s="30"/>
      <c r="K1274" s="30"/>
      <c r="L1274" s="30"/>
      <c r="M1274" s="30"/>
      <c r="N1274" s="30"/>
      <c r="O1274" s="30"/>
    </row>
    <row r="1275" ht="14.25" customHeight="1">
      <c r="A1275" s="30"/>
      <c r="B1275" s="30"/>
      <c r="C1275" s="30"/>
      <c r="D1275" s="23"/>
      <c r="E1275" s="30"/>
      <c r="F1275" s="30"/>
      <c r="G1275" s="30"/>
      <c r="H1275" s="23"/>
      <c r="I1275" s="30"/>
      <c r="J1275" s="30"/>
      <c r="K1275" s="30"/>
      <c r="L1275" s="30"/>
      <c r="M1275" s="30"/>
      <c r="N1275" s="30"/>
      <c r="O1275" s="30"/>
    </row>
    <row r="1276" ht="14.25" customHeight="1">
      <c r="A1276" s="30"/>
      <c r="B1276" s="30"/>
      <c r="C1276" s="30"/>
      <c r="D1276" s="23"/>
      <c r="E1276" s="30"/>
      <c r="F1276" s="30"/>
      <c r="G1276" s="30"/>
      <c r="H1276" s="23"/>
      <c r="I1276" s="30"/>
      <c r="J1276" s="30"/>
      <c r="K1276" s="30"/>
      <c r="L1276" s="30"/>
      <c r="M1276" s="30"/>
      <c r="N1276" s="30"/>
      <c r="O1276" s="30"/>
    </row>
    <row r="1277" ht="14.25" customHeight="1">
      <c r="A1277" s="30"/>
      <c r="B1277" s="30"/>
      <c r="C1277" s="30"/>
      <c r="D1277" s="23"/>
      <c r="E1277" s="30"/>
      <c r="F1277" s="30"/>
      <c r="G1277" s="30"/>
      <c r="H1277" s="23"/>
      <c r="I1277" s="30"/>
      <c r="J1277" s="30"/>
      <c r="K1277" s="30"/>
      <c r="L1277" s="30"/>
      <c r="M1277" s="30"/>
      <c r="N1277" s="30"/>
      <c r="O1277" s="30"/>
    </row>
    <row r="1278" ht="14.25" customHeight="1">
      <c r="A1278" s="30"/>
      <c r="B1278" s="30"/>
      <c r="C1278" s="30"/>
      <c r="D1278" s="23"/>
      <c r="E1278" s="30"/>
      <c r="F1278" s="30"/>
      <c r="G1278" s="30"/>
      <c r="H1278" s="23"/>
      <c r="I1278" s="30"/>
      <c r="J1278" s="30"/>
      <c r="K1278" s="30"/>
      <c r="L1278" s="30"/>
      <c r="M1278" s="30"/>
      <c r="N1278" s="30"/>
      <c r="O1278" s="30"/>
    </row>
    <row r="1279" ht="14.25" customHeight="1">
      <c r="A1279" s="30"/>
      <c r="B1279" s="30"/>
      <c r="C1279" s="30"/>
      <c r="D1279" s="23"/>
      <c r="E1279" s="30"/>
      <c r="F1279" s="30"/>
      <c r="G1279" s="30"/>
      <c r="H1279" s="23"/>
      <c r="I1279" s="30"/>
      <c r="J1279" s="30"/>
      <c r="K1279" s="30"/>
      <c r="L1279" s="30"/>
      <c r="M1279" s="30"/>
      <c r="N1279" s="30"/>
      <c r="O1279" s="30"/>
    </row>
    <row r="1280" ht="14.25" customHeight="1">
      <c r="A1280" s="30"/>
      <c r="B1280" s="30"/>
      <c r="C1280" s="30"/>
      <c r="D1280" s="23"/>
      <c r="E1280" s="30"/>
      <c r="F1280" s="30"/>
      <c r="G1280" s="30"/>
      <c r="H1280" s="23"/>
      <c r="I1280" s="30"/>
      <c r="J1280" s="30"/>
      <c r="K1280" s="30"/>
      <c r="L1280" s="30"/>
      <c r="M1280" s="30"/>
      <c r="N1280" s="30"/>
      <c r="O1280" s="30"/>
    </row>
    <row r="1281" ht="14.25" customHeight="1">
      <c r="A1281" s="30"/>
      <c r="B1281" s="30"/>
      <c r="C1281" s="30"/>
      <c r="D1281" s="23"/>
      <c r="E1281" s="30"/>
      <c r="F1281" s="30"/>
      <c r="G1281" s="30"/>
      <c r="H1281" s="23"/>
      <c r="I1281" s="30"/>
      <c r="J1281" s="30"/>
      <c r="K1281" s="30"/>
      <c r="L1281" s="30"/>
      <c r="M1281" s="30"/>
      <c r="N1281" s="30"/>
      <c r="O1281" s="30"/>
    </row>
    <row r="1282" ht="14.25" customHeight="1">
      <c r="A1282" s="30"/>
      <c r="B1282" s="30"/>
      <c r="C1282" s="30"/>
      <c r="D1282" s="23"/>
      <c r="E1282" s="30"/>
      <c r="F1282" s="30"/>
      <c r="G1282" s="30"/>
      <c r="H1282" s="23"/>
      <c r="I1282" s="30"/>
      <c r="J1282" s="30"/>
      <c r="K1282" s="30"/>
      <c r="L1282" s="30"/>
      <c r="M1282" s="30"/>
      <c r="N1282" s="30"/>
      <c r="O1282" s="30"/>
    </row>
    <row r="1283" ht="14.25" customHeight="1">
      <c r="A1283" s="30"/>
      <c r="B1283" s="30"/>
      <c r="C1283" s="30"/>
      <c r="D1283" s="23"/>
      <c r="E1283" s="30"/>
      <c r="F1283" s="30"/>
      <c r="G1283" s="30"/>
      <c r="H1283" s="23"/>
      <c r="I1283" s="30"/>
      <c r="J1283" s="30"/>
      <c r="K1283" s="30"/>
      <c r="L1283" s="30"/>
      <c r="M1283" s="30"/>
      <c r="N1283" s="30"/>
      <c r="O1283" s="30"/>
    </row>
    <row r="1284" ht="14.25" customHeight="1">
      <c r="A1284" s="30"/>
      <c r="B1284" s="30"/>
      <c r="C1284" s="30"/>
      <c r="D1284" s="23"/>
      <c r="E1284" s="30"/>
      <c r="F1284" s="30"/>
      <c r="G1284" s="30"/>
      <c r="H1284" s="23"/>
      <c r="I1284" s="30"/>
      <c r="J1284" s="30"/>
      <c r="K1284" s="30"/>
      <c r="L1284" s="30"/>
      <c r="M1284" s="30"/>
      <c r="N1284" s="30"/>
      <c r="O1284" s="30"/>
    </row>
    <row r="1285" ht="14.25" customHeight="1">
      <c r="A1285" s="30"/>
      <c r="B1285" s="30"/>
      <c r="C1285" s="30"/>
      <c r="D1285" s="23"/>
      <c r="E1285" s="30"/>
      <c r="F1285" s="30"/>
      <c r="G1285" s="30"/>
      <c r="H1285" s="23"/>
      <c r="I1285" s="30"/>
      <c r="J1285" s="30"/>
      <c r="K1285" s="30"/>
      <c r="L1285" s="30"/>
      <c r="M1285" s="30"/>
      <c r="N1285" s="30"/>
      <c r="O1285" s="30"/>
    </row>
    <row r="1286" ht="14.25" customHeight="1">
      <c r="A1286" s="30"/>
      <c r="B1286" s="30"/>
      <c r="C1286" s="30"/>
      <c r="D1286" s="23"/>
      <c r="E1286" s="30"/>
      <c r="F1286" s="30"/>
      <c r="G1286" s="30"/>
      <c r="H1286" s="23"/>
      <c r="I1286" s="30"/>
      <c r="J1286" s="30"/>
      <c r="K1286" s="30"/>
      <c r="L1286" s="30"/>
      <c r="M1286" s="30"/>
      <c r="N1286" s="30"/>
      <c r="O1286" s="30"/>
    </row>
    <row r="1287" ht="14.25" customHeight="1">
      <c r="A1287" s="30"/>
      <c r="B1287" s="30"/>
      <c r="C1287" s="30"/>
      <c r="D1287" s="23"/>
      <c r="E1287" s="30"/>
      <c r="F1287" s="30"/>
      <c r="G1287" s="30"/>
      <c r="H1287" s="23"/>
      <c r="I1287" s="30"/>
      <c r="J1287" s="30"/>
      <c r="K1287" s="30"/>
      <c r="L1287" s="30"/>
      <c r="M1287" s="30"/>
      <c r="N1287" s="30"/>
      <c r="O1287" s="30"/>
    </row>
    <row r="1288" ht="14.25" customHeight="1">
      <c r="A1288" s="30"/>
      <c r="B1288" s="30"/>
      <c r="C1288" s="30"/>
      <c r="D1288" s="23"/>
      <c r="E1288" s="30"/>
      <c r="F1288" s="30"/>
      <c r="G1288" s="30"/>
      <c r="H1288" s="23"/>
      <c r="I1288" s="30"/>
      <c r="J1288" s="30"/>
      <c r="K1288" s="30"/>
      <c r="L1288" s="30"/>
      <c r="M1288" s="30"/>
      <c r="N1288" s="30"/>
      <c r="O1288" s="30"/>
    </row>
    <row r="1289" ht="14.25" customHeight="1">
      <c r="A1289" s="30"/>
      <c r="B1289" s="30"/>
      <c r="C1289" s="30"/>
      <c r="D1289" s="23"/>
      <c r="E1289" s="30"/>
      <c r="F1289" s="30"/>
      <c r="G1289" s="30"/>
      <c r="H1289" s="23"/>
      <c r="I1289" s="30"/>
      <c r="J1289" s="30"/>
      <c r="K1289" s="30"/>
      <c r="L1289" s="30"/>
      <c r="M1289" s="30"/>
      <c r="N1289" s="30"/>
      <c r="O1289" s="30"/>
    </row>
    <row r="1290" ht="14.25" customHeight="1">
      <c r="A1290" s="30"/>
      <c r="B1290" s="30"/>
      <c r="C1290" s="30"/>
      <c r="D1290" s="23"/>
      <c r="E1290" s="30"/>
      <c r="F1290" s="30"/>
      <c r="G1290" s="30"/>
      <c r="H1290" s="23"/>
      <c r="I1290" s="30"/>
      <c r="J1290" s="30"/>
      <c r="K1290" s="30"/>
      <c r="L1290" s="30"/>
      <c r="M1290" s="30"/>
      <c r="N1290" s="30"/>
      <c r="O1290" s="30"/>
    </row>
    <row r="1291" ht="14.25" customHeight="1">
      <c r="A1291" s="30"/>
      <c r="B1291" s="30"/>
      <c r="C1291" s="30"/>
      <c r="D1291" s="23"/>
      <c r="E1291" s="30"/>
      <c r="F1291" s="30"/>
      <c r="G1291" s="30"/>
      <c r="H1291" s="23"/>
      <c r="I1291" s="30"/>
      <c r="J1291" s="30"/>
      <c r="K1291" s="30"/>
      <c r="L1291" s="30"/>
      <c r="M1291" s="30"/>
      <c r="N1291" s="30"/>
      <c r="O1291" s="30"/>
    </row>
    <row r="1292" ht="14.25" customHeight="1">
      <c r="A1292" s="30"/>
      <c r="B1292" s="30"/>
      <c r="C1292" s="30"/>
      <c r="D1292" s="23"/>
      <c r="E1292" s="30"/>
      <c r="F1292" s="30"/>
      <c r="G1292" s="30"/>
      <c r="H1292" s="23"/>
      <c r="I1292" s="30"/>
      <c r="J1292" s="30"/>
      <c r="K1292" s="30"/>
      <c r="L1292" s="30"/>
      <c r="M1292" s="30"/>
      <c r="N1292" s="30"/>
      <c r="O1292" s="30"/>
    </row>
    <row r="1293" ht="14.25" customHeight="1">
      <c r="A1293" s="30"/>
      <c r="B1293" s="30"/>
      <c r="C1293" s="30"/>
      <c r="D1293" s="23"/>
      <c r="E1293" s="30"/>
      <c r="F1293" s="30"/>
      <c r="G1293" s="30"/>
      <c r="H1293" s="23"/>
      <c r="I1293" s="30"/>
      <c r="J1293" s="30"/>
      <c r="K1293" s="30"/>
      <c r="L1293" s="30"/>
      <c r="M1293" s="30"/>
      <c r="N1293" s="30"/>
      <c r="O1293" s="30"/>
    </row>
    <row r="1294" ht="14.25" customHeight="1">
      <c r="A1294" s="30"/>
      <c r="B1294" s="30"/>
      <c r="C1294" s="30"/>
      <c r="D1294" s="23"/>
      <c r="E1294" s="30"/>
      <c r="F1294" s="30"/>
      <c r="G1294" s="30"/>
      <c r="H1294" s="23"/>
      <c r="I1294" s="30"/>
      <c r="J1294" s="30"/>
      <c r="K1294" s="30"/>
      <c r="L1294" s="30"/>
      <c r="M1294" s="30"/>
      <c r="N1294" s="30"/>
      <c r="O1294" s="30"/>
    </row>
    <row r="1295" ht="14.25" customHeight="1">
      <c r="A1295" s="30"/>
      <c r="B1295" s="30"/>
      <c r="C1295" s="30"/>
      <c r="D1295" s="23"/>
      <c r="E1295" s="30"/>
      <c r="F1295" s="30"/>
      <c r="G1295" s="30"/>
      <c r="H1295" s="23"/>
      <c r="I1295" s="30"/>
      <c r="J1295" s="30"/>
      <c r="K1295" s="30"/>
      <c r="L1295" s="30"/>
      <c r="M1295" s="30"/>
      <c r="N1295" s="30"/>
      <c r="O1295" s="30"/>
    </row>
    <row r="1296" ht="14.25" customHeight="1">
      <c r="A1296" s="30"/>
      <c r="B1296" s="30"/>
      <c r="C1296" s="30"/>
      <c r="D1296" s="23"/>
      <c r="E1296" s="30"/>
      <c r="F1296" s="30"/>
      <c r="G1296" s="30"/>
      <c r="H1296" s="23"/>
      <c r="I1296" s="30"/>
      <c r="J1296" s="30"/>
      <c r="K1296" s="30"/>
      <c r="L1296" s="30"/>
      <c r="M1296" s="30"/>
      <c r="N1296" s="30"/>
      <c r="O1296" s="30"/>
    </row>
    <row r="1297" ht="14.25" customHeight="1">
      <c r="A1297" s="30"/>
      <c r="B1297" s="30"/>
      <c r="C1297" s="30"/>
      <c r="D1297" s="23"/>
      <c r="E1297" s="30"/>
      <c r="F1297" s="30"/>
      <c r="G1297" s="30"/>
      <c r="H1297" s="23"/>
      <c r="I1297" s="30"/>
      <c r="J1297" s="30"/>
      <c r="K1297" s="30"/>
      <c r="L1297" s="30"/>
      <c r="M1297" s="30"/>
      <c r="N1297" s="30"/>
      <c r="O1297" s="30"/>
    </row>
    <row r="1298" ht="14.25" customHeight="1">
      <c r="A1298" s="30"/>
      <c r="B1298" s="30"/>
      <c r="C1298" s="30"/>
      <c r="D1298" s="23"/>
      <c r="E1298" s="30"/>
      <c r="F1298" s="30"/>
      <c r="G1298" s="30"/>
      <c r="H1298" s="23"/>
      <c r="I1298" s="30"/>
      <c r="J1298" s="30"/>
      <c r="K1298" s="30"/>
      <c r="L1298" s="30"/>
      <c r="M1298" s="30"/>
      <c r="N1298" s="30"/>
      <c r="O1298" s="30"/>
    </row>
    <row r="1299" ht="14.25" customHeight="1">
      <c r="A1299" s="30"/>
      <c r="B1299" s="30"/>
      <c r="C1299" s="30"/>
      <c r="D1299" s="23"/>
      <c r="E1299" s="30"/>
      <c r="F1299" s="30"/>
      <c r="G1299" s="30"/>
      <c r="H1299" s="23"/>
      <c r="I1299" s="30"/>
      <c r="J1299" s="30"/>
      <c r="K1299" s="30"/>
      <c r="L1299" s="30"/>
      <c r="M1299" s="30"/>
      <c r="N1299" s="30"/>
      <c r="O1299" s="30"/>
    </row>
    <row r="1300" ht="14.25" customHeight="1">
      <c r="A1300" s="30"/>
      <c r="B1300" s="30"/>
      <c r="C1300" s="30"/>
      <c r="D1300" s="23"/>
      <c r="E1300" s="30"/>
      <c r="F1300" s="30"/>
      <c r="G1300" s="30"/>
      <c r="H1300" s="23"/>
      <c r="I1300" s="30"/>
      <c r="J1300" s="30"/>
      <c r="K1300" s="30"/>
      <c r="L1300" s="30"/>
      <c r="M1300" s="30"/>
      <c r="N1300" s="30"/>
      <c r="O1300" s="30"/>
    </row>
    <row r="1301" ht="14.25" customHeight="1">
      <c r="A1301" s="30"/>
      <c r="B1301" s="30"/>
      <c r="C1301" s="30"/>
      <c r="D1301" s="23"/>
      <c r="E1301" s="30"/>
      <c r="F1301" s="30"/>
      <c r="G1301" s="30"/>
      <c r="H1301" s="23"/>
      <c r="I1301" s="30"/>
      <c r="J1301" s="30"/>
      <c r="K1301" s="30"/>
      <c r="L1301" s="30"/>
      <c r="M1301" s="30"/>
      <c r="N1301" s="30"/>
      <c r="O1301" s="30"/>
    </row>
    <row r="1302" ht="14.25" customHeight="1">
      <c r="A1302" s="30"/>
      <c r="B1302" s="30"/>
      <c r="C1302" s="30"/>
      <c r="D1302" s="23"/>
      <c r="E1302" s="30"/>
      <c r="F1302" s="30"/>
      <c r="G1302" s="30"/>
      <c r="H1302" s="23"/>
      <c r="I1302" s="30"/>
      <c r="J1302" s="30"/>
      <c r="K1302" s="30"/>
      <c r="L1302" s="30"/>
      <c r="M1302" s="30"/>
      <c r="N1302" s="30"/>
      <c r="O1302" s="30"/>
    </row>
    <row r="1303" ht="14.25" customHeight="1">
      <c r="A1303" s="30"/>
      <c r="B1303" s="30"/>
      <c r="C1303" s="30"/>
      <c r="D1303" s="23"/>
      <c r="E1303" s="30"/>
      <c r="F1303" s="30"/>
      <c r="G1303" s="30"/>
      <c r="H1303" s="23"/>
      <c r="I1303" s="30"/>
      <c r="J1303" s="30"/>
      <c r="K1303" s="30"/>
      <c r="L1303" s="30"/>
      <c r="M1303" s="30"/>
      <c r="N1303" s="30"/>
      <c r="O1303" s="30"/>
    </row>
    <row r="1304" ht="14.25" customHeight="1">
      <c r="A1304" s="30"/>
      <c r="B1304" s="30"/>
      <c r="C1304" s="30"/>
      <c r="D1304" s="23"/>
      <c r="E1304" s="30"/>
      <c r="F1304" s="30"/>
      <c r="G1304" s="30"/>
      <c r="H1304" s="23"/>
      <c r="I1304" s="30"/>
      <c r="J1304" s="30"/>
      <c r="K1304" s="30"/>
      <c r="L1304" s="30"/>
      <c r="M1304" s="30"/>
      <c r="N1304" s="30"/>
      <c r="O1304" s="30"/>
    </row>
    <row r="1305" ht="14.25" customHeight="1">
      <c r="A1305" s="30"/>
      <c r="B1305" s="30"/>
      <c r="C1305" s="30"/>
      <c r="D1305" s="23"/>
      <c r="E1305" s="30"/>
      <c r="F1305" s="30"/>
      <c r="G1305" s="30"/>
      <c r="H1305" s="23"/>
      <c r="I1305" s="30"/>
      <c r="J1305" s="30"/>
      <c r="K1305" s="30"/>
      <c r="L1305" s="30"/>
      <c r="M1305" s="30"/>
      <c r="N1305" s="30"/>
      <c r="O1305" s="30"/>
    </row>
    <row r="1306" ht="14.25" customHeight="1">
      <c r="A1306" s="30"/>
      <c r="B1306" s="30"/>
      <c r="C1306" s="30"/>
      <c r="D1306" s="23"/>
      <c r="E1306" s="30"/>
      <c r="F1306" s="30"/>
      <c r="G1306" s="30"/>
      <c r="H1306" s="23"/>
      <c r="I1306" s="30"/>
      <c r="J1306" s="30"/>
      <c r="K1306" s="30"/>
      <c r="L1306" s="30"/>
      <c r="M1306" s="30"/>
      <c r="N1306" s="30"/>
      <c r="O1306" s="30"/>
    </row>
    <row r="1307" ht="14.25" customHeight="1">
      <c r="A1307" s="30"/>
      <c r="B1307" s="30"/>
      <c r="C1307" s="30"/>
      <c r="D1307" s="23"/>
      <c r="E1307" s="30"/>
      <c r="F1307" s="30"/>
      <c r="G1307" s="30"/>
      <c r="H1307" s="23"/>
      <c r="I1307" s="30"/>
      <c r="J1307" s="30"/>
      <c r="K1307" s="30"/>
      <c r="L1307" s="30"/>
      <c r="M1307" s="30"/>
      <c r="N1307" s="30"/>
      <c r="O1307" s="30"/>
    </row>
    <row r="1308" ht="14.25" customHeight="1">
      <c r="A1308" s="30"/>
      <c r="B1308" s="30"/>
      <c r="C1308" s="30"/>
      <c r="D1308" s="23"/>
      <c r="E1308" s="30"/>
      <c r="F1308" s="30"/>
      <c r="G1308" s="30"/>
      <c r="H1308" s="23"/>
      <c r="I1308" s="30"/>
      <c r="J1308" s="30"/>
      <c r="K1308" s="30"/>
      <c r="L1308" s="30"/>
      <c r="M1308" s="30"/>
      <c r="N1308" s="30"/>
      <c r="O1308" s="30"/>
    </row>
    <row r="1309" ht="14.25" customHeight="1">
      <c r="A1309" s="30"/>
      <c r="B1309" s="30"/>
      <c r="C1309" s="30"/>
      <c r="D1309" s="23"/>
      <c r="E1309" s="30"/>
      <c r="F1309" s="30"/>
      <c r="G1309" s="30"/>
      <c r="H1309" s="23"/>
      <c r="I1309" s="30"/>
      <c r="J1309" s="30"/>
      <c r="K1309" s="30"/>
      <c r="L1309" s="30"/>
      <c r="M1309" s="30"/>
      <c r="N1309" s="30"/>
      <c r="O1309" s="30"/>
    </row>
    <row r="1310" ht="14.25" customHeight="1">
      <c r="A1310" s="30"/>
      <c r="B1310" s="30"/>
      <c r="C1310" s="30"/>
      <c r="D1310" s="23"/>
      <c r="E1310" s="30"/>
      <c r="F1310" s="30"/>
      <c r="G1310" s="30"/>
      <c r="H1310" s="23"/>
      <c r="I1310" s="30"/>
      <c r="J1310" s="30"/>
      <c r="K1310" s="30"/>
      <c r="L1310" s="30"/>
      <c r="M1310" s="30"/>
      <c r="N1310" s="30"/>
      <c r="O1310" s="30"/>
    </row>
    <row r="1311" ht="14.25" customHeight="1">
      <c r="A1311" s="30"/>
      <c r="B1311" s="30"/>
      <c r="C1311" s="30"/>
      <c r="D1311" s="23"/>
      <c r="E1311" s="30"/>
      <c r="F1311" s="30"/>
      <c r="G1311" s="30"/>
      <c r="H1311" s="23"/>
      <c r="I1311" s="30"/>
      <c r="J1311" s="30"/>
      <c r="K1311" s="30"/>
      <c r="L1311" s="30"/>
      <c r="M1311" s="30"/>
      <c r="N1311" s="30"/>
      <c r="O1311" s="30"/>
    </row>
    <row r="1312" ht="14.25" customHeight="1">
      <c r="A1312" s="30"/>
      <c r="B1312" s="30"/>
      <c r="C1312" s="30"/>
      <c r="D1312" s="23"/>
      <c r="E1312" s="30"/>
      <c r="F1312" s="30"/>
      <c r="G1312" s="30"/>
      <c r="H1312" s="23"/>
      <c r="I1312" s="30"/>
      <c r="J1312" s="30"/>
      <c r="K1312" s="30"/>
      <c r="L1312" s="30"/>
      <c r="M1312" s="30"/>
      <c r="N1312" s="30"/>
      <c r="O1312" s="30"/>
    </row>
    <row r="1313" ht="14.25" customHeight="1">
      <c r="A1313" s="30"/>
      <c r="B1313" s="30"/>
      <c r="C1313" s="30"/>
      <c r="D1313" s="23"/>
      <c r="E1313" s="30"/>
      <c r="F1313" s="30"/>
      <c r="G1313" s="30"/>
      <c r="H1313" s="23"/>
      <c r="I1313" s="30"/>
      <c r="J1313" s="30"/>
      <c r="K1313" s="30"/>
      <c r="L1313" s="30"/>
      <c r="M1313" s="30"/>
      <c r="N1313" s="30"/>
      <c r="O1313" s="30"/>
    </row>
    <row r="1314" ht="14.25" customHeight="1">
      <c r="A1314" s="30"/>
      <c r="B1314" s="30"/>
      <c r="C1314" s="30"/>
      <c r="D1314" s="23"/>
      <c r="E1314" s="30"/>
      <c r="F1314" s="30"/>
      <c r="G1314" s="30"/>
      <c r="H1314" s="23"/>
      <c r="I1314" s="30"/>
      <c r="J1314" s="30"/>
      <c r="K1314" s="30"/>
      <c r="L1314" s="30"/>
      <c r="M1314" s="30"/>
      <c r="N1314" s="30"/>
      <c r="O1314" s="30"/>
    </row>
    <row r="1315" ht="14.25" customHeight="1">
      <c r="A1315" s="30"/>
      <c r="B1315" s="30"/>
      <c r="C1315" s="30"/>
      <c r="D1315" s="23"/>
      <c r="E1315" s="30"/>
      <c r="F1315" s="30"/>
      <c r="G1315" s="30"/>
      <c r="H1315" s="23"/>
      <c r="I1315" s="30"/>
      <c r="J1315" s="30"/>
      <c r="K1315" s="30"/>
      <c r="L1315" s="30"/>
      <c r="M1315" s="30"/>
      <c r="N1315" s="30"/>
      <c r="O1315" s="30"/>
    </row>
    <row r="1316" ht="14.25" customHeight="1">
      <c r="A1316" s="30"/>
      <c r="B1316" s="30"/>
      <c r="C1316" s="30"/>
      <c r="D1316" s="23"/>
      <c r="E1316" s="30"/>
      <c r="F1316" s="30"/>
      <c r="G1316" s="30"/>
      <c r="H1316" s="23"/>
      <c r="I1316" s="30"/>
      <c r="J1316" s="30"/>
      <c r="K1316" s="30"/>
      <c r="L1316" s="30"/>
      <c r="M1316" s="30"/>
      <c r="N1316" s="30"/>
      <c r="O1316" s="30"/>
    </row>
    <row r="1317" ht="14.25" customHeight="1">
      <c r="A1317" s="30"/>
      <c r="B1317" s="30"/>
      <c r="C1317" s="30"/>
      <c r="D1317" s="23"/>
      <c r="E1317" s="30"/>
      <c r="F1317" s="30"/>
      <c r="G1317" s="30"/>
      <c r="H1317" s="23"/>
      <c r="I1317" s="30"/>
      <c r="J1317" s="30"/>
      <c r="K1317" s="30"/>
      <c r="L1317" s="30"/>
      <c r="M1317" s="30"/>
      <c r="N1317" s="30"/>
      <c r="O1317" s="30"/>
    </row>
    <row r="1318" ht="14.25" customHeight="1">
      <c r="A1318" s="30"/>
      <c r="B1318" s="30"/>
      <c r="C1318" s="30"/>
      <c r="D1318" s="23"/>
      <c r="E1318" s="30"/>
      <c r="F1318" s="30"/>
      <c r="G1318" s="30"/>
      <c r="H1318" s="23"/>
      <c r="I1318" s="30"/>
      <c r="J1318" s="30"/>
      <c r="K1318" s="30"/>
      <c r="L1318" s="30"/>
      <c r="M1318" s="30"/>
      <c r="N1318" s="30"/>
      <c r="O1318" s="30"/>
    </row>
    <row r="1319" ht="14.25" customHeight="1">
      <c r="A1319" s="30"/>
      <c r="B1319" s="30"/>
      <c r="C1319" s="30"/>
      <c r="D1319" s="23"/>
      <c r="E1319" s="30"/>
      <c r="F1319" s="30"/>
      <c r="G1319" s="30"/>
      <c r="H1319" s="23"/>
      <c r="I1319" s="30"/>
      <c r="J1319" s="30"/>
      <c r="K1319" s="30"/>
      <c r="L1319" s="30"/>
      <c r="M1319" s="30"/>
      <c r="N1319" s="30"/>
      <c r="O1319" s="30"/>
    </row>
    <row r="1320" ht="14.25" customHeight="1">
      <c r="A1320" s="30"/>
      <c r="B1320" s="30"/>
      <c r="C1320" s="30"/>
      <c r="D1320" s="23"/>
      <c r="E1320" s="30"/>
      <c r="F1320" s="30"/>
      <c r="G1320" s="30"/>
      <c r="H1320" s="23"/>
      <c r="I1320" s="30"/>
      <c r="J1320" s="30"/>
      <c r="K1320" s="30"/>
      <c r="L1320" s="30"/>
      <c r="M1320" s="30"/>
      <c r="N1320" s="30"/>
      <c r="O1320" s="30"/>
    </row>
    <row r="1321" ht="14.25" customHeight="1">
      <c r="A1321" s="30"/>
      <c r="B1321" s="30"/>
      <c r="C1321" s="30"/>
      <c r="D1321" s="23"/>
      <c r="E1321" s="30"/>
      <c r="F1321" s="30"/>
      <c r="G1321" s="30"/>
      <c r="H1321" s="23"/>
      <c r="I1321" s="30"/>
      <c r="J1321" s="30"/>
      <c r="K1321" s="30"/>
      <c r="L1321" s="30"/>
      <c r="M1321" s="30"/>
      <c r="N1321" s="30"/>
      <c r="O1321" s="30"/>
    </row>
    <row r="1322" ht="14.25" customHeight="1">
      <c r="A1322" s="30"/>
      <c r="B1322" s="30"/>
      <c r="C1322" s="30"/>
      <c r="D1322" s="23"/>
      <c r="E1322" s="30"/>
      <c r="F1322" s="30"/>
      <c r="G1322" s="30"/>
      <c r="H1322" s="23"/>
      <c r="I1322" s="30"/>
      <c r="J1322" s="30"/>
      <c r="K1322" s="30"/>
      <c r="L1322" s="30"/>
      <c r="M1322" s="30"/>
      <c r="N1322" s="30"/>
      <c r="O1322" s="30"/>
    </row>
    <row r="1323" ht="14.25" customHeight="1">
      <c r="A1323" s="30"/>
      <c r="B1323" s="30"/>
      <c r="C1323" s="30"/>
      <c r="D1323" s="23"/>
      <c r="E1323" s="30"/>
      <c r="F1323" s="30"/>
      <c r="G1323" s="30"/>
      <c r="H1323" s="23"/>
      <c r="I1323" s="30"/>
      <c r="J1323" s="30"/>
      <c r="K1323" s="30"/>
      <c r="L1323" s="30"/>
      <c r="M1323" s="30"/>
      <c r="N1323" s="30"/>
      <c r="O1323" s="30"/>
    </row>
    <row r="1324" ht="14.25" customHeight="1">
      <c r="A1324" s="30"/>
      <c r="B1324" s="30"/>
      <c r="C1324" s="30"/>
      <c r="D1324" s="23"/>
      <c r="E1324" s="30"/>
      <c r="F1324" s="30"/>
      <c r="G1324" s="30"/>
      <c r="H1324" s="23"/>
      <c r="I1324" s="30"/>
      <c r="J1324" s="30"/>
      <c r="K1324" s="30"/>
      <c r="L1324" s="30"/>
      <c r="M1324" s="30"/>
      <c r="N1324" s="30"/>
      <c r="O1324" s="30"/>
    </row>
    <row r="1325" ht="14.25" customHeight="1">
      <c r="A1325" s="30"/>
      <c r="B1325" s="30"/>
      <c r="C1325" s="30"/>
      <c r="D1325" s="23"/>
      <c r="E1325" s="30"/>
      <c r="F1325" s="30"/>
      <c r="G1325" s="30"/>
      <c r="H1325" s="23"/>
      <c r="I1325" s="30"/>
      <c r="J1325" s="30"/>
      <c r="K1325" s="30"/>
      <c r="L1325" s="30"/>
      <c r="M1325" s="30"/>
      <c r="N1325" s="30"/>
      <c r="O1325" s="30"/>
    </row>
    <row r="1326" ht="14.25" customHeight="1">
      <c r="A1326" s="30"/>
      <c r="B1326" s="30"/>
      <c r="C1326" s="30"/>
      <c r="D1326" s="23"/>
      <c r="E1326" s="30"/>
      <c r="F1326" s="30"/>
      <c r="G1326" s="30"/>
      <c r="H1326" s="23"/>
      <c r="I1326" s="30"/>
      <c r="J1326" s="30"/>
      <c r="K1326" s="30"/>
      <c r="L1326" s="30"/>
      <c r="M1326" s="30"/>
      <c r="N1326" s="30"/>
      <c r="O1326" s="30"/>
    </row>
    <row r="1327" ht="14.25" customHeight="1">
      <c r="A1327" s="30"/>
      <c r="B1327" s="30"/>
      <c r="C1327" s="30"/>
      <c r="D1327" s="23"/>
      <c r="E1327" s="30"/>
      <c r="F1327" s="30"/>
      <c r="G1327" s="30"/>
      <c r="H1327" s="23"/>
      <c r="I1327" s="30"/>
      <c r="J1327" s="30"/>
      <c r="K1327" s="30"/>
      <c r="L1327" s="30"/>
      <c r="M1327" s="30"/>
      <c r="N1327" s="30"/>
      <c r="O1327" s="30"/>
    </row>
    <row r="1328" ht="14.25" customHeight="1">
      <c r="A1328" s="30"/>
      <c r="B1328" s="30"/>
      <c r="C1328" s="30"/>
      <c r="D1328" s="23"/>
      <c r="E1328" s="30"/>
      <c r="F1328" s="30"/>
      <c r="G1328" s="30"/>
      <c r="H1328" s="23"/>
      <c r="I1328" s="30"/>
      <c r="J1328" s="30"/>
      <c r="K1328" s="30"/>
      <c r="L1328" s="30"/>
      <c r="M1328" s="30"/>
      <c r="N1328" s="30"/>
      <c r="O1328" s="30"/>
    </row>
    <row r="1329" ht="14.25" customHeight="1">
      <c r="A1329" s="30"/>
      <c r="B1329" s="30"/>
      <c r="C1329" s="30"/>
      <c r="D1329" s="23"/>
      <c r="E1329" s="30"/>
      <c r="F1329" s="30"/>
      <c r="G1329" s="30"/>
      <c r="H1329" s="23"/>
      <c r="I1329" s="30"/>
      <c r="J1329" s="30"/>
      <c r="K1329" s="30"/>
      <c r="L1329" s="30"/>
      <c r="M1329" s="30"/>
      <c r="N1329" s="30"/>
      <c r="O1329" s="30"/>
    </row>
    <row r="1330" ht="14.25" customHeight="1">
      <c r="A1330" s="30"/>
      <c r="B1330" s="30"/>
      <c r="C1330" s="30"/>
      <c r="D1330" s="23"/>
      <c r="E1330" s="30"/>
      <c r="F1330" s="30"/>
      <c r="G1330" s="30"/>
      <c r="H1330" s="23"/>
      <c r="I1330" s="30"/>
      <c r="J1330" s="30"/>
      <c r="K1330" s="30"/>
      <c r="L1330" s="30"/>
      <c r="M1330" s="30"/>
      <c r="N1330" s="30"/>
      <c r="O1330" s="30"/>
    </row>
    <row r="1331" ht="14.25" customHeight="1">
      <c r="A1331" s="30"/>
      <c r="B1331" s="30"/>
      <c r="C1331" s="30"/>
      <c r="D1331" s="23"/>
      <c r="E1331" s="30"/>
      <c r="F1331" s="30"/>
      <c r="G1331" s="30"/>
      <c r="H1331" s="23"/>
      <c r="I1331" s="30"/>
      <c r="J1331" s="30"/>
      <c r="K1331" s="30"/>
      <c r="L1331" s="30"/>
      <c r="M1331" s="30"/>
      <c r="N1331" s="30"/>
      <c r="O1331" s="30"/>
    </row>
    <row r="1332" ht="14.25" customHeight="1">
      <c r="A1332" s="30"/>
      <c r="B1332" s="30"/>
      <c r="C1332" s="30"/>
      <c r="D1332" s="23"/>
      <c r="E1332" s="30"/>
      <c r="F1332" s="30"/>
      <c r="G1332" s="30"/>
      <c r="H1332" s="23"/>
      <c r="I1332" s="30"/>
      <c r="J1332" s="30"/>
      <c r="K1332" s="30"/>
      <c r="L1332" s="30"/>
      <c r="M1332" s="30"/>
      <c r="N1332" s="30"/>
      <c r="O1332" s="30"/>
    </row>
    <row r="1333" ht="14.25" customHeight="1">
      <c r="A1333" s="30"/>
      <c r="B1333" s="30"/>
      <c r="C1333" s="30"/>
      <c r="D1333" s="23"/>
      <c r="E1333" s="30"/>
      <c r="F1333" s="30"/>
      <c r="G1333" s="30"/>
      <c r="H1333" s="23"/>
      <c r="I1333" s="30"/>
      <c r="J1333" s="30"/>
      <c r="K1333" s="30"/>
      <c r="L1333" s="30"/>
      <c r="M1333" s="30"/>
      <c r="N1333" s="30"/>
      <c r="O1333" s="30"/>
    </row>
    <row r="1334" ht="14.25" customHeight="1">
      <c r="A1334" s="30"/>
      <c r="B1334" s="30"/>
      <c r="C1334" s="30"/>
      <c r="D1334" s="23"/>
      <c r="E1334" s="30"/>
      <c r="F1334" s="30"/>
      <c r="G1334" s="30"/>
      <c r="H1334" s="23"/>
      <c r="I1334" s="30"/>
      <c r="J1334" s="30"/>
      <c r="K1334" s="30"/>
      <c r="L1334" s="30"/>
      <c r="M1334" s="30"/>
      <c r="N1334" s="30"/>
      <c r="O1334" s="30"/>
    </row>
    <row r="1335" ht="14.25" customHeight="1">
      <c r="A1335" s="30"/>
      <c r="B1335" s="30"/>
      <c r="C1335" s="30"/>
      <c r="D1335" s="23"/>
      <c r="E1335" s="30"/>
      <c r="F1335" s="30"/>
      <c r="G1335" s="30"/>
      <c r="H1335" s="23"/>
      <c r="I1335" s="30"/>
      <c r="J1335" s="30"/>
      <c r="K1335" s="30"/>
      <c r="L1335" s="30"/>
      <c r="M1335" s="30"/>
      <c r="N1335" s="30"/>
      <c r="O1335" s="30"/>
    </row>
    <row r="1336" ht="14.25" customHeight="1">
      <c r="A1336" s="30"/>
      <c r="B1336" s="30"/>
      <c r="C1336" s="30"/>
      <c r="D1336" s="23"/>
      <c r="E1336" s="30"/>
      <c r="F1336" s="30"/>
      <c r="G1336" s="30"/>
      <c r="H1336" s="23"/>
      <c r="I1336" s="30"/>
      <c r="J1336" s="30"/>
      <c r="K1336" s="30"/>
      <c r="L1336" s="30"/>
      <c r="M1336" s="30"/>
      <c r="N1336" s="30"/>
      <c r="O1336" s="30"/>
    </row>
    <row r="1337" ht="14.25" customHeight="1">
      <c r="A1337" s="30"/>
      <c r="B1337" s="30"/>
      <c r="C1337" s="30"/>
      <c r="D1337" s="23"/>
      <c r="E1337" s="30"/>
      <c r="F1337" s="30"/>
      <c r="G1337" s="30"/>
      <c r="H1337" s="23"/>
      <c r="I1337" s="30"/>
      <c r="J1337" s="30"/>
      <c r="K1337" s="30"/>
      <c r="L1337" s="30"/>
      <c r="M1337" s="30"/>
      <c r="N1337" s="30"/>
      <c r="O1337" s="30"/>
    </row>
    <row r="1338" ht="14.25" customHeight="1">
      <c r="A1338" s="30"/>
      <c r="B1338" s="30"/>
      <c r="C1338" s="30"/>
      <c r="D1338" s="23"/>
      <c r="E1338" s="30"/>
      <c r="F1338" s="30"/>
      <c r="G1338" s="30"/>
      <c r="H1338" s="23"/>
      <c r="I1338" s="30"/>
      <c r="J1338" s="30"/>
      <c r="K1338" s="30"/>
      <c r="L1338" s="30"/>
      <c r="M1338" s="30"/>
      <c r="N1338" s="30"/>
      <c r="O1338" s="30"/>
    </row>
    <row r="1339" ht="14.25" customHeight="1">
      <c r="A1339" s="30"/>
      <c r="B1339" s="30"/>
      <c r="C1339" s="30"/>
      <c r="D1339" s="23"/>
      <c r="E1339" s="30"/>
      <c r="F1339" s="30"/>
      <c r="G1339" s="30"/>
      <c r="H1339" s="23"/>
      <c r="I1339" s="30"/>
      <c r="J1339" s="30"/>
      <c r="K1339" s="30"/>
      <c r="L1339" s="30"/>
      <c r="M1339" s="30"/>
      <c r="N1339" s="30"/>
      <c r="O1339" s="30"/>
    </row>
    <row r="1340" ht="14.25" customHeight="1">
      <c r="A1340" s="30"/>
      <c r="B1340" s="30"/>
      <c r="C1340" s="30"/>
      <c r="D1340" s="23"/>
      <c r="E1340" s="30"/>
      <c r="F1340" s="30"/>
      <c r="G1340" s="30"/>
      <c r="H1340" s="23"/>
      <c r="I1340" s="30"/>
      <c r="J1340" s="30"/>
      <c r="K1340" s="30"/>
      <c r="L1340" s="30"/>
      <c r="M1340" s="30"/>
      <c r="N1340" s="30"/>
      <c r="O1340" s="30"/>
    </row>
    <row r="1341" ht="14.25" customHeight="1">
      <c r="A1341" s="30"/>
      <c r="B1341" s="30"/>
      <c r="C1341" s="30"/>
      <c r="D1341" s="23"/>
      <c r="E1341" s="30"/>
      <c r="F1341" s="30"/>
      <c r="G1341" s="30"/>
      <c r="H1341" s="23"/>
      <c r="I1341" s="30"/>
      <c r="J1341" s="30"/>
      <c r="K1341" s="30"/>
      <c r="L1341" s="30"/>
      <c r="M1341" s="30"/>
      <c r="N1341" s="30"/>
      <c r="O1341" s="30"/>
    </row>
    <row r="1342" ht="14.25" customHeight="1">
      <c r="A1342" s="30"/>
      <c r="B1342" s="30"/>
      <c r="C1342" s="30"/>
      <c r="D1342" s="23"/>
      <c r="E1342" s="30"/>
      <c r="F1342" s="30"/>
      <c r="G1342" s="30"/>
      <c r="H1342" s="23"/>
      <c r="I1342" s="30"/>
      <c r="J1342" s="30"/>
      <c r="K1342" s="30"/>
      <c r="L1342" s="30"/>
      <c r="M1342" s="30"/>
      <c r="N1342" s="30"/>
      <c r="O1342" s="30"/>
    </row>
    <row r="1343" ht="14.25" customHeight="1">
      <c r="A1343" s="30"/>
      <c r="B1343" s="30"/>
      <c r="C1343" s="30"/>
      <c r="D1343" s="23"/>
      <c r="E1343" s="30"/>
      <c r="F1343" s="30"/>
      <c r="G1343" s="30"/>
      <c r="H1343" s="23"/>
      <c r="I1343" s="30"/>
      <c r="J1343" s="30"/>
      <c r="K1343" s="30"/>
      <c r="L1343" s="30"/>
      <c r="M1343" s="30"/>
      <c r="N1343" s="30"/>
      <c r="O1343" s="30"/>
    </row>
    <row r="1344" ht="14.25" customHeight="1">
      <c r="A1344" s="30"/>
      <c r="B1344" s="30"/>
      <c r="C1344" s="30"/>
      <c r="D1344" s="23"/>
      <c r="E1344" s="30"/>
      <c r="F1344" s="30"/>
      <c r="G1344" s="30"/>
      <c r="H1344" s="23"/>
      <c r="I1344" s="30"/>
      <c r="J1344" s="30"/>
      <c r="K1344" s="30"/>
      <c r="L1344" s="30"/>
      <c r="M1344" s="30"/>
      <c r="N1344" s="30"/>
      <c r="O1344" s="30"/>
    </row>
    <row r="1345" ht="14.25" customHeight="1">
      <c r="A1345" s="30"/>
      <c r="B1345" s="30"/>
      <c r="C1345" s="30"/>
      <c r="D1345" s="23"/>
      <c r="E1345" s="30"/>
      <c r="F1345" s="30"/>
      <c r="G1345" s="30"/>
      <c r="H1345" s="23"/>
      <c r="I1345" s="30"/>
      <c r="J1345" s="30"/>
      <c r="K1345" s="30"/>
      <c r="L1345" s="30"/>
      <c r="M1345" s="30"/>
      <c r="N1345" s="30"/>
      <c r="O1345" s="30"/>
    </row>
    <row r="1346" ht="14.25" customHeight="1">
      <c r="A1346" s="30"/>
      <c r="B1346" s="30"/>
      <c r="C1346" s="30"/>
      <c r="D1346" s="23"/>
      <c r="E1346" s="30"/>
      <c r="F1346" s="30"/>
      <c r="G1346" s="30"/>
      <c r="H1346" s="23"/>
      <c r="I1346" s="30"/>
      <c r="J1346" s="30"/>
      <c r="K1346" s="30"/>
      <c r="L1346" s="30"/>
      <c r="M1346" s="30"/>
      <c r="N1346" s="30"/>
      <c r="O1346" s="30"/>
    </row>
    <row r="1347" ht="14.25" customHeight="1">
      <c r="A1347" s="30"/>
      <c r="B1347" s="30"/>
      <c r="C1347" s="30"/>
      <c r="D1347" s="23"/>
      <c r="E1347" s="30"/>
      <c r="F1347" s="30"/>
      <c r="G1347" s="30"/>
      <c r="H1347" s="23"/>
      <c r="I1347" s="30"/>
      <c r="J1347" s="30"/>
      <c r="K1347" s="30"/>
      <c r="L1347" s="30"/>
      <c r="M1347" s="30"/>
      <c r="N1347" s="30"/>
      <c r="O1347" s="30"/>
    </row>
    <row r="1348" ht="14.25" customHeight="1">
      <c r="A1348" s="30"/>
      <c r="B1348" s="30"/>
      <c r="C1348" s="30"/>
      <c r="D1348" s="23"/>
      <c r="E1348" s="30"/>
      <c r="F1348" s="30"/>
      <c r="G1348" s="30"/>
      <c r="H1348" s="23"/>
      <c r="I1348" s="30"/>
      <c r="J1348" s="30"/>
      <c r="K1348" s="30"/>
      <c r="L1348" s="30"/>
      <c r="M1348" s="30"/>
      <c r="N1348" s="30"/>
      <c r="O1348" s="30"/>
    </row>
    <row r="1349" ht="14.25" customHeight="1">
      <c r="A1349" s="30"/>
      <c r="B1349" s="30"/>
      <c r="C1349" s="30"/>
      <c r="D1349" s="23"/>
      <c r="E1349" s="30"/>
      <c r="F1349" s="30"/>
      <c r="G1349" s="30"/>
      <c r="H1349" s="23"/>
      <c r="I1349" s="30"/>
      <c r="J1349" s="30"/>
      <c r="K1349" s="30"/>
      <c r="L1349" s="30"/>
      <c r="M1349" s="30"/>
      <c r="N1349" s="30"/>
      <c r="O1349" s="30"/>
    </row>
    <row r="1350" ht="14.25" customHeight="1">
      <c r="A1350" s="30"/>
      <c r="B1350" s="30"/>
      <c r="C1350" s="30"/>
      <c r="D1350" s="23"/>
      <c r="E1350" s="30"/>
      <c r="F1350" s="30"/>
      <c r="G1350" s="30"/>
      <c r="H1350" s="23"/>
      <c r="I1350" s="30"/>
      <c r="J1350" s="30"/>
      <c r="K1350" s="30"/>
      <c r="L1350" s="30"/>
      <c r="M1350" s="30"/>
      <c r="N1350" s="30"/>
      <c r="O1350" s="30"/>
    </row>
    <row r="1351" ht="14.25" customHeight="1">
      <c r="A1351" s="30"/>
      <c r="B1351" s="30"/>
      <c r="C1351" s="30"/>
      <c r="D1351" s="23"/>
      <c r="E1351" s="30"/>
      <c r="F1351" s="30"/>
      <c r="G1351" s="30"/>
      <c r="H1351" s="23"/>
      <c r="I1351" s="30"/>
      <c r="J1351" s="30"/>
      <c r="K1351" s="30"/>
      <c r="L1351" s="30"/>
      <c r="M1351" s="30"/>
      <c r="N1351" s="30"/>
      <c r="O1351" s="30"/>
    </row>
    <row r="1352" ht="14.25" customHeight="1">
      <c r="A1352" s="30"/>
      <c r="B1352" s="30"/>
      <c r="C1352" s="30"/>
      <c r="D1352" s="23"/>
      <c r="E1352" s="30"/>
      <c r="F1352" s="30"/>
      <c r="G1352" s="30"/>
      <c r="H1352" s="23"/>
      <c r="I1352" s="30"/>
      <c r="J1352" s="30"/>
      <c r="K1352" s="30"/>
      <c r="L1352" s="30"/>
      <c r="M1352" s="30"/>
      <c r="N1352" s="30"/>
      <c r="O1352" s="30"/>
    </row>
    <row r="1353" ht="14.25" customHeight="1">
      <c r="A1353" s="30"/>
      <c r="B1353" s="30"/>
      <c r="C1353" s="30"/>
      <c r="D1353" s="23"/>
      <c r="E1353" s="30"/>
      <c r="F1353" s="30"/>
      <c r="G1353" s="30"/>
      <c r="H1353" s="23"/>
      <c r="I1353" s="30"/>
      <c r="J1353" s="30"/>
      <c r="K1353" s="30"/>
      <c r="L1353" s="30"/>
      <c r="M1353" s="30"/>
      <c r="N1353" s="30"/>
      <c r="O1353" s="30"/>
    </row>
    <row r="1354" ht="14.25" customHeight="1">
      <c r="A1354" s="30"/>
      <c r="B1354" s="30"/>
      <c r="C1354" s="30"/>
      <c r="D1354" s="23"/>
      <c r="E1354" s="30"/>
      <c r="F1354" s="30"/>
      <c r="G1354" s="30"/>
      <c r="H1354" s="23"/>
      <c r="I1354" s="30"/>
      <c r="J1354" s="30"/>
      <c r="K1354" s="30"/>
      <c r="L1354" s="30"/>
      <c r="M1354" s="30"/>
      <c r="N1354" s="30"/>
      <c r="O1354" s="30"/>
    </row>
    <row r="1355" ht="14.25" customHeight="1">
      <c r="A1355" s="30"/>
      <c r="B1355" s="30"/>
      <c r="C1355" s="30"/>
      <c r="D1355" s="23"/>
      <c r="E1355" s="30"/>
      <c r="F1355" s="30"/>
      <c r="G1355" s="30"/>
      <c r="H1355" s="23"/>
      <c r="I1355" s="30"/>
      <c r="J1355" s="30"/>
      <c r="K1355" s="30"/>
      <c r="L1355" s="30"/>
      <c r="M1355" s="30"/>
      <c r="N1355" s="30"/>
      <c r="O1355" s="30"/>
    </row>
    <row r="1356" ht="14.25" customHeight="1">
      <c r="A1356" s="30"/>
      <c r="B1356" s="30"/>
      <c r="C1356" s="30"/>
      <c r="D1356" s="23"/>
      <c r="E1356" s="30"/>
      <c r="F1356" s="30"/>
      <c r="G1356" s="30"/>
      <c r="H1356" s="23"/>
      <c r="I1356" s="30"/>
      <c r="J1356" s="30"/>
      <c r="K1356" s="30"/>
      <c r="L1356" s="30"/>
      <c r="M1356" s="30"/>
      <c r="N1356" s="30"/>
      <c r="O1356" s="30"/>
    </row>
    <row r="1357" ht="14.25" customHeight="1">
      <c r="A1357" s="30"/>
      <c r="B1357" s="30"/>
      <c r="C1357" s="30"/>
      <c r="D1357" s="23"/>
      <c r="E1357" s="30"/>
      <c r="F1357" s="30"/>
      <c r="G1357" s="30"/>
      <c r="H1357" s="23"/>
      <c r="I1357" s="30"/>
      <c r="J1357" s="30"/>
      <c r="K1357" s="30"/>
      <c r="L1357" s="30"/>
      <c r="M1357" s="30"/>
      <c r="N1357" s="30"/>
      <c r="O1357" s="30"/>
    </row>
    <row r="1358" ht="14.25" customHeight="1">
      <c r="A1358" s="30"/>
      <c r="B1358" s="30"/>
      <c r="C1358" s="30"/>
      <c r="D1358" s="23"/>
      <c r="E1358" s="30"/>
      <c r="F1358" s="30"/>
      <c r="G1358" s="30"/>
      <c r="H1358" s="23"/>
      <c r="I1358" s="30"/>
      <c r="J1358" s="30"/>
      <c r="K1358" s="30"/>
      <c r="L1358" s="30"/>
      <c r="M1358" s="30"/>
      <c r="N1358" s="30"/>
      <c r="O1358" s="30"/>
    </row>
    <row r="1359" ht="14.25" customHeight="1">
      <c r="A1359" s="30"/>
      <c r="B1359" s="30"/>
      <c r="C1359" s="30"/>
      <c r="D1359" s="23"/>
      <c r="E1359" s="30"/>
      <c r="F1359" s="30"/>
      <c r="G1359" s="30"/>
      <c r="H1359" s="23"/>
      <c r="I1359" s="30"/>
      <c r="J1359" s="30"/>
      <c r="K1359" s="30"/>
      <c r="L1359" s="30"/>
      <c r="M1359" s="30"/>
      <c r="N1359" s="30"/>
      <c r="O1359" s="30"/>
    </row>
    <row r="1360" ht="14.25" customHeight="1">
      <c r="A1360" s="30"/>
      <c r="B1360" s="30"/>
      <c r="C1360" s="30"/>
      <c r="D1360" s="23"/>
      <c r="E1360" s="30"/>
      <c r="F1360" s="30"/>
      <c r="G1360" s="30"/>
      <c r="H1360" s="23"/>
      <c r="I1360" s="30"/>
      <c r="J1360" s="30"/>
      <c r="K1360" s="30"/>
      <c r="L1360" s="30"/>
      <c r="M1360" s="30"/>
      <c r="N1360" s="30"/>
      <c r="O1360" s="30"/>
    </row>
    <row r="1361" ht="14.25" customHeight="1">
      <c r="A1361" s="30"/>
      <c r="B1361" s="30"/>
      <c r="C1361" s="30"/>
      <c r="D1361" s="23"/>
      <c r="E1361" s="30"/>
      <c r="F1361" s="30"/>
      <c r="G1361" s="30"/>
      <c r="H1361" s="23"/>
      <c r="I1361" s="30"/>
      <c r="J1361" s="30"/>
      <c r="K1361" s="30"/>
      <c r="L1361" s="30"/>
      <c r="M1361" s="30"/>
      <c r="N1361" s="30"/>
      <c r="O1361" s="30"/>
    </row>
    <row r="1362" ht="14.25" customHeight="1">
      <c r="A1362" s="30"/>
      <c r="B1362" s="30"/>
      <c r="C1362" s="30"/>
      <c r="D1362" s="23"/>
      <c r="E1362" s="30"/>
      <c r="F1362" s="30"/>
      <c r="G1362" s="30"/>
      <c r="H1362" s="23"/>
      <c r="I1362" s="30"/>
      <c r="J1362" s="30"/>
      <c r="K1362" s="30"/>
      <c r="L1362" s="30"/>
      <c r="M1362" s="30"/>
      <c r="N1362" s="30"/>
      <c r="O1362" s="30"/>
    </row>
    <row r="1363" ht="14.25" customHeight="1">
      <c r="A1363" s="30"/>
      <c r="B1363" s="30"/>
      <c r="C1363" s="30"/>
      <c r="D1363" s="23"/>
      <c r="E1363" s="30"/>
      <c r="F1363" s="30"/>
      <c r="G1363" s="30"/>
      <c r="H1363" s="23"/>
      <c r="I1363" s="30"/>
      <c r="J1363" s="30"/>
      <c r="K1363" s="30"/>
      <c r="L1363" s="30"/>
      <c r="M1363" s="30"/>
      <c r="N1363" s="30"/>
      <c r="O1363" s="30"/>
    </row>
    <row r="1364" ht="14.25" customHeight="1">
      <c r="A1364" s="30"/>
      <c r="B1364" s="30"/>
      <c r="C1364" s="30"/>
      <c r="D1364" s="23"/>
      <c r="E1364" s="30"/>
      <c r="F1364" s="30"/>
      <c r="G1364" s="30"/>
      <c r="H1364" s="23"/>
      <c r="I1364" s="30"/>
      <c r="J1364" s="30"/>
      <c r="K1364" s="30"/>
      <c r="L1364" s="30"/>
      <c r="M1364" s="30"/>
      <c r="N1364" s="30"/>
      <c r="O1364" s="30"/>
    </row>
    <row r="1365" ht="14.25" customHeight="1">
      <c r="A1365" s="30"/>
      <c r="B1365" s="30"/>
      <c r="C1365" s="30"/>
      <c r="D1365" s="23"/>
      <c r="E1365" s="30"/>
      <c r="F1365" s="30"/>
      <c r="G1365" s="30"/>
      <c r="H1365" s="23"/>
      <c r="I1365" s="30"/>
      <c r="J1365" s="30"/>
      <c r="K1365" s="30"/>
      <c r="L1365" s="30"/>
      <c r="M1365" s="30"/>
      <c r="N1365" s="30"/>
      <c r="O1365" s="30"/>
    </row>
    <row r="1366" ht="14.25" customHeight="1">
      <c r="A1366" s="30"/>
      <c r="B1366" s="30"/>
      <c r="C1366" s="30"/>
      <c r="D1366" s="23"/>
      <c r="E1366" s="30"/>
      <c r="F1366" s="30"/>
      <c r="G1366" s="30"/>
      <c r="H1366" s="23"/>
      <c r="I1366" s="30"/>
      <c r="J1366" s="30"/>
      <c r="K1366" s="30"/>
      <c r="L1366" s="30"/>
      <c r="M1366" s="30"/>
      <c r="N1366" s="30"/>
      <c r="O1366" s="30"/>
    </row>
    <row r="1367" ht="14.25" customHeight="1">
      <c r="A1367" s="30"/>
      <c r="B1367" s="30"/>
      <c r="C1367" s="30"/>
      <c r="D1367" s="23"/>
      <c r="E1367" s="30"/>
      <c r="F1367" s="30"/>
      <c r="G1367" s="30"/>
      <c r="H1367" s="23"/>
      <c r="I1367" s="30"/>
      <c r="J1367" s="30"/>
      <c r="K1367" s="30"/>
      <c r="L1367" s="30"/>
      <c r="M1367" s="30"/>
      <c r="N1367" s="30"/>
      <c r="O1367" s="30"/>
    </row>
    <row r="1368" ht="14.25" customHeight="1">
      <c r="A1368" s="30"/>
      <c r="B1368" s="30"/>
      <c r="C1368" s="30"/>
      <c r="D1368" s="23"/>
      <c r="E1368" s="30"/>
      <c r="F1368" s="30"/>
      <c r="G1368" s="30"/>
      <c r="H1368" s="23"/>
      <c r="I1368" s="30"/>
      <c r="J1368" s="30"/>
      <c r="K1368" s="30"/>
      <c r="L1368" s="30"/>
      <c r="M1368" s="30"/>
      <c r="N1368" s="30"/>
      <c r="O1368" s="30"/>
    </row>
    <row r="1369" ht="14.25" customHeight="1">
      <c r="A1369" s="30"/>
      <c r="B1369" s="30"/>
      <c r="C1369" s="30"/>
      <c r="D1369" s="23"/>
      <c r="E1369" s="30"/>
      <c r="F1369" s="30"/>
      <c r="G1369" s="30"/>
      <c r="H1369" s="23"/>
      <c r="I1369" s="30"/>
      <c r="J1369" s="30"/>
      <c r="K1369" s="30"/>
      <c r="L1369" s="30"/>
      <c r="M1369" s="30"/>
      <c r="N1369" s="30"/>
      <c r="O1369" s="30"/>
    </row>
    <row r="1370" ht="14.25" customHeight="1">
      <c r="A1370" s="30"/>
      <c r="B1370" s="30"/>
      <c r="C1370" s="30"/>
      <c r="D1370" s="23"/>
      <c r="E1370" s="30"/>
      <c r="F1370" s="30"/>
      <c r="G1370" s="30"/>
      <c r="H1370" s="23"/>
      <c r="I1370" s="30"/>
      <c r="J1370" s="30"/>
      <c r="K1370" s="30"/>
      <c r="L1370" s="30"/>
      <c r="M1370" s="30"/>
      <c r="N1370" s="30"/>
      <c r="O1370" s="30"/>
    </row>
    <row r="1371" ht="14.25" customHeight="1">
      <c r="A1371" s="30"/>
      <c r="B1371" s="30"/>
      <c r="C1371" s="30"/>
      <c r="D1371" s="23"/>
      <c r="E1371" s="30"/>
      <c r="F1371" s="30"/>
      <c r="G1371" s="30"/>
      <c r="H1371" s="23"/>
      <c r="I1371" s="30"/>
      <c r="J1371" s="30"/>
      <c r="K1371" s="30"/>
      <c r="L1371" s="30"/>
      <c r="M1371" s="30"/>
      <c r="N1371" s="30"/>
      <c r="O1371" s="30"/>
    </row>
    <row r="1372" ht="14.25" customHeight="1">
      <c r="A1372" s="30"/>
      <c r="B1372" s="30"/>
      <c r="C1372" s="30"/>
      <c r="D1372" s="23"/>
      <c r="E1372" s="30"/>
      <c r="F1372" s="30"/>
      <c r="G1372" s="30"/>
      <c r="H1372" s="23"/>
      <c r="I1372" s="30"/>
      <c r="J1372" s="30"/>
      <c r="K1372" s="30"/>
      <c r="L1372" s="30"/>
      <c r="M1372" s="30"/>
      <c r="N1372" s="30"/>
      <c r="O1372" s="30"/>
    </row>
    <row r="1373" ht="14.25" customHeight="1">
      <c r="A1373" s="30"/>
      <c r="B1373" s="30"/>
      <c r="C1373" s="30"/>
      <c r="D1373" s="23"/>
      <c r="E1373" s="30"/>
      <c r="F1373" s="30"/>
      <c r="G1373" s="30"/>
      <c r="H1373" s="23"/>
      <c r="I1373" s="30"/>
      <c r="J1373" s="30"/>
      <c r="K1373" s="30"/>
      <c r="L1373" s="30"/>
      <c r="M1373" s="30"/>
      <c r="N1373" s="30"/>
      <c r="O1373" s="30"/>
    </row>
    <row r="1374" ht="14.25" customHeight="1">
      <c r="A1374" s="30"/>
      <c r="B1374" s="30"/>
      <c r="C1374" s="30"/>
      <c r="D1374" s="23"/>
      <c r="E1374" s="30"/>
      <c r="F1374" s="30"/>
      <c r="G1374" s="30"/>
      <c r="H1374" s="23"/>
      <c r="I1374" s="30"/>
      <c r="J1374" s="30"/>
      <c r="K1374" s="30"/>
      <c r="L1374" s="30"/>
      <c r="M1374" s="30"/>
      <c r="N1374" s="30"/>
      <c r="O1374" s="30"/>
    </row>
    <row r="1375" ht="14.25" customHeight="1">
      <c r="A1375" s="30"/>
      <c r="B1375" s="30"/>
      <c r="C1375" s="30"/>
      <c r="D1375" s="23"/>
      <c r="E1375" s="30"/>
      <c r="F1375" s="30"/>
      <c r="G1375" s="30"/>
      <c r="H1375" s="23"/>
      <c r="I1375" s="30"/>
      <c r="J1375" s="30"/>
      <c r="K1375" s="30"/>
      <c r="L1375" s="30"/>
      <c r="M1375" s="30"/>
      <c r="N1375" s="30"/>
      <c r="O1375" s="30"/>
    </row>
    <row r="1376" ht="14.25" customHeight="1">
      <c r="A1376" s="30"/>
      <c r="B1376" s="30"/>
      <c r="C1376" s="30"/>
      <c r="D1376" s="23"/>
      <c r="E1376" s="30"/>
      <c r="F1376" s="30"/>
      <c r="G1376" s="30"/>
      <c r="H1376" s="23"/>
      <c r="I1376" s="30"/>
      <c r="J1376" s="30"/>
      <c r="K1376" s="30"/>
      <c r="L1376" s="30"/>
      <c r="M1376" s="30"/>
      <c r="N1376" s="30"/>
      <c r="O1376" s="30"/>
    </row>
    <row r="1377" ht="14.25" customHeight="1">
      <c r="A1377" s="30"/>
      <c r="B1377" s="30"/>
      <c r="C1377" s="30"/>
      <c r="D1377" s="23"/>
      <c r="E1377" s="30"/>
      <c r="F1377" s="30"/>
      <c r="G1377" s="30"/>
      <c r="H1377" s="23"/>
      <c r="I1377" s="30"/>
      <c r="J1377" s="30"/>
      <c r="K1377" s="30"/>
      <c r="L1377" s="30"/>
      <c r="M1377" s="30"/>
      <c r="N1377" s="30"/>
      <c r="O1377" s="30"/>
    </row>
    <row r="1378" ht="14.25" customHeight="1">
      <c r="A1378" s="30"/>
      <c r="B1378" s="30"/>
      <c r="C1378" s="30"/>
      <c r="D1378" s="23"/>
      <c r="E1378" s="30"/>
      <c r="F1378" s="30"/>
      <c r="G1378" s="30"/>
      <c r="H1378" s="23"/>
      <c r="I1378" s="30"/>
      <c r="J1378" s="30"/>
      <c r="K1378" s="30"/>
      <c r="L1378" s="30"/>
      <c r="M1378" s="30"/>
      <c r="N1378" s="30"/>
      <c r="O1378" s="30"/>
    </row>
    <row r="1379" ht="14.25" customHeight="1">
      <c r="A1379" s="30"/>
      <c r="B1379" s="30"/>
      <c r="C1379" s="30"/>
      <c r="D1379" s="23"/>
      <c r="E1379" s="30"/>
      <c r="F1379" s="30"/>
      <c r="G1379" s="30"/>
      <c r="H1379" s="23"/>
      <c r="I1379" s="30"/>
      <c r="J1379" s="30"/>
      <c r="K1379" s="30"/>
      <c r="L1379" s="30"/>
      <c r="M1379" s="30"/>
      <c r="N1379" s="30"/>
      <c r="O1379" s="30"/>
    </row>
    <row r="1380" ht="14.25" customHeight="1">
      <c r="A1380" s="30"/>
      <c r="B1380" s="30"/>
      <c r="C1380" s="30"/>
      <c r="D1380" s="23"/>
      <c r="E1380" s="30"/>
      <c r="F1380" s="30"/>
      <c r="G1380" s="30"/>
      <c r="H1380" s="23"/>
      <c r="I1380" s="30"/>
      <c r="J1380" s="30"/>
      <c r="K1380" s="30"/>
      <c r="L1380" s="30"/>
      <c r="M1380" s="30"/>
      <c r="N1380" s="30"/>
      <c r="O1380" s="30"/>
    </row>
    <row r="1381" ht="14.25" customHeight="1">
      <c r="A1381" s="30"/>
      <c r="B1381" s="30"/>
      <c r="C1381" s="30"/>
      <c r="D1381" s="23"/>
      <c r="E1381" s="30"/>
      <c r="F1381" s="30"/>
      <c r="G1381" s="30"/>
      <c r="H1381" s="23"/>
      <c r="I1381" s="30"/>
      <c r="J1381" s="30"/>
      <c r="K1381" s="30"/>
      <c r="L1381" s="30"/>
      <c r="M1381" s="30"/>
      <c r="N1381" s="30"/>
      <c r="O1381" s="30"/>
    </row>
    <row r="1382" ht="14.25" customHeight="1">
      <c r="A1382" s="30"/>
      <c r="B1382" s="30"/>
      <c r="C1382" s="30"/>
      <c r="D1382" s="23"/>
      <c r="E1382" s="30"/>
      <c r="F1382" s="30"/>
      <c r="G1382" s="30"/>
      <c r="H1382" s="23"/>
      <c r="I1382" s="30"/>
      <c r="J1382" s="30"/>
      <c r="K1382" s="30"/>
      <c r="L1382" s="30"/>
      <c r="M1382" s="30"/>
      <c r="N1382" s="30"/>
      <c r="O1382" s="30"/>
    </row>
    <row r="1383" ht="14.25" customHeight="1">
      <c r="A1383" s="30"/>
      <c r="B1383" s="30"/>
      <c r="C1383" s="30"/>
      <c r="D1383" s="23"/>
      <c r="E1383" s="30"/>
      <c r="F1383" s="30"/>
      <c r="G1383" s="30"/>
      <c r="H1383" s="23"/>
      <c r="I1383" s="30"/>
      <c r="J1383" s="30"/>
      <c r="K1383" s="30"/>
      <c r="L1383" s="30"/>
      <c r="M1383" s="30"/>
      <c r="N1383" s="30"/>
      <c r="O1383" s="30"/>
    </row>
    <row r="1384" ht="14.25" customHeight="1">
      <c r="A1384" s="30"/>
      <c r="B1384" s="30"/>
      <c r="C1384" s="30"/>
      <c r="D1384" s="23"/>
      <c r="E1384" s="30"/>
      <c r="F1384" s="30"/>
      <c r="G1384" s="30"/>
      <c r="H1384" s="23"/>
      <c r="I1384" s="30"/>
      <c r="J1384" s="30"/>
      <c r="K1384" s="30"/>
      <c r="L1384" s="30"/>
      <c r="M1384" s="30"/>
      <c r="N1384" s="30"/>
      <c r="O1384" s="30"/>
    </row>
    <row r="1385" ht="14.25" customHeight="1">
      <c r="A1385" s="30"/>
      <c r="B1385" s="30"/>
      <c r="C1385" s="30"/>
      <c r="D1385" s="23"/>
      <c r="E1385" s="30"/>
      <c r="F1385" s="30"/>
      <c r="G1385" s="30"/>
      <c r="H1385" s="23"/>
      <c r="I1385" s="30"/>
      <c r="J1385" s="30"/>
      <c r="K1385" s="30"/>
      <c r="L1385" s="30"/>
      <c r="M1385" s="30"/>
      <c r="N1385" s="30"/>
      <c r="O1385" s="30"/>
    </row>
    <row r="1386" ht="14.25" customHeight="1">
      <c r="A1386" s="30"/>
      <c r="B1386" s="30"/>
      <c r="C1386" s="30"/>
      <c r="D1386" s="23"/>
      <c r="E1386" s="30"/>
      <c r="F1386" s="30"/>
      <c r="G1386" s="30"/>
      <c r="H1386" s="23"/>
      <c r="I1386" s="30"/>
      <c r="J1386" s="30"/>
      <c r="K1386" s="30"/>
      <c r="L1386" s="30"/>
      <c r="M1386" s="30"/>
      <c r="N1386" s="30"/>
      <c r="O1386" s="30"/>
    </row>
    <row r="1387" ht="14.25" customHeight="1">
      <c r="A1387" s="30"/>
      <c r="B1387" s="30"/>
      <c r="C1387" s="30"/>
      <c r="D1387" s="23"/>
      <c r="E1387" s="30"/>
      <c r="F1387" s="30"/>
      <c r="G1387" s="30"/>
      <c r="H1387" s="23"/>
      <c r="I1387" s="30"/>
      <c r="J1387" s="30"/>
      <c r="K1387" s="30"/>
      <c r="L1387" s="30"/>
      <c r="M1387" s="30"/>
      <c r="N1387" s="30"/>
      <c r="O1387" s="30"/>
    </row>
    <row r="1388" ht="14.25" customHeight="1">
      <c r="A1388" s="30"/>
      <c r="B1388" s="30"/>
      <c r="C1388" s="30"/>
      <c r="D1388" s="23"/>
      <c r="E1388" s="30"/>
      <c r="F1388" s="30"/>
      <c r="G1388" s="30"/>
      <c r="H1388" s="23"/>
      <c r="I1388" s="30"/>
      <c r="J1388" s="30"/>
      <c r="K1388" s="30"/>
      <c r="L1388" s="30"/>
      <c r="M1388" s="30"/>
      <c r="N1388" s="30"/>
      <c r="O1388" s="30"/>
    </row>
    <row r="1389" ht="14.25" customHeight="1">
      <c r="A1389" s="30"/>
      <c r="B1389" s="30"/>
      <c r="C1389" s="30"/>
      <c r="D1389" s="23"/>
      <c r="E1389" s="30"/>
      <c r="F1389" s="30"/>
      <c r="G1389" s="30"/>
      <c r="H1389" s="23"/>
      <c r="I1389" s="30"/>
      <c r="J1389" s="30"/>
      <c r="K1389" s="30"/>
      <c r="L1389" s="30"/>
      <c r="M1389" s="30"/>
      <c r="N1389" s="30"/>
      <c r="O1389" s="30"/>
    </row>
    <row r="1390" ht="14.25" customHeight="1">
      <c r="A1390" s="30"/>
      <c r="B1390" s="30"/>
      <c r="C1390" s="30"/>
      <c r="D1390" s="23"/>
      <c r="E1390" s="30"/>
      <c r="F1390" s="30"/>
      <c r="G1390" s="30"/>
      <c r="H1390" s="23"/>
      <c r="I1390" s="30"/>
      <c r="J1390" s="30"/>
      <c r="K1390" s="30"/>
      <c r="L1390" s="30"/>
      <c r="M1390" s="30"/>
      <c r="N1390" s="30"/>
      <c r="O1390" s="30"/>
    </row>
    <row r="1391" ht="14.25" customHeight="1">
      <c r="A1391" s="30"/>
      <c r="B1391" s="30"/>
      <c r="C1391" s="30"/>
      <c r="D1391" s="23"/>
      <c r="E1391" s="30"/>
      <c r="F1391" s="30"/>
      <c r="G1391" s="30"/>
      <c r="H1391" s="23"/>
      <c r="I1391" s="30"/>
      <c r="J1391" s="30"/>
      <c r="K1391" s="30"/>
      <c r="L1391" s="30"/>
      <c r="M1391" s="30"/>
      <c r="N1391" s="30"/>
      <c r="O1391" s="30"/>
    </row>
    <row r="1392" ht="14.25" customHeight="1">
      <c r="A1392" s="30"/>
      <c r="B1392" s="30"/>
      <c r="C1392" s="30"/>
      <c r="D1392" s="23"/>
      <c r="E1392" s="30"/>
      <c r="F1392" s="30"/>
      <c r="G1392" s="30"/>
      <c r="H1392" s="23"/>
      <c r="I1392" s="30"/>
      <c r="J1392" s="30"/>
      <c r="K1392" s="30"/>
      <c r="L1392" s="30"/>
      <c r="M1392" s="30"/>
      <c r="N1392" s="30"/>
      <c r="O1392" s="30"/>
    </row>
    <row r="1393" ht="14.25" customHeight="1">
      <c r="A1393" s="30"/>
      <c r="B1393" s="30"/>
      <c r="C1393" s="30"/>
      <c r="D1393" s="23"/>
      <c r="E1393" s="30"/>
      <c r="F1393" s="30"/>
      <c r="G1393" s="30"/>
      <c r="H1393" s="23"/>
      <c r="I1393" s="30"/>
      <c r="J1393" s="30"/>
      <c r="K1393" s="30"/>
      <c r="L1393" s="30"/>
      <c r="M1393" s="30"/>
      <c r="N1393" s="30"/>
      <c r="O1393" s="30"/>
    </row>
    <row r="1394" ht="14.25" customHeight="1">
      <c r="A1394" s="30"/>
      <c r="B1394" s="30"/>
      <c r="C1394" s="30"/>
      <c r="D1394" s="23"/>
      <c r="E1394" s="30"/>
      <c r="F1394" s="30"/>
      <c r="G1394" s="30"/>
      <c r="H1394" s="23"/>
      <c r="I1394" s="30"/>
      <c r="J1394" s="30"/>
      <c r="K1394" s="30"/>
      <c r="L1394" s="30"/>
      <c r="M1394" s="30"/>
      <c r="N1394" s="30"/>
      <c r="O1394" s="30"/>
    </row>
    <row r="1395" ht="14.25" customHeight="1">
      <c r="A1395" s="30"/>
      <c r="B1395" s="30"/>
      <c r="C1395" s="30"/>
      <c r="D1395" s="23"/>
      <c r="E1395" s="30"/>
      <c r="F1395" s="30"/>
      <c r="G1395" s="30"/>
      <c r="H1395" s="23"/>
      <c r="I1395" s="30"/>
      <c r="J1395" s="30"/>
      <c r="K1395" s="30"/>
      <c r="L1395" s="30"/>
      <c r="M1395" s="30"/>
      <c r="N1395" s="30"/>
      <c r="O1395" s="30"/>
    </row>
    <row r="1396" ht="14.25" customHeight="1">
      <c r="A1396" s="30"/>
      <c r="B1396" s="30"/>
      <c r="C1396" s="30"/>
      <c r="D1396" s="23"/>
      <c r="E1396" s="30"/>
      <c r="F1396" s="30"/>
      <c r="G1396" s="30"/>
      <c r="H1396" s="23"/>
      <c r="I1396" s="30"/>
      <c r="J1396" s="30"/>
      <c r="K1396" s="30"/>
      <c r="L1396" s="30"/>
      <c r="M1396" s="30"/>
      <c r="N1396" s="30"/>
      <c r="O1396" s="30"/>
    </row>
    <row r="1397" ht="14.25" customHeight="1">
      <c r="A1397" s="30"/>
      <c r="B1397" s="30"/>
      <c r="C1397" s="30"/>
      <c r="D1397" s="23"/>
      <c r="E1397" s="30"/>
      <c r="F1397" s="30"/>
      <c r="G1397" s="30"/>
      <c r="H1397" s="23"/>
      <c r="I1397" s="30"/>
      <c r="J1397" s="30"/>
      <c r="K1397" s="30"/>
      <c r="L1397" s="30"/>
      <c r="M1397" s="30"/>
      <c r="N1397" s="30"/>
      <c r="O1397" s="30"/>
    </row>
    <row r="1398" ht="14.25" customHeight="1">
      <c r="A1398" s="30"/>
      <c r="B1398" s="30"/>
      <c r="C1398" s="30"/>
      <c r="D1398" s="23"/>
      <c r="E1398" s="30"/>
      <c r="F1398" s="30"/>
      <c r="G1398" s="30"/>
      <c r="H1398" s="23"/>
      <c r="I1398" s="30"/>
      <c r="J1398" s="30"/>
      <c r="K1398" s="30"/>
      <c r="L1398" s="30"/>
      <c r="M1398" s="30"/>
      <c r="N1398" s="30"/>
      <c r="O1398" s="30"/>
    </row>
    <row r="1399" ht="14.25" customHeight="1">
      <c r="A1399" s="30"/>
      <c r="B1399" s="30"/>
      <c r="C1399" s="30"/>
      <c r="D1399" s="23"/>
      <c r="E1399" s="30"/>
      <c r="F1399" s="30"/>
      <c r="G1399" s="30"/>
      <c r="H1399" s="23"/>
      <c r="I1399" s="30"/>
      <c r="J1399" s="30"/>
      <c r="K1399" s="30"/>
      <c r="L1399" s="30"/>
      <c r="M1399" s="30"/>
      <c r="N1399" s="30"/>
      <c r="O1399" s="30"/>
    </row>
    <row r="1400" ht="14.25" customHeight="1">
      <c r="A1400" s="30"/>
      <c r="B1400" s="30"/>
      <c r="C1400" s="30"/>
      <c r="D1400" s="23"/>
      <c r="E1400" s="30"/>
      <c r="F1400" s="30"/>
      <c r="G1400" s="30"/>
      <c r="H1400" s="23"/>
      <c r="I1400" s="30"/>
      <c r="J1400" s="30"/>
      <c r="K1400" s="30"/>
      <c r="L1400" s="30"/>
      <c r="M1400" s="30"/>
      <c r="N1400" s="30"/>
      <c r="O1400" s="30"/>
    </row>
    <row r="1401" ht="14.25" customHeight="1">
      <c r="A1401" s="30"/>
      <c r="B1401" s="30"/>
      <c r="C1401" s="30"/>
      <c r="D1401" s="23"/>
      <c r="E1401" s="30"/>
      <c r="F1401" s="30"/>
      <c r="G1401" s="30"/>
      <c r="H1401" s="23"/>
      <c r="I1401" s="30"/>
      <c r="J1401" s="30"/>
      <c r="K1401" s="30"/>
      <c r="L1401" s="30"/>
      <c r="M1401" s="30"/>
      <c r="N1401" s="30"/>
      <c r="O1401" s="30"/>
    </row>
    <row r="1402" ht="14.25" customHeight="1">
      <c r="A1402" s="30"/>
      <c r="B1402" s="30"/>
      <c r="C1402" s="30"/>
      <c r="D1402" s="23"/>
      <c r="E1402" s="30"/>
      <c r="F1402" s="30"/>
      <c r="G1402" s="30"/>
      <c r="H1402" s="23"/>
      <c r="I1402" s="30"/>
      <c r="J1402" s="30"/>
      <c r="K1402" s="30"/>
      <c r="L1402" s="30"/>
      <c r="M1402" s="30"/>
      <c r="N1402" s="30"/>
      <c r="O1402" s="30"/>
    </row>
    <row r="1403" ht="14.25" customHeight="1">
      <c r="A1403" s="30"/>
      <c r="B1403" s="30"/>
      <c r="C1403" s="30"/>
      <c r="D1403" s="23"/>
      <c r="E1403" s="30"/>
      <c r="F1403" s="30"/>
      <c r="G1403" s="30"/>
      <c r="H1403" s="23"/>
      <c r="I1403" s="30"/>
      <c r="J1403" s="30"/>
      <c r="K1403" s="30"/>
      <c r="L1403" s="30"/>
      <c r="M1403" s="30"/>
      <c r="N1403" s="30"/>
      <c r="O1403" s="30"/>
    </row>
    <row r="1404" ht="14.25" customHeight="1">
      <c r="A1404" s="30"/>
      <c r="B1404" s="30"/>
      <c r="C1404" s="30"/>
      <c r="D1404" s="23"/>
      <c r="E1404" s="30"/>
      <c r="F1404" s="30"/>
      <c r="G1404" s="30"/>
      <c r="H1404" s="23"/>
      <c r="I1404" s="30"/>
      <c r="J1404" s="30"/>
      <c r="K1404" s="30"/>
      <c r="L1404" s="30"/>
      <c r="M1404" s="30"/>
      <c r="N1404" s="30"/>
      <c r="O1404" s="30"/>
    </row>
    <row r="1405" ht="14.25" customHeight="1">
      <c r="A1405" s="30"/>
      <c r="B1405" s="30"/>
      <c r="C1405" s="30"/>
      <c r="D1405" s="23"/>
      <c r="E1405" s="30"/>
      <c r="F1405" s="30"/>
      <c r="G1405" s="30"/>
      <c r="H1405" s="23"/>
      <c r="I1405" s="30"/>
      <c r="J1405" s="30"/>
      <c r="K1405" s="30"/>
      <c r="L1405" s="30"/>
      <c r="M1405" s="30"/>
      <c r="N1405" s="30"/>
      <c r="O1405" s="30"/>
    </row>
    <row r="1406" ht="14.25" customHeight="1">
      <c r="A1406" s="30"/>
      <c r="B1406" s="30"/>
      <c r="C1406" s="30"/>
      <c r="D1406" s="23"/>
      <c r="E1406" s="30"/>
      <c r="F1406" s="30"/>
      <c r="G1406" s="30"/>
      <c r="H1406" s="23"/>
      <c r="I1406" s="30"/>
      <c r="J1406" s="30"/>
      <c r="K1406" s="30"/>
      <c r="L1406" s="30"/>
      <c r="M1406" s="30"/>
      <c r="N1406" s="30"/>
      <c r="O1406" s="30"/>
    </row>
    <row r="1407" ht="14.25" customHeight="1">
      <c r="A1407" s="30"/>
      <c r="B1407" s="30"/>
      <c r="C1407" s="30"/>
      <c r="D1407" s="23"/>
      <c r="E1407" s="30"/>
      <c r="F1407" s="30"/>
      <c r="G1407" s="30"/>
      <c r="H1407" s="23"/>
      <c r="I1407" s="30"/>
      <c r="J1407" s="30"/>
      <c r="K1407" s="30"/>
      <c r="L1407" s="30"/>
      <c r="M1407" s="30"/>
      <c r="N1407" s="30"/>
      <c r="O1407" s="30"/>
    </row>
    <row r="1408" ht="14.25" customHeight="1">
      <c r="A1408" s="30"/>
      <c r="B1408" s="30"/>
      <c r="C1408" s="30"/>
      <c r="D1408" s="23"/>
      <c r="E1408" s="30"/>
      <c r="F1408" s="30"/>
      <c r="G1408" s="30"/>
      <c r="H1408" s="23"/>
      <c r="I1408" s="30"/>
      <c r="J1408" s="30"/>
      <c r="K1408" s="30"/>
      <c r="L1408" s="30"/>
      <c r="M1408" s="30"/>
      <c r="N1408" s="30"/>
      <c r="O1408" s="30"/>
    </row>
    <row r="1409" ht="14.25" customHeight="1">
      <c r="A1409" s="30"/>
      <c r="B1409" s="30"/>
      <c r="C1409" s="30"/>
      <c r="D1409" s="23"/>
      <c r="E1409" s="30"/>
      <c r="F1409" s="30"/>
      <c r="G1409" s="30"/>
      <c r="H1409" s="23"/>
      <c r="I1409" s="30"/>
      <c r="J1409" s="30"/>
      <c r="K1409" s="30"/>
      <c r="L1409" s="30"/>
      <c r="M1409" s="30"/>
      <c r="N1409" s="30"/>
      <c r="O1409" s="30"/>
    </row>
    <row r="1410" ht="14.25" customHeight="1">
      <c r="A1410" s="30"/>
      <c r="B1410" s="30"/>
      <c r="C1410" s="30"/>
      <c r="D1410" s="23"/>
      <c r="E1410" s="30"/>
      <c r="F1410" s="30"/>
      <c r="G1410" s="30"/>
      <c r="H1410" s="23"/>
      <c r="I1410" s="30"/>
      <c r="J1410" s="30"/>
      <c r="K1410" s="30"/>
      <c r="L1410" s="30"/>
      <c r="M1410" s="30"/>
      <c r="N1410" s="30"/>
      <c r="O1410" s="30"/>
    </row>
    <row r="1411" ht="14.25" customHeight="1">
      <c r="A1411" s="30"/>
      <c r="B1411" s="30"/>
      <c r="C1411" s="30"/>
      <c r="D1411" s="23"/>
      <c r="E1411" s="30"/>
      <c r="F1411" s="30"/>
      <c r="G1411" s="30"/>
      <c r="H1411" s="23"/>
      <c r="I1411" s="30"/>
      <c r="J1411" s="30"/>
      <c r="K1411" s="30"/>
      <c r="L1411" s="30"/>
      <c r="M1411" s="30"/>
      <c r="N1411" s="30"/>
      <c r="O1411" s="30"/>
    </row>
    <row r="1412" ht="14.25" customHeight="1">
      <c r="A1412" s="30"/>
      <c r="B1412" s="30"/>
      <c r="C1412" s="30"/>
      <c r="D1412" s="23"/>
      <c r="E1412" s="30"/>
      <c r="F1412" s="30"/>
      <c r="G1412" s="30"/>
      <c r="H1412" s="23"/>
      <c r="I1412" s="30"/>
      <c r="J1412" s="30"/>
      <c r="K1412" s="30"/>
      <c r="L1412" s="30"/>
      <c r="M1412" s="30"/>
      <c r="N1412" s="30"/>
      <c r="O1412" s="30"/>
    </row>
    <row r="1413" ht="14.25" customHeight="1">
      <c r="A1413" s="30"/>
      <c r="B1413" s="30"/>
      <c r="C1413" s="30"/>
      <c r="D1413" s="23"/>
      <c r="E1413" s="30"/>
      <c r="F1413" s="30"/>
      <c r="G1413" s="30"/>
      <c r="H1413" s="23"/>
      <c r="I1413" s="30"/>
      <c r="J1413" s="30"/>
      <c r="K1413" s="30"/>
      <c r="L1413" s="30"/>
      <c r="M1413" s="30"/>
      <c r="N1413" s="30"/>
      <c r="O1413" s="30"/>
    </row>
    <row r="1414" ht="14.25" customHeight="1">
      <c r="A1414" s="30"/>
      <c r="B1414" s="30"/>
      <c r="C1414" s="30"/>
      <c r="D1414" s="23"/>
      <c r="E1414" s="30"/>
      <c r="F1414" s="30"/>
      <c r="G1414" s="30"/>
      <c r="H1414" s="23"/>
      <c r="I1414" s="30"/>
      <c r="J1414" s="30"/>
      <c r="K1414" s="30"/>
      <c r="L1414" s="30"/>
      <c r="M1414" s="30"/>
      <c r="N1414" s="30"/>
      <c r="O1414" s="30"/>
    </row>
    <row r="1415" ht="14.25" customHeight="1">
      <c r="A1415" s="30"/>
      <c r="B1415" s="30"/>
      <c r="C1415" s="30"/>
      <c r="D1415" s="23"/>
      <c r="E1415" s="30"/>
      <c r="F1415" s="30"/>
      <c r="G1415" s="30"/>
      <c r="H1415" s="23"/>
      <c r="I1415" s="30"/>
      <c r="J1415" s="30"/>
      <c r="K1415" s="30"/>
      <c r="L1415" s="30"/>
      <c r="M1415" s="30"/>
      <c r="N1415" s="30"/>
      <c r="O1415" s="30"/>
    </row>
    <row r="1416" ht="14.25" customHeight="1">
      <c r="A1416" s="30"/>
      <c r="B1416" s="30"/>
      <c r="C1416" s="30"/>
      <c r="D1416" s="23"/>
      <c r="E1416" s="30"/>
      <c r="F1416" s="30"/>
      <c r="G1416" s="30"/>
      <c r="H1416" s="23"/>
      <c r="I1416" s="30"/>
      <c r="J1416" s="30"/>
      <c r="K1416" s="30"/>
      <c r="L1416" s="30"/>
      <c r="M1416" s="30"/>
      <c r="N1416" s="30"/>
      <c r="O1416" s="30"/>
    </row>
    <row r="1417" ht="14.25" customHeight="1">
      <c r="A1417" s="30"/>
      <c r="B1417" s="30"/>
      <c r="C1417" s="30"/>
      <c r="D1417" s="23"/>
      <c r="E1417" s="30"/>
      <c r="F1417" s="30"/>
      <c r="G1417" s="30"/>
      <c r="H1417" s="23"/>
      <c r="I1417" s="30"/>
      <c r="J1417" s="30"/>
      <c r="K1417" s="30"/>
      <c r="L1417" s="30"/>
      <c r="M1417" s="30"/>
      <c r="N1417" s="30"/>
      <c r="O1417" s="30"/>
    </row>
    <row r="1418" ht="14.25" customHeight="1">
      <c r="A1418" s="30"/>
      <c r="B1418" s="30"/>
      <c r="C1418" s="30"/>
      <c r="D1418" s="23"/>
      <c r="E1418" s="30"/>
      <c r="F1418" s="30"/>
      <c r="G1418" s="30"/>
      <c r="H1418" s="23"/>
      <c r="I1418" s="30"/>
      <c r="J1418" s="30"/>
      <c r="K1418" s="30"/>
      <c r="L1418" s="30"/>
      <c r="M1418" s="30"/>
      <c r="N1418" s="30"/>
      <c r="O1418" s="30"/>
    </row>
    <row r="1419" ht="14.25" customHeight="1">
      <c r="A1419" s="30"/>
      <c r="B1419" s="30"/>
      <c r="C1419" s="30"/>
      <c r="D1419" s="23"/>
      <c r="E1419" s="30"/>
      <c r="F1419" s="30"/>
      <c r="G1419" s="30"/>
      <c r="H1419" s="23"/>
      <c r="I1419" s="30"/>
      <c r="J1419" s="30"/>
      <c r="K1419" s="30"/>
      <c r="L1419" s="30"/>
      <c r="M1419" s="30"/>
      <c r="N1419" s="30"/>
      <c r="O1419" s="30"/>
    </row>
    <row r="1420" ht="14.25" customHeight="1">
      <c r="A1420" s="30"/>
      <c r="B1420" s="30"/>
      <c r="C1420" s="30"/>
      <c r="D1420" s="23"/>
      <c r="E1420" s="30"/>
      <c r="F1420" s="30"/>
      <c r="G1420" s="30"/>
      <c r="H1420" s="23"/>
      <c r="I1420" s="30"/>
      <c r="J1420" s="30"/>
      <c r="K1420" s="30"/>
      <c r="L1420" s="30"/>
      <c r="M1420" s="30"/>
      <c r="N1420" s="30"/>
      <c r="O1420" s="30"/>
    </row>
    <row r="1421" ht="14.25" customHeight="1">
      <c r="A1421" s="30"/>
      <c r="B1421" s="30"/>
      <c r="C1421" s="30"/>
      <c r="D1421" s="23"/>
      <c r="E1421" s="30"/>
      <c r="F1421" s="30"/>
      <c r="G1421" s="30"/>
      <c r="H1421" s="23"/>
      <c r="I1421" s="30"/>
      <c r="J1421" s="30"/>
      <c r="K1421" s="30"/>
      <c r="L1421" s="30"/>
      <c r="M1421" s="30"/>
      <c r="N1421" s="30"/>
      <c r="O1421" s="30"/>
    </row>
    <row r="1422" ht="14.25" customHeight="1">
      <c r="A1422" s="30"/>
      <c r="B1422" s="30"/>
      <c r="C1422" s="30"/>
      <c r="D1422" s="23"/>
      <c r="E1422" s="30"/>
      <c r="F1422" s="30"/>
      <c r="G1422" s="30"/>
      <c r="H1422" s="23"/>
      <c r="I1422" s="30"/>
      <c r="J1422" s="30"/>
      <c r="K1422" s="30"/>
      <c r="L1422" s="30"/>
      <c r="M1422" s="30"/>
      <c r="N1422" s="30"/>
      <c r="O1422" s="30"/>
    </row>
    <row r="1423" ht="14.25" customHeight="1">
      <c r="A1423" s="30"/>
      <c r="B1423" s="30"/>
      <c r="C1423" s="30"/>
      <c r="D1423" s="23"/>
      <c r="E1423" s="30"/>
      <c r="F1423" s="30"/>
      <c r="G1423" s="30"/>
      <c r="H1423" s="23"/>
      <c r="I1423" s="30"/>
      <c r="J1423" s="30"/>
      <c r="K1423" s="30"/>
      <c r="L1423" s="30"/>
      <c r="M1423" s="30"/>
      <c r="N1423" s="30"/>
      <c r="O1423" s="30"/>
    </row>
    <row r="1424" ht="14.25" customHeight="1">
      <c r="A1424" s="30"/>
      <c r="B1424" s="30"/>
      <c r="C1424" s="30"/>
      <c r="D1424" s="23"/>
      <c r="E1424" s="30"/>
      <c r="F1424" s="30"/>
      <c r="G1424" s="30"/>
      <c r="H1424" s="23"/>
      <c r="I1424" s="30"/>
      <c r="J1424" s="30"/>
      <c r="K1424" s="30"/>
      <c r="L1424" s="30"/>
      <c r="M1424" s="30"/>
      <c r="N1424" s="30"/>
      <c r="O1424" s="30"/>
    </row>
    <row r="1425" ht="14.25" customHeight="1">
      <c r="A1425" s="30"/>
      <c r="B1425" s="30"/>
      <c r="C1425" s="30"/>
      <c r="D1425" s="23"/>
      <c r="E1425" s="30"/>
      <c r="F1425" s="30"/>
      <c r="G1425" s="30"/>
      <c r="H1425" s="23"/>
      <c r="I1425" s="30"/>
      <c r="J1425" s="30"/>
      <c r="K1425" s="30"/>
      <c r="L1425" s="30"/>
      <c r="M1425" s="30"/>
      <c r="N1425" s="30"/>
      <c r="O1425" s="30"/>
    </row>
    <row r="1426" ht="14.25" customHeight="1">
      <c r="A1426" s="30"/>
      <c r="B1426" s="30"/>
      <c r="C1426" s="30"/>
      <c r="D1426" s="23"/>
      <c r="E1426" s="30"/>
      <c r="F1426" s="30"/>
      <c r="G1426" s="30"/>
      <c r="H1426" s="23"/>
      <c r="I1426" s="30"/>
      <c r="J1426" s="30"/>
      <c r="K1426" s="30"/>
      <c r="L1426" s="30"/>
      <c r="M1426" s="30"/>
      <c r="N1426" s="30"/>
      <c r="O1426" s="30"/>
    </row>
    <row r="1427" ht="14.25" customHeight="1">
      <c r="A1427" s="30"/>
      <c r="B1427" s="30"/>
      <c r="C1427" s="30"/>
      <c r="D1427" s="23"/>
      <c r="E1427" s="30"/>
      <c r="F1427" s="30"/>
      <c r="G1427" s="30"/>
      <c r="H1427" s="23"/>
      <c r="I1427" s="30"/>
      <c r="J1427" s="30"/>
      <c r="K1427" s="30"/>
      <c r="L1427" s="30"/>
      <c r="M1427" s="30"/>
      <c r="N1427" s="30"/>
      <c r="O1427" s="30"/>
    </row>
    <row r="1428" ht="14.25" customHeight="1">
      <c r="A1428" s="30"/>
      <c r="B1428" s="30"/>
      <c r="C1428" s="30"/>
      <c r="D1428" s="23"/>
      <c r="E1428" s="30"/>
      <c r="F1428" s="30"/>
      <c r="G1428" s="30"/>
      <c r="H1428" s="23"/>
      <c r="I1428" s="30"/>
      <c r="J1428" s="30"/>
      <c r="K1428" s="30"/>
      <c r="L1428" s="30"/>
      <c r="M1428" s="30"/>
      <c r="N1428" s="30"/>
      <c r="O1428" s="30"/>
    </row>
    <row r="1429" ht="14.25" customHeight="1">
      <c r="A1429" s="30"/>
      <c r="B1429" s="30"/>
      <c r="C1429" s="30"/>
      <c r="D1429" s="23"/>
      <c r="E1429" s="30"/>
      <c r="F1429" s="30"/>
      <c r="G1429" s="30"/>
      <c r="H1429" s="23"/>
      <c r="I1429" s="30"/>
      <c r="J1429" s="30"/>
      <c r="K1429" s="30"/>
      <c r="L1429" s="30"/>
      <c r="M1429" s="30"/>
      <c r="N1429" s="30"/>
      <c r="O1429" s="30"/>
    </row>
    <row r="1430" ht="14.25" customHeight="1">
      <c r="A1430" s="30"/>
      <c r="B1430" s="30"/>
      <c r="C1430" s="30"/>
      <c r="D1430" s="23"/>
      <c r="E1430" s="30"/>
      <c r="F1430" s="30"/>
      <c r="G1430" s="30"/>
      <c r="H1430" s="23"/>
      <c r="I1430" s="30"/>
      <c r="J1430" s="30"/>
      <c r="K1430" s="30"/>
      <c r="L1430" s="30"/>
      <c r="M1430" s="30"/>
      <c r="N1430" s="30"/>
      <c r="O1430" s="30"/>
    </row>
    <row r="1431" ht="14.25" customHeight="1">
      <c r="A1431" s="30"/>
      <c r="B1431" s="30"/>
      <c r="C1431" s="30"/>
      <c r="D1431" s="23"/>
      <c r="E1431" s="30"/>
      <c r="F1431" s="30"/>
      <c r="G1431" s="30"/>
      <c r="H1431" s="23"/>
      <c r="I1431" s="30"/>
      <c r="J1431" s="30"/>
      <c r="K1431" s="30"/>
      <c r="L1431" s="30"/>
      <c r="M1431" s="30"/>
      <c r="N1431" s="30"/>
      <c r="O1431" s="30"/>
    </row>
    <row r="1432" ht="14.25" customHeight="1">
      <c r="A1432" s="30"/>
      <c r="B1432" s="30"/>
      <c r="C1432" s="30"/>
      <c r="D1432" s="23"/>
      <c r="E1432" s="30"/>
      <c r="F1432" s="30"/>
      <c r="G1432" s="30"/>
      <c r="H1432" s="23"/>
      <c r="I1432" s="30"/>
      <c r="J1432" s="30"/>
      <c r="K1432" s="30"/>
      <c r="L1432" s="30"/>
      <c r="M1432" s="30"/>
      <c r="N1432" s="30"/>
      <c r="O1432" s="30"/>
    </row>
    <row r="1433" ht="14.25" customHeight="1">
      <c r="A1433" s="30"/>
      <c r="B1433" s="30"/>
      <c r="C1433" s="30"/>
      <c r="D1433" s="23"/>
      <c r="E1433" s="30"/>
      <c r="F1433" s="30"/>
      <c r="G1433" s="30"/>
      <c r="H1433" s="23"/>
      <c r="I1433" s="30"/>
      <c r="J1433" s="30"/>
      <c r="K1433" s="30"/>
      <c r="L1433" s="30"/>
      <c r="M1433" s="30"/>
      <c r="N1433" s="30"/>
      <c r="O1433" s="30"/>
    </row>
    <row r="1434" ht="14.25" customHeight="1">
      <c r="A1434" s="30"/>
      <c r="B1434" s="30"/>
      <c r="C1434" s="30"/>
      <c r="D1434" s="23"/>
      <c r="E1434" s="30"/>
      <c r="F1434" s="30"/>
      <c r="G1434" s="30"/>
      <c r="H1434" s="23"/>
      <c r="I1434" s="30"/>
      <c r="J1434" s="30"/>
      <c r="K1434" s="30"/>
      <c r="L1434" s="30"/>
      <c r="M1434" s="30"/>
      <c r="N1434" s="30"/>
      <c r="O1434" s="30"/>
    </row>
    <row r="1435" ht="14.25" customHeight="1">
      <c r="A1435" s="30"/>
      <c r="B1435" s="30"/>
      <c r="C1435" s="30"/>
      <c r="D1435" s="23"/>
      <c r="E1435" s="30"/>
      <c r="F1435" s="30"/>
      <c r="G1435" s="30"/>
      <c r="H1435" s="23"/>
      <c r="I1435" s="30"/>
      <c r="J1435" s="30"/>
      <c r="K1435" s="30"/>
      <c r="L1435" s="30"/>
      <c r="M1435" s="30"/>
      <c r="N1435" s="30"/>
      <c r="O1435" s="30"/>
    </row>
    <row r="1436" ht="14.25" customHeight="1">
      <c r="A1436" s="30"/>
      <c r="B1436" s="30"/>
      <c r="C1436" s="30"/>
      <c r="D1436" s="23"/>
      <c r="E1436" s="30"/>
      <c r="F1436" s="30"/>
      <c r="G1436" s="30"/>
      <c r="H1436" s="23"/>
      <c r="I1436" s="30"/>
      <c r="J1436" s="30"/>
      <c r="K1436" s="30"/>
      <c r="L1436" s="30"/>
      <c r="M1436" s="30"/>
      <c r="N1436" s="30"/>
      <c r="O1436" s="30"/>
    </row>
    <row r="1437" ht="14.25" customHeight="1">
      <c r="A1437" s="30"/>
      <c r="B1437" s="30"/>
      <c r="C1437" s="30"/>
      <c r="D1437" s="23"/>
      <c r="E1437" s="30"/>
      <c r="F1437" s="30"/>
      <c r="G1437" s="30"/>
      <c r="H1437" s="23"/>
      <c r="I1437" s="30"/>
      <c r="J1437" s="30"/>
      <c r="K1437" s="30"/>
      <c r="L1437" s="30"/>
      <c r="M1437" s="30"/>
      <c r="N1437" s="30"/>
      <c r="O1437" s="30"/>
    </row>
    <row r="1438" ht="14.25" customHeight="1">
      <c r="A1438" s="30"/>
      <c r="B1438" s="30"/>
      <c r="C1438" s="30"/>
      <c r="D1438" s="23"/>
      <c r="E1438" s="30"/>
      <c r="F1438" s="30"/>
      <c r="G1438" s="30"/>
      <c r="H1438" s="23"/>
      <c r="I1438" s="30"/>
      <c r="J1438" s="30"/>
      <c r="K1438" s="30"/>
      <c r="L1438" s="30"/>
      <c r="M1438" s="30"/>
      <c r="N1438" s="30"/>
      <c r="O1438" s="30"/>
    </row>
    <row r="1439" ht="14.25" customHeight="1">
      <c r="A1439" s="30"/>
      <c r="B1439" s="30"/>
      <c r="C1439" s="30"/>
      <c r="D1439" s="23"/>
      <c r="E1439" s="30"/>
      <c r="F1439" s="30"/>
      <c r="G1439" s="30"/>
      <c r="H1439" s="23"/>
      <c r="I1439" s="30"/>
      <c r="J1439" s="30"/>
      <c r="K1439" s="30"/>
      <c r="L1439" s="30"/>
      <c r="M1439" s="30"/>
      <c r="N1439" s="30"/>
      <c r="O1439" s="30"/>
    </row>
    <row r="1440" ht="14.25" customHeight="1">
      <c r="A1440" s="30"/>
      <c r="B1440" s="30"/>
      <c r="C1440" s="30"/>
      <c r="D1440" s="23"/>
      <c r="E1440" s="30"/>
      <c r="F1440" s="30"/>
      <c r="G1440" s="30"/>
      <c r="H1440" s="23"/>
      <c r="I1440" s="30"/>
      <c r="J1440" s="30"/>
      <c r="K1440" s="30"/>
      <c r="L1440" s="30"/>
      <c r="M1440" s="30"/>
      <c r="N1440" s="30"/>
      <c r="O1440" s="30"/>
    </row>
    <row r="1441" ht="14.25" customHeight="1">
      <c r="A1441" s="30"/>
      <c r="B1441" s="30"/>
      <c r="C1441" s="30"/>
      <c r="D1441" s="23"/>
      <c r="E1441" s="30"/>
      <c r="F1441" s="30"/>
      <c r="G1441" s="30"/>
      <c r="H1441" s="23"/>
      <c r="I1441" s="30"/>
      <c r="J1441" s="30"/>
      <c r="K1441" s="30"/>
      <c r="L1441" s="30"/>
      <c r="M1441" s="30"/>
      <c r="N1441" s="30"/>
      <c r="O1441" s="30"/>
    </row>
    <row r="1442" ht="14.25" customHeight="1">
      <c r="A1442" s="30"/>
      <c r="B1442" s="30"/>
      <c r="C1442" s="30"/>
      <c r="D1442" s="23"/>
      <c r="E1442" s="30"/>
      <c r="F1442" s="30"/>
      <c r="G1442" s="30"/>
      <c r="H1442" s="23"/>
      <c r="I1442" s="30"/>
      <c r="J1442" s="30"/>
      <c r="K1442" s="30"/>
      <c r="L1442" s="30"/>
      <c r="M1442" s="30"/>
      <c r="N1442" s="30"/>
      <c r="O1442" s="30"/>
    </row>
    <row r="1443" ht="14.25" customHeight="1">
      <c r="A1443" s="30"/>
      <c r="B1443" s="30"/>
      <c r="C1443" s="30"/>
      <c r="D1443" s="23"/>
      <c r="E1443" s="30"/>
      <c r="F1443" s="30"/>
      <c r="G1443" s="30"/>
      <c r="H1443" s="23"/>
      <c r="I1443" s="30"/>
      <c r="J1443" s="30"/>
      <c r="K1443" s="30"/>
      <c r="L1443" s="30"/>
      <c r="M1443" s="30"/>
      <c r="N1443" s="30"/>
      <c r="O1443" s="30"/>
    </row>
    <row r="1444" ht="14.25" customHeight="1">
      <c r="A1444" s="30"/>
      <c r="B1444" s="30"/>
      <c r="C1444" s="30"/>
      <c r="D1444" s="23"/>
      <c r="E1444" s="30"/>
      <c r="F1444" s="30"/>
      <c r="G1444" s="30"/>
      <c r="H1444" s="23"/>
      <c r="I1444" s="30"/>
      <c r="J1444" s="30"/>
      <c r="K1444" s="30"/>
      <c r="L1444" s="30"/>
      <c r="M1444" s="30"/>
      <c r="N1444" s="30"/>
      <c r="O1444" s="30"/>
    </row>
    <row r="1445" ht="14.25" customHeight="1">
      <c r="A1445" s="30"/>
      <c r="B1445" s="30"/>
      <c r="C1445" s="30"/>
      <c r="D1445" s="23"/>
      <c r="E1445" s="30"/>
      <c r="F1445" s="30"/>
      <c r="G1445" s="30"/>
      <c r="H1445" s="23"/>
      <c r="I1445" s="30"/>
      <c r="J1445" s="30"/>
      <c r="K1445" s="30"/>
      <c r="L1445" s="30"/>
      <c r="M1445" s="30"/>
      <c r="N1445" s="30"/>
      <c r="O1445" s="30"/>
    </row>
    <row r="1446" ht="14.25" customHeight="1">
      <c r="A1446" s="30"/>
      <c r="B1446" s="30"/>
      <c r="C1446" s="30"/>
      <c r="D1446" s="23"/>
      <c r="E1446" s="30"/>
      <c r="F1446" s="30"/>
      <c r="G1446" s="30"/>
      <c r="H1446" s="23"/>
      <c r="I1446" s="30"/>
      <c r="J1446" s="30"/>
      <c r="K1446" s="30"/>
      <c r="L1446" s="30"/>
      <c r="M1446" s="30"/>
      <c r="N1446" s="30"/>
      <c r="O1446" s="30"/>
    </row>
    <row r="1447" ht="14.25" customHeight="1">
      <c r="A1447" s="30"/>
      <c r="B1447" s="30"/>
      <c r="C1447" s="30"/>
      <c r="D1447" s="23"/>
      <c r="E1447" s="30"/>
      <c r="F1447" s="30"/>
      <c r="G1447" s="30"/>
      <c r="H1447" s="23"/>
      <c r="I1447" s="30"/>
      <c r="J1447" s="30"/>
      <c r="K1447" s="30"/>
      <c r="L1447" s="30"/>
      <c r="M1447" s="30"/>
      <c r="N1447" s="30"/>
      <c r="O1447" s="30"/>
    </row>
    <row r="1448" ht="14.25" customHeight="1">
      <c r="A1448" s="30"/>
      <c r="B1448" s="30"/>
      <c r="C1448" s="30"/>
      <c r="D1448" s="23"/>
      <c r="E1448" s="30"/>
      <c r="F1448" s="30"/>
      <c r="G1448" s="30"/>
      <c r="H1448" s="23"/>
      <c r="I1448" s="30"/>
      <c r="J1448" s="30"/>
      <c r="K1448" s="30"/>
      <c r="L1448" s="30"/>
      <c r="M1448" s="30"/>
      <c r="N1448" s="30"/>
      <c r="O1448" s="30"/>
    </row>
    <row r="1449" ht="14.25" customHeight="1">
      <c r="A1449" s="30"/>
      <c r="B1449" s="30"/>
      <c r="C1449" s="30"/>
      <c r="D1449" s="23"/>
      <c r="E1449" s="30"/>
      <c r="F1449" s="30"/>
      <c r="G1449" s="30"/>
      <c r="H1449" s="23"/>
      <c r="I1449" s="30"/>
      <c r="J1449" s="30"/>
      <c r="K1449" s="30"/>
      <c r="L1449" s="30"/>
      <c r="M1449" s="30"/>
      <c r="N1449" s="30"/>
      <c r="O1449" s="30"/>
    </row>
    <row r="1450" ht="14.25" customHeight="1">
      <c r="A1450" s="30"/>
      <c r="B1450" s="30"/>
      <c r="C1450" s="30"/>
      <c r="D1450" s="23"/>
      <c r="E1450" s="30"/>
      <c r="F1450" s="30"/>
      <c r="G1450" s="30"/>
      <c r="H1450" s="23"/>
      <c r="I1450" s="30"/>
      <c r="J1450" s="30"/>
      <c r="K1450" s="30"/>
      <c r="L1450" s="30"/>
      <c r="M1450" s="30"/>
      <c r="N1450" s="30"/>
      <c r="O1450" s="30"/>
    </row>
    <row r="1451" ht="14.25" customHeight="1">
      <c r="A1451" s="30"/>
      <c r="B1451" s="30"/>
      <c r="C1451" s="30"/>
      <c r="D1451" s="23"/>
      <c r="E1451" s="30"/>
      <c r="F1451" s="30"/>
      <c r="G1451" s="30"/>
      <c r="H1451" s="23"/>
      <c r="I1451" s="30"/>
      <c r="J1451" s="30"/>
      <c r="K1451" s="30"/>
      <c r="L1451" s="30"/>
      <c r="M1451" s="30"/>
      <c r="N1451" s="30"/>
      <c r="O1451" s="30"/>
    </row>
    <row r="1452" ht="14.25" customHeight="1">
      <c r="A1452" s="30"/>
      <c r="B1452" s="30"/>
      <c r="C1452" s="30"/>
      <c r="D1452" s="23"/>
      <c r="E1452" s="30"/>
      <c r="F1452" s="30"/>
      <c r="G1452" s="30"/>
      <c r="H1452" s="23"/>
      <c r="I1452" s="30"/>
      <c r="J1452" s="30"/>
      <c r="K1452" s="30"/>
      <c r="L1452" s="30"/>
      <c r="M1452" s="30"/>
      <c r="N1452" s="30"/>
      <c r="O1452" s="30"/>
    </row>
    <row r="1453" ht="14.25" customHeight="1">
      <c r="A1453" s="30"/>
      <c r="B1453" s="30"/>
      <c r="C1453" s="30"/>
      <c r="D1453" s="23"/>
      <c r="E1453" s="30"/>
      <c r="F1453" s="30"/>
      <c r="G1453" s="30"/>
      <c r="H1453" s="23"/>
      <c r="I1453" s="30"/>
      <c r="J1453" s="30"/>
      <c r="K1453" s="30"/>
      <c r="L1453" s="30"/>
      <c r="M1453" s="30"/>
      <c r="N1453" s="30"/>
      <c r="O1453" s="30"/>
    </row>
    <row r="1454" ht="14.25" customHeight="1">
      <c r="A1454" s="30"/>
      <c r="B1454" s="30"/>
      <c r="C1454" s="30"/>
      <c r="D1454" s="23"/>
      <c r="E1454" s="30"/>
      <c r="F1454" s="30"/>
      <c r="G1454" s="30"/>
      <c r="H1454" s="23"/>
      <c r="I1454" s="30"/>
      <c r="J1454" s="30"/>
      <c r="K1454" s="30"/>
      <c r="L1454" s="30"/>
      <c r="M1454" s="30"/>
      <c r="N1454" s="30"/>
      <c r="O1454" s="30"/>
    </row>
    <row r="1455" ht="14.25" customHeight="1">
      <c r="A1455" s="30"/>
      <c r="B1455" s="30"/>
      <c r="C1455" s="30"/>
      <c r="D1455" s="23"/>
      <c r="E1455" s="30"/>
      <c r="F1455" s="30"/>
      <c r="G1455" s="30"/>
      <c r="H1455" s="23"/>
      <c r="I1455" s="30"/>
      <c r="J1455" s="30"/>
      <c r="K1455" s="30"/>
      <c r="L1455" s="30"/>
      <c r="M1455" s="30"/>
      <c r="N1455" s="30"/>
      <c r="O1455" s="30"/>
    </row>
    <row r="1456" ht="14.25" customHeight="1">
      <c r="A1456" s="30"/>
      <c r="B1456" s="30"/>
      <c r="C1456" s="30"/>
      <c r="D1456" s="23"/>
      <c r="E1456" s="30"/>
      <c r="F1456" s="30"/>
      <c r="G1456" s="30"/>
      <c r="H1456" s="23"/>
      <c r="I1456" s="30"/>
      <c r="J1456" s="30"/>
      <c r="K1456" s="30"/>
      <c r="L1456" s="30"/>
      <c r="M1456" s="30"/>
      <c r="N1456" s="30"/>
      <c r="O1456" s="30"/>
    </row>
    <row r="1457" ht="14.25" customHeight="1">
      <c r="A1457" s="30"/>
      <c r="B1457" s="30"/>
      <c r="C1457" s="30"/>
      <c r="D1457" s="23"/>
      <c r="E1457" s="30"/>
      <c r="F1457" s="30"/>
      <c r="G1457" s="30"/>
      <c r="H1457" s="23"/>
      <c r="I1457" s="30"/>
      <c r="J1457" s="30"/>
      <c r="K1457" s="30"/>
      <c r="L1457" s="30"/>
      <c r="M1457" s="30"/>
      <c r="N1457" s="30"/>
      <c r="O1457" s="30"/>
    </row>
    <row r="1458" ht="14.25" customHeight="1">
      <c r="A1458" s="30"/>
      <c r="B1458" s="30"/>
      <c r="C1458" s="30"/>
      <c r="D1458" s="23"/>
      <c r="E1458" s="30"/>
      <c r="F1458" s="30"/>
      <c r="G1458" s="30"/>
      <c r="H1458" s="23"/>
      <c r="I1458" s="30"/>
      <c r="J1458" s="30"/>
      <c r="K1458" s="30"/>
      <c r="L1458" s="30"/>
      <c r="M1458" s="30"/>
      <c r="N1458" s="30"/>
      <c r="O1458" s="30"/>
    </row>
    <row r="1459" ht="14.25" customHeight="1">
      <c r="A1459" s="30"/>
      <c r="B1459" s="30"/>
      <c r="C1459" s="30"/>
      <c r="D1459" s="23"/>
      <c r="E1459" s="30"/>
      <c r="F1459" s="30"/>
      <c r="G1459" s="30"/>
      <c r="H1459" s="23"/>
      <c r="I1459" s="30"/>
      <c r="J1459" s="30"/>
      <c r="K1459" s="30"/>
      <c r="L1459" s="30"/>
      <c r="M1459" s="30"/>
      <c r="N1459" s="30"/>
      <c r="O1459" s="30"/>
    </row>
    <row r="1460" ht="14.25" customHeight="1">
      <c r="A1460" s="30"/>
      <c r="B1460" s="30"/>
      <c r="C1460" s="30"/>
      <c r="D1460" s="23"/>
      <c r="E1460" s="30"/>
      <c r="F1460" s="30"/>
      <c r="G1460" s="30"/>
      <c r="H1460" s="23"/>
      <c r="I1460" s="30"/>
      <c r="J1460" s="30"/>
      <c r="K1460" s="30"/>
      <c r="L1460" s="30"/>
      <c r="M1460" s="30"/>
      <c r="N1460" s="30"/>
      <c r="O1460" s="30"/>
    </row>
    <row r="1461" ht="14.25" customHeight="1">
      <c r="A1461" s="30"/>
      <c r="B1461" s="30"/>
      <c r="C1461" s="30"/>
      <c r="D1461" s="23"/>
      <c r="E1461" s="30"/>
      <c r="F1461" s="30"/>
      <c r="G1461" s="30"/>
      <c r="H1461" s="23"/>
      <c r="I1461" s="30"/>
      <c r="J1461" s="30"/>
      <c r="K1461" s="30"/>
      <c r="L1461" s="30"/>
      <c r="M1461" s="30"/>
      <c r="N1461" s="30"/>
      <c r="O1461" s="30"/>
    </row>
    <row r="1462" ht="14.25" customHeight="1">
      <c r="A1462" s="30"/>
      <c r="B1462" s="30"/>
      <c r="C1462" s="30"/>
      <c r="D1462" s="23"/>
      <c r="E1462" s="30"/>
      <c r="F1462" s="30"/>
      <c r="G1462" s="30"/>
      <c r="H1462" s="23"/>
      <c r="I1462" s="30"/>
      <c r="J1462" s="30"/>
      <c r="K1462" s="30"/>
      <c r="L1462" s="30"/>
      <c r="M1462" s="30"/>
      <c r="N1462" s="30"/>
      <c r="O1462" s="30"/>
    </row>
    <row r="1463" ht="14.25" customHeight="1">
      <c r="A1463" s="30"/>
      <c r="B1463" s="30"/>
      <c r="C1463" s="30"/>
      <c r="D1463" s="23"/>
      <c r="E1463" s="30"/>
      <c r="F1463" s="30"/>
      <c r="G1463" s="30"/>
      <c r="H1463" s="23"/>
      <c r="I1463" s="30"/>
      <c r="J1463" s="30"/>
      <c r="K1463" s="30"/>
      <c r="L1463" s="30"/>
      <c r="M1463" s="30"/>
      <c r="N1463" s="30"/>
      <c r="O1463" s="30"/>
    </row>
    <row r="1464" ht="14.25" customHeight="1">
      <c r="A1464" s="30"/>
      <c r="B1464" s="30"/>
      <c r="C1464" s="30"/>
      <c r="D1464" s="23"/>
      <c r="E1464" s="30"/>
      <c r="F1464" s="30"/>
      <c r="G1464" s="30"/>
      <c r="H1464" s="23"/>
      <c r="I1464" s="30"/>
      <c r="J1464" s="30"/>
      <c r="K1464" s="30"/>
      <c r="L1464" s="30"/>
      <c r="M1464" s="30"/>
      <c r="N1464" s="30"/>
      <c r="O1464" s="30"/>
    </row>
    <row r="1465" ht="14.25" customHeight="1">
      <c r="A1465" s="30"/>
      <c r="B1465" s="30"/>
      <c r="C1465" s="30"/>
      <c r="D1465" s="23"/>
      <c r="E1465" s="30"/>
      <c r="F1465" s="30"/>
      <c r="G1465" s="30"/>
      <c r="H1465" s="23"/>
      <c r="I1465" s="30"/>
      <c r="J1465" s="30"/>
      <c r="K1465" s="30"/>
      <c r="L1465" s="30"/>
      <c r="M1465" s="30"/>
      <c r="N1465" s="30"/>
      <c r="O1465" s="30"/>
    </row>
    <row r="1466" ht="14.25" customHeight="1">
      <c r="A1466" s="30"/>
      <c r="B1466" s="30"/>
      <c r="C1466" s="30"/>
      <c r="D1466" s="23"/>
      <c r="E1466" s="30"/>
      <c r="F1466" s="30"/>
      <c r="G1466" s="30"/>
      <c r="H1466" s="23"/>
      <c r="I1466" s="30"/>
      <c r="J1466" s="30"/>
      <c r="K1466" s="30"/>
      <c r="L1466" s="30"/>
      <c r="M1466" s="30"/>
      <c r="N1466" s="30"/>
      <c r="O1466" s="30"/>
    </row>
    <row r="1467" ht="14.25" customHeight="1">
      <c r="A1467" s="30"/>
      <c r="B1467" s="30"/>
      <c r="C1467" s="30"/>
      <c r="D1467" s="23"/>
      <c r="E1467" s="30"/>
      <c r="F1467" s="30"/>
      <c r="G1467" s="30"/>
      <c r="H1467" s="23"/>
      <c r="I1467" s="30"/>
      <c r="J1467" s="30"/>
      <c r="K1467" s="30"/>
      <c r="L1467" s="30"/>
      <c r="M1467" s="30"/>
      <c r="N1467" s="30"/>
      <c r="O1467" s="30"/>
    </row>
    <row r="1468" ht="14.25" customHeight="1">
      <c r="A1468" s="30"/>
      <c r="B1468" s="30"/>
      <c r="C1468" s="30"/>
      <c r="D1468" s="23"/>
      <c r="E1468" s="30"/>
      <c r="F1468" s="30"/>
      <c r="G1468" s="30"/>
      <c r="H1468" s="23"/>
      <c r="I1468" s="30"/>
      <c r="J1468" s="30"/>
      <c r="K1468" s="30"/>
      <c r="L1468" s="30"/>
      <c r="M1468" s="30"/>
      <c r="N1468" s="30"/>
      <c r="O1468" s="30"/>
    </row>
    <row r="1469" ht="14.25" customHeight="1">
      <c r="A1469" s="30"/>
      <c r="B1469" s="30"/>
      <c r="C1469" s="30"/>
      <c r="D1469" s="23"/>
      <c r="E1469" s="30"/>
      <c r="F1469" s="30"/>
      <c r="G1469" s="30"/>
      <c r="H1469" s="23"/>
      <c r="I1469" s="30"/>
      <c r="J1469" s="30"/>
      <c r="K1469" s="30"/>
      <c r="L1469" s="30"/>
      <c r="M1469" s="30"/>
      <c r="N1469" s="30"/>
      <c r="O1469" s="30"/>
    </row>
    <row r="1470" ht="14.25" customHeight="1">
      <c r="A1470" s="30"/>
      <c r="B1470" s="30"/>
      <c r="C1470" s="30"/>
      <c r="D1470" s="23"/>
      <c r="E1470" s="30"/>
      <c r="F1470" s="30"/>
      <c r="G1470" s="30"/>
      <c r="H1470" s="23"/>
      <c r="I1470" s="30"/>
      <c r="J1470" s="30"/>
      <c r="K1470" s="30"/>
      <c r="L1470" s="30"/>
      <c r="M1470" s="30"/>
      <c r="N1470" s="30"/>
      <c r="O1470" s="30"/>
    </row>
    <row r="1471" ht="14.25" customHeight="1">
      <c r="A1471" s="30"/>
      <c r="B1471" s="30"/>
      <c r="C1471" s="30"/>
      <c r="D1471" s="23"/>
      <c r="E1471" s="30"/>
      <c r="F1471" s="30"/>
      <c r="G1471" s="30"/>
      <c r="H1471" s="23"/>
      <c r="I1471" s="30"/>
      <c r="J1471" s="30"/>
      <c r="K1471" s="30"/>
      <c r="L1471" s="30"/>
      <c r="M1471" s="30"/>
      <c r="N1471" s="30"/>
      <c r="O1471" s="30"/>
    </row>
    <row r="1472" ht="14.25" customHeight="1">
      <c r="A1472" s="30"/>
      <c r="B1472" s="30"/>
      <c r="C1472" s="30"/>
      <c r="D1472" s="23"/>
      <c r="E1472" s="30"/>
      <c r="F1472" s="30"/>
      <c r="G1472" s="30"/>
      <c r="H1472" s="23"/>
      <c r="I1472" s="30"/>
      <c r="J1472" s="30"/>
      <c r="K1472" s="30"/>
      <c r="L1472" s="30"/>
      <c r="M1472" s="30"/>
      <c r="N1472" s="30"/>
      <c r="O1472" s="30"/>
    </row>
    <row r="1473" ht="14.25" customHeight="1">
      <c r="A1473" s="30"/>
      <c r="B1473" s="30"/>
      <c r="C1473" s="30"/>
      <c r="D1473" s="23"/>
      <c r="E1473" s="30"/>
      <c r="F1473" s="30"/>
      <c r="G1473" s="30"/>
      <c r="H1473" s="23"/>
      <c r="I1473" s="30"/>
      <c r="J1473" s="30"/>
      <c r="K1473" s="30"/>
      <c r="L1473" s="30"/>
      <c r="M1473" s="30"/>
      <c r="N1473" s="30"/>
      <c r="O1473" s="30"/>
    </row>
    <row r="1474" ht="14.25" customHeight="1">
      <c r="A1474" s="30"/>
      <c r="B1474" s="30"/>
      <c r="C1474" s="30"/>
      <c r="D1474" s="23"/>
      <c r="E1474" s="30"/>
      <c r="F1474" s="30"/>
      <c r="G1474" s="30"/>
      <c r="H1474" s="23"/>
      <c r="I1474" s="30"/>
      <c r="J1474" s="30"/>
      <c r="K1474" s="30"/>
      <c r="L1474" s="30"/>
      <c r="M1474" s="30"/>
      <c r="N1474" s="30"/>
      <c r="O1474" s="30"/>
    </row>
    <row r="1475" ht="14.25" customHeight="1">
      <c r="A1475" s="30"/>
      <c r="B1475" s="30"/>
      <c r="C1475" s="30"/>
      <c r="D1475" s="23"/>
      <c r="E1475" s="30"/>
      <c r="F1475" s="30"/>
      <c r="G1475" s="30"/>
      <c r="H1475" s="23"/>
      <c r="I1475" s="30"/>
      <c r="J1475" s="30"/>
      <c r="K1475" s="30"/>
      <c r="L1475" s="30"/>
      <c r="M1475" s="30"/>
      <c r="N1475" s="30"/>
      <c r="O1475" s="30"/>
    </row>
    <row r="1476" ht="14.25" customHeight="1">
      <c r="A1476" s="30"/>
      <c r="B1476" s="30"/>
      <c r="C1476" s="30"/>
      <c r="D1476" s="23"/>
      <c r="E1476" s="30"/>
      <c r="F1476" s="30"/>
      <c r="G1476" s="30"/>
      <c r="H1476" s="23"/>
      <c r="I1476" s="30"/>
      <c r="J1476" s="30"/>
      <c r="K1476" s="30"/>
      <c r="L1476" s="30"/>
      <c r="M1476" s="30"/>
      <c r="N1476" s="30"/>
      <c r="O1476" s="30"/>
    </row>
    <row r="1477" ht="14.25" customHeight="1">
      <c r="A1477" s="30"/>
      <c r="B1477" s="30"/>
      <c r="C1477" s="30"/>
      <c r="D1477" s="23"/>
      <c r="E1477" s="30"/>
      <c r="F1477" s="30"/>
      <c r="G1477" s="30"/>
      <c r="H1477" s="23"/>
      <c r="I1477" s="30"/>
      <c r="J1477" s="30"/>
      <c r="K1477" s="30"/>
      <c r="L1477" s="30"/>
      <c r="M1477" s="30"/>
      <c r="N1477" s="30"/>
      <c r="O1477" s="30"/>
    </row>
    <row r="1478" ht="14.25" customHeight="1">
      <c r="A1478" s="30"/>
      <c r="B1478" s="30"/>
      <c r="C1478" s="30"/>
      <c r="D1478" s="23"/>
      <c r="E1478" s="30"/>
      <c r="F1478" s="30"/>
      <c r="G1478" s="30"/>
      <c r="H1478" s="23"/>
      <c r="I1478" s="30"/>
      <c r="J1478" s="30"/>
      <c r="K1478" s="30"/>
      <c r="L1478" s="30"/>
      <c r="M1478" s="30"/>
      <c r="N1478" s="30"/>
      <c r="O1478" s="30"/>
    </row>
    <row r="1479" ht="14.25" customHeight="1">
      <c r="A1479" s="30"/>
      <c r="B1479" s="30"/>
      <c r="C1479" s="30"/>
      <c r="D1479" s="23"/>
      <c r="E1479" s="30"/>
      <c r="F1479" s="30"/>
      <c r="G1479" s="30"/>
      <c r="H1479" s="23"/>
      <c r="I1479" s="30"/>
      <c r="J1479" s="30"/>
      <c r="K1479" s="30"/>
      <c r="L1479" s="30"/>
      <c r="M1479" s="30"/>
      <c r="N1479" s="30"/>
      <c r="O1479" s="30"/>
    </row>
    <row r="1480" ht="14.25" customHeight="1">
      <c r="A1480" s="30"/>
      <c r="B1480" s="30"/>
      <c r="C1480" s="30"/>
      <c r="D1480" s="23"/>
      <c r="E1480" s="30"/>
      <c r="F1480" s="30"/>
      <c r="G1480" s="30"/>
      <c r="H1480" s="23"/>
      <c r="I1480" s="30"/>
      <c r="J1480" s="30"/>
      <c r="K1480" s="30"/>
      <c r="L1480" s="30"/>
      <c r="M1480" s="30"/>
      <c r="N1480" s="30"/>
      <c r="O1480" s="30"/>
    </row>
    <row r="1481" ht="14.25" customHeight="1">
      <c r="A1481" s="30"/>
      <c r="B1481" s="30"/>
      <c r="C1481" s="30"/>
      <c r="D1481" s="23"/>
      <c r="E1481" s="30"/>
      <c r="F1481" s="30"/>
      <c r="G1481" s="30"/>
      <c r="H1481" s="23"/>
      <c r="I1481" s="30"/>
      <c r="J1481" s="30"/>
      <c r="K1481" s="30"/>
      <c r="L1481" s="30"/>
      <c r="M1481" s="30"/>
      <c r="N1481" s="30"/>
      <c r="O1481" s="30"/>
    </row>
    <row r="1482" ht="14.25" customHeight="1">
      <c r="A1482" s="30"/>
      <c r="B1482" s="30"/>
      <c r="C1482" s="30"/>
      <c r="D1482" s="23"/>
      <c r="E1482" s="30"/>
      <c r="F1482" s="30"/>
      <c r="G1482" s="30"/>
      <c r="H1482" s="23"/>
      <c r="I1482" s="30"/>
      <c r="J1482" s="30"/>
      <c r="K1482" s="30"/>
      <c r="L1482" s="30"/>
      <c r="M1482" s="30"/>
      <c r="N1482" s="30"/>
      <c r="O1482" s="30"/>
    </row>
    <row r="1483" ht="14.25" customHeight="1">
      <c r="A1483" s="30"/>
      <c r="B1483" s="30"/>
      <c r="C1483" s="30"/>
      <c r="D1483" s="23"/>
      <c r="E1483" s="30"/>
      <c r="F1483" s="30"/>
      <c r="G1483" s="30"/>
      <c r="H1483" s="23"/>
      <c r="I1483" s="30"/>
      <c r="J1483" s="30"/>
      <c r="K1483" s="30"/>
      <c r="L1483" s="30"/>
      <c r="M1483" s="30"/>
      <c r="N1483" s="30"/>
      <c r="O1483" s="30"/>
    </row>
    <row r="1484" ht="14.25" customHeight="1">
      <c r="A1484" s="30"/>
      <c r="B1484" s="30"/>
      <c r="C1484" s="30"/>
      <c r="D1484" s="23"/>
      <c r="E1484" s="30"/>
      <c r="F1484" s="30"/>
      <c r="G1484" s="30"/>
      <c r="H1484" s="23"/>
      <c r="I1484" s="30"/>
      <c r="J1484" s="30"/>
      <c r="K1484" s="30"/>
      <c r="L1484" s="30"/>
      <c r="M1484" s="30"/>
      <c r="N1484" s="30"/>
      <c r="O1484" s="30"/>
    </row>
    <row r="1485" ht="14.25" customHeight="1">
      <c r="A1485" s="30"/>
      <c r="B1485" s="30"/>
      <c r="C1485" s="30"/>
      <c r="D1485" s="23"/>
      <c r="E1485" s="30"/>
      <c r="F1485" s="30"/>
      <c r="G1485" s="30"/>
      <c r="H1485" s="23"/>
      <c r="I1485" s="30"/>
      <c r="J1485" s="30"/>
      <c r="K1485" s="30"/>
      <c r="L1485" s="30"/>
      <c r="M1485" s="30"/>
      <c r="N1485" s="30"/>
      <c r="O1485" s="30"/>
    </row>
    <row r="1486" ht="14.25" customHeight="1">
      <c r="A1486" s="30"/>
      <c r="B1486" s="30"/>
      <c r="C1486" s="30"/>
      <c r="D1486" s="23"/>
      <c r="E1486" s="30"/>
      <c r="F1486" s="30"/>
      <c r="G1486" s="30"/>
      <c r="H1486" s="23"/>
      <c r="I1486" s="30"/>
      <c r="J1486" s="30"/>
      <c r="K1486" s="30"/>
      <c r="L1486" s="30"/>
      <c r="M1486" s="30"/>
      <c r="N1486" s="30"/>
      <c r="O1486" s="30"/>
    </row>
    <row r="1487" ht="14.25" customHeight="1">
      <c r="A1487" s="30"/>
      <c r="B1487" s="30"/>
      <c r="C1487" s="30"/>
      <c r="D1487" s="23"/>
      <c r="E1487" s="30"/>
      <c r="F1487" s="30"/>
      <c r="G1487" s="30"/>
      <c r="H1487" s="23"/>
      <c r="I1487" s="30"/>
      <c r="J1487" s="30"/>
      <c r="K1487" s="30"/>
      <c r="L1487" s="30"/>
      <c r="M1487" s="30"/>
      <c r="N1487" s="30"/>
      <c r="O1487" s="30"/>
    </row>
    <row r="1488" ht="14.25" customHeight="1">
      <c r="A1488" s="30"/>
      <c r="B1488" s="30"/>
      <c r="C1488" s="30"/>
      <c r="D1488" s="23"/>
      <c r="E1488" s="30"/>
      <c r="F1488" s="30"/>
      <c r="G1488" s="30"/>
      <c r="H1488" s="23"/>
      <c r="I1488" s="30"/>
      <c r="J1488" s="30"/>
      <c r="K1488" s="30"/>
      <c r="L1488" s="30"/>
      <c r="M1488" s="30"/>
      <c r="N1488" s="30"/>
      <c r="O1488" s="30"/>
    </row>
    <row r="1489" ht="14.25" customHeight="1">
      <c r="A1489" s="30"/>
      <c r="B1489" s="30"/>
      <c r="C1489" s="30"/>
      <c r="D1489" s="23"/>
      <c r="E1489" s="30"/>
      <c r="F1489" s="30"/>
      <c r="G1489" s="30"/>
      <c r="H1489" s="23"/>
      <c r="I1489" s="30"/>
      <c r="J1489" s="30"/>
      <c r="K1489" s="30"/>
      <c r="L1489" s="30"/>
      <c r="M1489" s="30"/>
      <c r="N1489" s="30"/>
      <c r="O1489" s="30"/>
    </row>
    <row r="1490" ht="14.25" customHeight="1">
      <c r="A1490" s="30"/>
      <c r="B1490" s="30"/>
      <c r="C1490" s="30"/>
      <c r="D1490" s="23"/>
      <c r="E1490" s="30"/>
      <c r="F1490" s="30"/>
      <c r="G1490" s="30"/>
      <c r="H1490" s="23"/>
      <c r="I1490" s="30"/>
      <c r="J1490" s="30"/>
      <c r="K1490" s="30"/>
      <c r="L1490" s="30"/>
      <c r="M1490" s="30"/>
      <c r="N1490" s="30"/>
      <c r="O1490" s="30"/>
    </row>
    <row r="1491" ht="14.25" customHeight="1">
      <c r="A1491" s="30"/>
      <c r="B1491" s="30"/>
      <c r="C1491" s="30"/>
      <c r="D1491" s="23"/>
      <c r="E1491" s="30"/>
      <c r="F1491" s="30"/>
      <c r="G1491" s="30"/>
      <c r="H1491" s="23"/>
      <c r="I1491" s="30"/>
      <c r="J1491" s="30"/>
      <c r="K1491" s="30"/>
      <c r="L1491" s="30"/>
      <c r="M1491" s="30"/>
      <c r="N1491" s="30"/>
      <c r="O1491" s="30"/>
    </row>
    <row r="1492" ht="14.25" customHeight="1">
      <c r="A1492" s="30"/>
      <c r="B1492" s="30"/>
      <c r="C1492" s="30"/>
      <c r="D1492" s="23"/>
      <c r="E1492" s="30"/>
      <c r="F1492" s="30"/>
      <c r="G1492" s="30"/>
      <c r="H1492" s="23"/>
      <c r="I1492" s="30"/>
      <c r="J1492" s="30"/>
      <c r="K1492" s="30"/>
      <c r="L1492" s="30"/>
      <c r="M1492" s="30"/>
      <c r="N1492" s="30"/>
      <c r="O1492" s="30"/>
    </row>
    <row r="1493" ht="14.25" customHeight="1">
      <c r="A1493" s="30"/>
      <c r="B1493" s="30"/>
      <c r="C1493" s="30"/>
      <c r="D1493" s="23"/>
      <c r="E1493" s="30"/>
      <c r="F1493" s="30"/>
      <c r="G1493" s="30"/>
      <c r="H1493" s="23"/>
      <c r="I1493" s="30"/>
      <c r="J1493" s="30"/>
      <c r="K1493" s="30"/>
      <c r="L1493" s="30"/>
      <c r="M1493" s="30"/>
      <c r="N1493" s="30"/>
      <c r="O1493" s="30"/>
    </row>
    <row r="1494" ht="14.25" customHeight="1">
      <c r="A1494" s="30"/>
      <c r="B1494" s="30"/>
      <c r="C1494" s="30"/>
      <c r="D1494" s="23"/>
      <c r="E1494" s="30"/>
      <c r="F1494" s="30"/>
      <c r="G1494" s="30"/>
      <c r="H1494" s="23"/>
      <c r="I1494" s="30"/>
      <c r="J1494" s="30"/>
      <c r="K1494" s="30"/>
      <c r="L1494" s="30"/>
      <c r="M1494" s="30"/>
      <c r="N1494" s="30"/>
      <c r="O1494" s="30"/>
    </row>
    <row r="1495" ht="14.25" customHeight="1">
      <c r="A1495" s="30"/>
      <c r="B1495" s="30"/>
      <c r="C1495" s="30"/>
      <c r="D1495" s="23"/>
      <c r="E1495" s="30"/>
      <c r="F1495" s="30"/>
      <c r="G1495" s="30"/>
      <c r="H1495" s="23"/>
      <c r="I1495" s="30"/>
      <c r="J1495" s="30"/>
      <c r="K1495" s="30"/>
      <c r="L1495" s="30"/>
      <c r="M1495" s="30"/>
      <c r="N1495" s="30"/>
      <c r="O1495" s="30"/>
    </row>
    <row r="1496" ht="14.25" customHeight="1">
      <c r="A1496" s="30"/>
      <c r="B1496" s="30"/>
      <c r="C1496" s="30"/>
      <c r="D1496" s="23"/>
      <c r="E1496" s="30"/>
      <c r="F1496" s="30"/>
      <c r="G1496" s="30"/>
      <c r="H1496" s="23"/>
      <c r="I1496" s="30"/>
      <c r="J1496" s="30"/>
      <c r="K1496" s="30"/>
      <c r="L1496" s="30"/>
      <c r="M1496" s="30"/>
      <c r="N1496" s="30"/>
      <c r="O1496" s="30"/>
    </row>
    <row r="1497" ht="14.25" customHeight="1">
      <c r="A1497" s="30"/>
      <c r="B1497" s="30"/>
      <c r="C1497" s="30"/>
      <c r="D1497" s="23"/>
      <c r="E1497" s="30"/>
      <c r="F1497" s="30"/>
      <c r="G1497" s="30"/>
      <c r="H1497" s="23"/>
      <c r="I1497" s="30"/>
      <c r="J1497" s="30"/>
      <c r="K1497" s="30"/>
      <c r="L1497" s="30"/>
      <c r="M1497" s="30"/>
      <c r="N1497" s="30"/>
      <c r="O1497" s="30"/>
    </row>
    <row r="1498" ht="14.25" customHeight="1">
      <c r="A1498" s="30"/>
      <c r="B1498" s="30"/>
      <c r="C1498" s="30"/>
      <c r="D1498" s="23"/>
      <c r="E1498" s="30"/>
      <c r="F1498" s="30"/>
      <c r="G1498" s="30"/>
      <c r="H1498" s="23"/>
      <c r="I1498" s="30"/>
      <c r="J1498" s="30"/>
      <c r="K1498" s="30"/>
      <c r="L1498" s="30"/>
      <c r="M1498" s="30"/>
      <c r="N1498" s="30"/>
      <c r="O1498" s="30"/>
    </row>
    <row r="1499" ht="14.25" customHeight="1">
      <c r="A1499" s="30"/>
      <c r="B1499" s="30"/>
      <c r="C1499" s="30"/>
      <c r="D1499" s="23"/>
      <c r="E1499" s="30"/>
      <c r="F1499" s="30"/>
      <c r="G1499" s="30"/>
      <c r="H1499" s="23"/>
      <c r="I1499" s="30"/>
      <c r="J1499" s="30"/>
      <c r="K1499" s="30"/>
      <c r="L1499" s="30"/>
      <c r="M1499" s="30"/>
      <c r="N1499" s="30"/>
      <c r="O1499" s="30"/>
    </row>
    <row r="1500" ht="14.25" customHeight="1">
      <c r="A1500" s="30"/>
      <c r="B1500" s="30"/>
      <c r="C1500" s="30"/>
      <c r="D1500" s="23"/>
      <c r="E1500" s="30"/>
      <c r="F1500" s="30"/>
      <c r="G1500" s="30"/>
      <c r="H1500" s="23"/>
      <c r="I1500" s="30"/>
      <c r="J1500" s="30"/>
      <c r="K1500" s="30"/>
      <c r="L1500" s="30"/>
      <c r="M1500" s="30"/>
      <c r="N1500" s="30"/>
      <c r="O1500" s="30"/>
    </row>
    <row r="1501" ht="14.25" customHeight="1">
      <c r="A1501" s="30"/>
      <c r="B1501" s="30"/>
      <c r="C1501" s="30"/>
      <c r="D1501" s="23"/>
      <c r="E1501" s="30"/>
      <c r="F1501" s="30"/>
      <c r="G1501" s="30"/>
      <c r="H1501" s="23"/>
      <c r="I1501" s="30"/>
      <c r="J1501" s="30"/>
      <c r="K1501" s="30"/>
      <c r="L1501" s="30"/>
      <c r="M1501" s="30"/>
      <c r="N1501" s="30"/>
      <c r="O1501" s="30"/>
    </row>
    <row r="1502" ht="14.25" customHeight="1">
      <c r="A1502" s="30"/>
      <c r="B1502" s="30"/>
      <c r="C1502" s="30"/>
      <c r="D1502" s="23"/>
      <c r="E1502" s="30"/>
      <c r="F1502" s="30"/>
      <c r="G1502" s="30"/>
      <c r="H1502" s="23"/>
      <c r="I1502" s="30"/>
      <c r="J1502" s="30"/>
      <c r="K1502" s="30"/>
      <c r="L1502" s="30"/>
      <c r="M1502" s="30"/>
      <c r="N1502" s="30"/>
      <c r="O1502" s="30"/>
    </row>
    <row r="1503" ht="14.25" customHeight="1">
      <c r="A1503" s="30"/>
      <c r="B1503" s="30"/>
      <c r="C1503" s="30"/>
      <c r="D1503" s="23"/>
      <c r="E1503" s="30"/>
      <c r="F1503" s="30"/>
      <c r="G1503" s="30"/>
      <c r="H1503" s="23"/>
      <c r="I1503" s="30"/>
      <c r="J1503" s="30"/>
      <c r="K1503" s="30"/>
      <c r="L1503" s="30"/>
      <c r="M1503" s="30"/>
      <c r="N1503" s="30"/>
      <c r="O1503" s="30"/>
    </row>
    <row r="1504" ht="14.25" customHeight="1">
      <c r="A1504" s="30"/>
      <c r="B1504" s="30"/>
      <c r="C1504" s="30"/>
      <c r="D1504" s="23"/>
      <c r="E1504" s="30"/>
      <c r="F1504" s="30"/>
      <c r="G1504" s="30"/>
      <c r="H1504" s="23"/>
      <c r="I1504" s="30"/>
      <c r="J1504" s="30"/>
      <c r="K1504" s="30"/>
      <c r="L1504" s="30"/>
      <c r="M1504" s="30"/>
      <c r="N1504" s="30"/>
      <c r="O1504" s="30"/>
    </row>
    <row r="1505" ht="14.25" customHeight="1">
      <c r="A1505" s="30"/>
      <c r="B1505" s="30"/>
      <c r="C1505" s="30"/>
      <c r="D1505" s="23"/>
      <c r="E1505" s="30"/>
      <c r="F1505" s="30"/>
      <c r="G1505" s="30"/>
      <c r="H1505" s="23"/>
      <c r="I1505" s="30"/>
      <c r="J1505" s="30"/>
      <c r="K1505" s="30"/>
      <c r="L1505" s="30"/>
      <c r="M1505" s="30"/>
      <c r="N1505" s="30"/>
      <c r="O1505" s="30"/>
    </row>
    <row r="1506" ht="14.25" customHeight="1">
      <c r="A1506" s="30"/>
      <c r="B1506" s="30"/>
      <c r="C1506" s="30"/>
      <c r="D1506" s="23"/>
      <c r="E1506" s="30"/>
      <c r="F1506" s="30"/>
      <c r="G1506" s="30"/>
      <c r="H1506" s="23"/>
      <c r="I1506" s="30"/>
      <c r="J1506" s="30"/>
      <c r="K1506" s="30"/>
      <c r="L1506" s="30"/>
      <c r="M1506" s="30"/>
      <c r="N1506" s="30"/>
      <c r="O1506" s="30"/>
    </row>
    <row r="1507" ht="14.25" customHeight="1">
      <c r="A1507" s="30"/>
      <c r="B1507" s="30"/>
      <c r="C1507" s="30"/>
      <c r="D1507" s="23"/>
      <c r="E1507" s="30"/>
      <c r="F1507" s="30"/>
      <c r="G1507" s="30"/>
      <c r="H1507" s="23"/>
      <c r="I1507" s="30"/>
      <c r="J1507" s="30"/>
      <c r="K1507" s="30"/>
      <c r="L1507" s="30"/>
      <c r="M1507" s="30"/>
      <c r="N1507" s="30"/>
      <c r="O1507" s="30"/>
    </row>
    <row r="1508" ht="14.25" customHeight="1">
      <c r="A1508" s="30"/>
      <c r="B1508" s="30"/>
      <c r="C1508" s="30"/>
      <c r="D1508" s="23"/>
      <c r="E1508" s="30"/>
      <c r="F1508" s="30"/>
      <c r="G1508" s="30"/>
      <c r="H1508" s="23"/>
      <c r="I1508" s="30"/>
      <c r="J1508" s="30"/>
      <c r="K1508" s="30"/>
      <c r="L1508" s="30"/>
      <c r="M1508" s="30"/>
      <c r="N1508" s="30"/>
      <c r="O1508" s="30"/>
    </row>
    <row r="1509" ht="14.25" customHeight="1">
      <c r="A1509" s="30"/>
      <c r="B1509" s="30"/>
      <c r="C1509" s="30"/>
      <c r="D1509" s="23"/>
      <c r="E1509" s="30"/>
      <c r="F1509" s="30"/>
      <c r="G1509" s="30"/>
      <c r="H1509" s="23"/>
      <c r="I1509" s="30"/>
      <c r="J1509" s="30"/>
      <c r="K1509" s="30"/>
      <c r="L1509" s="30"/>
      <c r="M1509" s="30"/>
      <c r="N1509" s="30"/>
      <c r="O1509" s="30"/>
    </row>
    <row r="1510" ht="14.25" customHeight="1">
      <c r="A1510" s="30"/>
      <c r="B1510" s="30"/>
      <c r="C1510" s="30"/>
      <c r="D1510" s="23"/>
      <c r="E1510" s="30"/>
      <c r="F1510" s="30"/>
      <c r="G1510" s="30"/>
      <c r="H1510" s="23"/>
      <c r="I1510" s="30"/>
      <c r="J1510" s="30"/>
      <c r="K1510" s="30"/>
      <c r="L1510" s="30"/>
      <c r="M1510" s="30"/>
      <c r="N1510" s="30"/>
      <c r="O1510" s="30"/>
    </row>
    <row r="1511" ht="14.25" customHeight="1">
      <c r="A1511" s="30"/>
      <c r="B1511" s="30"/>
      <c r="C1511" s="30"/>
      <c r="D1511" s="23"/>
      <c r="E1511" s="30"/>
      <c r="F1511" s="30"/>
      <c r="G1511" s="30"/>
      <c r="H1511" s="23"/>
      <c r="I1511" s="30"/>
      <c r="J1511" s="30"/>
      <c r="K1511" s="30"/>
      <c r="L1511" s="30"/>
      <c r="M1511" s="30"/>
      <c r="N1511" s="30"/>
      <c r="O1511" s="30"/>
    </row>
    <row r="1512" ht="14.25" customHeight="1">
      <c r="A1512" s="30"/>
      <c r="B1512" s="30"/>
      <c r="C1512" s="30"/>
      <c r="D1512" s="23"/>
      <c r="E1512" s="30"/>
      <c r="F1512" s="30"/>
      <c r="G1512" s="30"/>
      <c r="H1512" s="23"/>
      <c r="I1512" s="30"/>
      <c r="J1512" s="30"/>
      <c r="K1512" s="30"/>
      <c r="L1512" s="30"/>
      <c r="M1512" s="30"/>
      <c r="N1512" s="30"/>
      <c r="O1512" s="30"/>
    </row>
    <row r="1513" ht="14.25" customHeight="1">
      <c r="A1513" s="30"/>
      <c r="B1513" s="30"/>
      <c r="C1513" s="30"/>
      <c r="D1513" s="23"/>
      <c r="E1513" s="30"/>
      <c r="F1513" s="30"/>
      <c r="G1513" s="30"/>
      <c r="H1513" s="23"/>
      <c r="I1513" s="30"/>
      <c r="J1513" s="30"/>
      <c r="K1513" s="30"/>
      <c r="L1513" s="30"/>
      <c r="M1513" s="30"/>
      <c r="N1513" s="30"/>
      <c r="O1513" s="30"/>
    </row>
    <row r="1514" ht="14.25" customHeight="1">
      <c r="A1514" s="30"/>
      <c r="B1514" s="30"/>
      <c r="C1514" s="30"/>
      <c r="D1514" s="23"/>
      <c r="E1514" s="30"/>
      <c r="F1514" s="30"/>
      <c r="G1514" s="30"/>
      <c r="H1514" s="23"/>
      <c r="I1514" s="30"/>
      <c r="J1514" s="30"/>
      <c r="K1514" s="30"/>
      <c r="L1514" s="30"/>
      <c r="M1514" s="30"/>
      <c r="N1514" s="30"/>
      <c r="O1514" s="30"/>
    </row>
    <row r="1515" ht="14.25" customHeight="1">
      <c r="A1515" s="30"/>
      <c r="B1515" s="30"/>
      <c r="C1515" s="30"/>
      <c r="D1515" s="23"/>
      <c r="E1515" s="30"/>
      <c r="F1515" s="30"/>
      <c r="G1515" s="30"/>
      <c r="H1515" s="23"/>
      <c r="I1515" s="30"/>
      <c r="J1515" s="30"/>
      <c r="K1515" s="30"/>
      <c r="L1515" s="30"/>
      <c r="M1515" s="30"/>
      <c r="N1515" s="30"/>
      <c r="O1515" s="30"/>
    </row>
    <row r="1516" ht="14.25" customHeight="1">
      <c r="A1516" s="30"/>
      <c r="B1516" s="30"/>
      <c r="C1516" s="30"/>
      <c r="D1516" s="23"/>
      <c r="E1516" s="30"/>
      <c r="F1516" s="30"/>
      <c r="G1516" s="30"/>
      <c r="H1516" s="23"/>
      <c r="I1516" s="30"/>
      <c r="J1516" s="30"/>
      <c r="K1516" s="30"/>
      <c r="L1516" s="30"/>
      <c r="M1516" s="30"/>
      <c r="N1516" s="30"/>
      <c r="O1516" s="30"/>
    </row>
    <row r="1517" ht="14.25" customHeight="1">
      <c r="A1517" s="30"/>
      <c r="B1517" s="30"/>
      <c r="C1517" s="30"/>
      <c r="D1517" s="23"/>
      <c r="E1517" s="30"/>
      <c r="F1517" s="30"/>
      <c r="G1517" s="30"/>
      <c r="H1517" s="23"/>
      <c r="I1517" s="30"/>
      <c r="J1517" s="30"/>
      <c r="K1517" s="30"/>
      <c r="L1517" s="30"/>
      <c r="M1517" s="30"/>
      <c r="N1517" s="30"/>
      <c r="O1517" s="30"/>
    </row>
    <row r="1518" ht="14.25" customHeight="1">
      <c r="A1518" s="30"/>
      <c r="B1518" s="30"/>
      <c r="C1518" s="30"/>
      <c r="D1518" s="23"/>
      <c r="E1518" s="30"/>
      <c r="F1518" s="30"/>
      <c r="G1518" s="30"/>
      <c r="H1518" s="23"/>
      <c r="I1518" s="30"/>
      <c r="J1518" s="30"/>
      <c r="K1518" s="30"/>
      <c r="L1518" s="30"/>
      <c r="M1518" s="30"/>
      <c r="N1518" s="30"/>
      <c r="O1518" s="30"/>
    </row>
    <row r="1519" ht="14.25" customHeight="1">
      <c r="A1519" s="30"/>
      <c r="B1519" s="30"/>
      <c r="C1519" s="30"/>
      <c r="D1519" s="23"/>
      <c r="E1519" s="30"/>
      <c r="F1519" s="30"/>
      <c r="G1519" s="30"/>
      <c r="H1519" s="23"/>
      <c r="I1519" s="30"/>
      <c r="J1519" s="30"/>
      <c r="K1519" s="30"/>
      <c r="L1519" s="30"/>
      <c r="M1519" s="30"/>
      <c r="N1519" s="30"/>
      <c r="O1519" s="30"/>
    </row>
    <row r="1520" ht="14.25" customHeight="1">
      <c r="A1520" s="30"/>
      <c r="B1520" s="30"/>
      <c r="C1520" s="30"/>
      <c r="D1520" s="23"/>
      <c r="E1520" s="30"/>
      <c r="F1520" s="30"/>
      <c r="G1520" s="30"/>
      <c r="H1520" s="23"/>
      <c r="I1520" s="30"/>
      <c r="J1520" s="30"/>
      <c r="K1520" s="30"/>
      <c r="L1520" s="30"/>
      <c r="M1520" s="30"/>
      <c r="N1520" s="30"/>
      <c r="O1520" s="30"/>
    </row>
    <row r="1521" ht="14.25" customHeight="1">
      <c r="A1521" s="30"/>
      <c r="B1521" s="30"/>
      <c r="C1521" s="30"/>
      <c r="D1521" s="23"/>
      <c r="E1521" s="30"/>
      <c r="F1521" s="30"/>
      <c r="G1521" s="30"/>
      <c r="H1521" s="23"/>
      <c r="I1521" s="30"/>
      <c r="J1521" s="30"/>
      <c r="K1521" s="30"/>
      <c r="L1521" s="30"/>
      <c r="M1521" s="30"/>
      <c r="N1521" s="30"/>
      <c r="O1521" s="30"/>
    </row>
    <row r="1522" ht="14.25" customHeight="1">
      <c r="A1522" s="30"/>
      <c r="B1522" s="30"/>
      <c r="C1522" s="30"/>
      <c r="D1522" s="23"/>
      <c r="E1522" s="30"/>
      <c r="F1522" s="30"/>
      <c r="G1522" s="30"/>
      <c r="H1522" s="23"/>
      <c r="I1522" s="30"/>
      <c r="J1522" s="30"/>
      <c r="K1522" s="30"/>
      <c r="L1522" s="30"/>
      <c r="M1522" s="30"/>
      <c r="N1522" s="30"/>
      <c r="O1522" s="30"/>
    </row>
    <row r="1523" ht="14.25" customHeight="1">
      <c r="A1523" s="30"/>
      <c r="B1523" s="30"/>
      <c r="C1523" s="30"/>
      <c r="D1523" s="23"/>
      <c r="E1523" s="30"/>
      <c r="F1523" s="30"/>
      <c r="G1523" s="30"/>
      <c r="H1523" s="23"/>
      <c r="I1523" s="30"/>
      <c r="J1523" s="30"/>
      <c r="K1523" s="30"/>
      <c r="L1523" s="30"/>
      <c r="M1523" s="30"/>
      <c r="N1523" s="30"/>
      <c r="O1523" s="30"/>
    </row>
    <row r="1524" ht="14.25" customHeight="1">
      <c r="A1524" s="30"/>
      <c r="B1524" s="30"/>
      <c r="C1524" s="30"/>
      <c r="D1524" s="23"/>
      <c r="E1524" s="30"/>
      <c r="F1524" s="30"/>
      <c r="G1524" s="30"/>
      <c r="H1524" s="23"/>
      <c r="I1524" s="30"/>
      <c r="J1524" s="30"/>
      <c r="K1524" s="30"/>
      <c r="L1524" s="30"/>
      <c r="M1524" s="30"/>
      <c r="N1524" s="30"/>
      <c r="O1524" s="30"/>
    </row>
    <row r="1525" ht="14.25" customHeight="1">
      <c r="A1525" s="30"/>
      <c r="B1525" s="30"/>
      <c r="C1525" s="30"/>
      <c r="D1525" s="23"/>
      <c r="E1525" s="30"/>
      <c r="F1525" s="30"/>
      <c r="G1525" s="30"/>
      <c r="H1525" s="23"/>
      <c r="I1525" s="30"/>
      <c r="J1525" s="30"/>
      <c r="K1525" s="30"/>
      <c r="L1525" s="30"/>
      <c r="M1525" s="30"/>
      <c r="N1525" s="30"/>
      <c r="O1525" s="30"/>
    </row>
    <row r="1526" ht="14.25" customHeight="1">
      <c r="A1526" s="30"/>
      <c r="B1526" s="30"/>
      <c r="C1526" s="30"/>
      <c r="D1526" s="23"/>
      <c r="E1526" s="30"/>
      <c r="F1526" s="30"/>
      <c r="G1526" s="30"/>
      <c r="H1526" s="23"/>
      <c r="I1526" s="30"/>
      <c r="J1526" s="30"/>
      <c r="K1526" s="30"/>
      <c r="L1526" s="30"/>
      <c r="M1526" s="30"/>
      <c r="N1526" s="30"/>
      <c r="O1526" s="30"/>
    </row>
    <row r="1527" ht="14.25" customHeight="1">
      <c r="A1527" s="30"/>
      <c r="B1527" s="30"/>
      <c r="C1527" s="30"/>
      <c r="D1527" s="23"/>
      <c r="E1527" s="30"/>
      <c r="F1527" s="30"/>
      <c r="G1527" s="30"/>
      <c r="H1527" s="23"/>
      <c r="I1527" s="30"/>
      <c r="J1527" s="30"/>
      <c r="K1527" s="30"/>
      <c r="L1527" s="30"/>
      <c r="M1527" s="30"/>
      <c r="N1527" s="30"/>
      <c r="O1527" s="30"/>
    </row>
    <row r="1528" ht="14.25" customHeight="1">
      <c r="A1528" s="30"/>
      <c r="B1528" s="30"/>
      <c r="C1528" s="30"/>
      <c r="D1528" s="23"/>
      <c r="E1528" s="30"/>
      <c r="F1528" s="30"/>
      <c r="G1528" s="30"/>
      <c r="H1528" s="23"/>
      <c r="I1528" s="30"/>
      <c r="J1528" s="30"/>
      <c r="K1528" s="30"/>
      <c r="L1528" s="30"/>
      <c r="M1528" s="30"/>
      <c r="N1528" s="30"/>
      <c r="O1528" s="30"/>
    </row>
    <row r="1529" ht="14.25" customHeight="1">
      <c r="A1529" s="30"/>
      <c r="B1529" s="30"/>
      <c r="C1529" s="30"/>
      <c r="D1529" s="23"/>
      <c r="E1529" s="30"/>
      <c r="F1529" s="30"/>
      <c r="G1529" s="30"/>
      <c r="H1529" s="23"/>
      <c r="I1529" s="30"/>
      <c r="J1529" s="30"/>
      <c r="K1529" s="30"/>
      <c r="L1529" s="30"/>
      <c r="M1529" s="30"/>
      <c r="N1529" s="30"/>
      <c r="O1529" s="30"/>
    </row>
    <row r="1530" ht="14.25" customHeight="1">
      <c r="A1530" s="30"/>
      <c r="B1530" s="30"/>
      <c r="C1530" s="30"/>
      <c r="D1530" s="23"/>
      <c r="E1530" s="30"/>
      <c r="F1530" s="30"/>
      <c r="G1530" s="30"/>
      <c r="H1530" s="23"/>
      <c r="I1530" s="30"/>
      <c r="J1530" s="30"/>
      <c r="K1530" s="30"/>
      <c r="L1530" s="30"/>
      <c r="M1530" s="30"/>
      <c r="N1530" s="30"/>
      <c r="O1530" s="30"/>
    </row>
    <row r="1531" ht="14.25" customHeight="1">
      <c r="A1531" s="30"/>
      <c r="B1531" s="30"/>
      <c r="C1531" s="30"/>
      <c r="D1531" s="23"/>
      <c r="E1531" s="30"/>
      <c r="F1531" s="30"/>
      <c r="G1531" s="30"/>
      <c r="H1531" s="23"/>
      <c r="I1531" s="30"/>
      <c r="J1531" s="30"/>
      <c r="K1531" s="30"/>
      <c r="L1531" s="30"/>
      <c r="M1531" s="30"/>
      <c r="N1531" s="30"/>
      <c r="O1531" s="30"/>
    </row>
    <row r="1532" ht="14.25" customHeight="1">
      <c r="A1532" s="30"/>
      <c r="B1532" s="30"/>
      <c r="C1532" s="30"/>
      <c r="D1532" s="23"/>
      <c r="E1532" s="30"/>
      <c r="F1532" s="30"/>
      <c r="G1532" s="30"/>
      <c r="H1532" s="23"/>
      <c r="I1532" s="30"/>
      <c r="J1532" s="30"/>
      <c r="K1532" s="30"/>
      <c r="L1532" s="30"/>
      <c r="M1532" s="30"/>
      <c r="N1532" s="30"/>
      <c r="O1532" s="30"/>
    </row>
    <row r="1533" ht="14.25" customHeight="1">
      <c r="A1533" s="30"/>
      <c r="B1533" s="30"/>
      <c r="C1533" s="30"/>
      <c r="D1533" s="23"/>
      <c r="E1533" s="30"/>
      <c r="F1533" s="30"/>
      <c r="G1533" s="30"/>
      <c r="H1533" s="23"/>
      <c r="I1533" s="30"/>
      <c r="J1533" s="30"/>
      <c r="K1533" s="30"/>
      <c r="L1533" s="30"/>
      <c r="M1533" s="30"/>
      <c r="N1533" s="30"/>
      <c r="O1533" s="30"/>
    </row>
    <row r="1534" ht="14.25" customHeight="1">
      <c r="A1534" s="30"/>
      <c r="B1534" s="30"/>
      <c r="C1534" s="30"/>
      <c r="D1534" s="23"/>
      <c r="E1534" s="30"/>
      <c r="F1534" s="30"/>
      <c r="G1534" s="30"/>
      <c r="H1534" s="23"/>
      <c r="I1534" s="30"/>
      <c r="J1534" s="30"/>
      <c r="K1534" s="30"/>
      <c r="L1534" s="30"/>
      <c r="M1534" s="30"/>
      <c r="N1534" s="30"/>
      <c r="O1534" s="30"/>
    </row>
    <row r="1535" ht="14.25" customHeight="1">
      <c r="A1535" s="30"/>
      <c r="B1535" s="30"/>
      <c r="C1535" s="30"/>
      <c r="D1535" s="23"/>
      <c r="E1535" s="30"/>
      <c r="F1535" s="30"/>
      <c r="G1535" s="30"/>
      <c r="H1535" s="23"/>
      <c r="I1535" s="30"/>
      <c r="J1535" s="30"/>
      <c r="K1535" s="30"/>
      <c r="L1535" s="30"/>
      <c r="M1535" s="30"/>
      <c r="N1535" s="30"/>
      <c r="O1535" s="30"/>
    </row>
    <row r="1536" ht="14.25" customHeight="1">
      <c r="A1536" s="30"/>
      <c r="B1536" s="30"/>
      <c r="C1536" s="30"/>
      <c r="D1536" s="23"/>
      <c r="E1536" s="30"/>
      <c r="F1536" s="30"/>
      <c r="G1536" s="30"/>
      <c r="H1536" s="23"/>
      <c r="I1536" s="30"/>
      <c r="J1536" s="30"/>
      <c r="K1536" s="30"/>
      <c r="L1536" s="30"/>
      <c r="M1536" s="30"/>
      <c r="N1536" s="30"/>
      <c r="O1536" s="30"/>
    </row>
    <row r="1537" ht="14.25" customHeight="1">
      <c r="A1537" s="30"/>
      <c r="B1537" s="30"/>
      <c r="C1537" s="30"/>
      <c r="D1537" s="23"/>
      <c r="E1537" s="30"/>
      <c r="F1537" s="30"/>
      <c r="G1537" s="30"/>
      <c r="H1537" s="23"/>
      <c r="I1537" s="30"/>
      <c r="J1537" s="30"/>
      <c r="K1537" s="30"/>
      <c r="L1537" s="30"/>
      <c r="M1537" s="30"/>
      <c r="N1537" s="30"/>
      <c r="O1537" s="30"/>
    </row>
    <row r="1538" ht="14.25" customHeight="1">
      <c r="A1538" s="30"/>
      <c r="B1538" s="30"/>
      <c r="C1538" s="30"/>
      <c r="D1538" s="23"/>
      <c r="E1538" s="30"/>
      <c r="F1538" s="30"/>
      <c r="G1538" s="30"/>
      <c r="H1538" s="23"/>
      <c r="I1538" s="30"/>
      <c r="J1538" s="30"/>
      <c r="K1538" s="30"/>
      <c r="L1538" s="30"/>
      <c r="M1538" s="30"/>
      <c r="N1538" s="30"/>
      <c r="O1538" s="30"/>
    </row>
    <row r="1539" ht="14.25" customHeight="1">
      <c r="A1539" s="30"/>
      <c r="B1539" s="30"/>
      <c r="C1539" s="30"/>
      <c r="D1539" s="23"/>
      <c r="E1539" s="30"/>
      <c r="F1539" s="30"/>
      <c r="G1539" s="30"/>
      <c r="H1539" s="23"/>
      <c r="I1539" s="30"/>
      <c r="J1539" s="30"/>
      <c r="K1539" s="30"/>
      <c r="L1539" s="30"/>
      <c r="M1539" s="30"/>
      <c r="N1539" s="30"/>
      <c r="O1539" s="30"/>
    </row>
    <row r="1540" ht="14.25" customHeight="1">
      <c r="A1540" s="30"/>
      <c r="B1540" s="30"/>
      <c r="C1540" s="30"/>
      <c r="D1540" s="23"/>
      <c r="E1540" s="30"/>
      <c r="F1540" s="30"/>
      <c r="G1540" s="30"/>
      <c r="H1540" s="23"/>
      <c r="I1540" s="30"/>
      <c r="J1540" s="30"/>
      <c r="K1540" s="30"/>
      <c r="L1540" s="30"/>
      <c r="M1540" s="30"/>
      <c r="N1540" s="30"/>
      <c r="O1540" s="30"/>
    </row>
    <row r="1541" ht="14.25" customHeight="1">
      <c r="A1541" s="30"/>
      <c r="B1541" s="30"/>
      <c r="C1541" s="30"/>
      <c r="D1541" s="23"/>
      <c r="E1541" s="30"/>
      <c r="F1541" s="30"/>
      <c r="G1541" s="30"/>
      <c r="H1541" s="23"/>
      <c r="I1541" s="30"/>
      <c r="J1541" s="30"/>
      <c r="K1541" s="30"/>
      <c r="L1541" s="30"/>
      <c r="M1541" s="30"/>
      <c r="N1541" s="30"/>
      <c r="O1541" s="30"/>
    </row>
    <row r="1542" ht="14.25" customHeight="1">
      <c r="A1542" s="30"/>
      <c r="B1542" s="30"/>
      <c r="C1542" s="30"/>
      <c r="D1542" s="23"/>
      <c r="E1542" s="30"/>
      <c r="F1542" s="30"/>
      <c r="G1542" s="30"/>
      <c r="H1542" s="23"/>
      <c r="I1542" s="30"/>
      <c r="J1542" s="30"/>
      <c r="K1542" s="30"/>
      <c r="L1542" s="30"/>
      <c r="M1542" s="30"/>
      <c r="N1542" s="30"/>
      <c r="O1542" s="30"/>
    </row>
    <row r="1543" ht="14.25" customHeight="1">
      <c r="A1543" s="30"/>
      <c r="B1543" s="30"/>
      <c r="C1543" s="30"/>
      <c r="D1543" s="23"/>
      <c r="E1543" s="30"/>
      <c r="F1543" s="30"/>
      <c r="G1543" s="30"/>
      <c r="H1543" s="23"/>
      <c r="I1543" s="30"/>
      <c r="J1543" s="30"/>
      <c r="K1543" s="30"/>
      <c r="L1543" s="30"/>
      <c r="M1543" s="30"/>
      <c r="N1543" s="30"/>
      <c r="O1543" s="30"/>
    </row>
    <row r="1544" ht="14.25" customHeight="1">
      <c r="A1544" s="30"/>
      <c r="B1544" s="30"/>
      <c r="C1544" s="30"/>
      <c r="D1544" s="23"/>
      <c r="E1544" s="30"/>
      <c r="F1544" s="30"/>
      <c r="G1544" s="30"/>
      <c r="H1544" s="23"/>
      <c r="I1544" s="30"/>
      <c r="J1544" s="30"/>
      <c r="K1544" s="30"/>
      <c r="L1544" s="30"/>
      <c r="M1544" s="30"/>
      <c r="N1544" s="30"/>
      <c r="O1544" s="30"/>
    </row>
    <row r="1545" ht="14.25" customHeight="1">
      <c r="A1545" s="30"/>
      <c r="B1545" s="30"/>
      <c r="C1545" s="30"/>
      <c r="D1545" s="23"/>
      <c r="E1545" s="30"/>
      <c r="F1545" s="30"/>
      <c r="G1545" s="30"/>
      <c r="H1545" s="23"/>
      <c r="I1545" s="30"/>
      <c r="J1545" s="30"/>
      <c r="K1545" s="30"/>
      <c r="L1545" s="30"/>
      <c r="M1545" s="30"/>
      <c r="N1545" s="30"/>
      <c r="O1545" s="30"/>
    </row>
    <row r="1546" ht="14.25" customHeight="1">
      <c r="A1546" s="30"/>
      <c r="B1546" s="30"/>
      <c r="C1546" s="30"/>
      <c r="D1546" s="23"/>
      <c r="E1546" s="30"/>
      <c r="F1546" s="30"/>
      <c r="G1546" s="30"/>
      <c r="H1546" s="23"/>
      <c r="I1546" s="30"/>
      <c r="J1546" s="30"/>
      <c r="K1546" s="30"/>
      <c r="L1546" s="30"/>
      <c r="M1546" s="30"/>
      <c r="N1546" s="30"/>
      <c r="O1546" s="30"/>
    </row>
    <row r="1547" ht="14.25" customHeight="1">
      <c r="A1547" s="30"/>
      <c r="B1547" s="30"/>
      <c r="C1547" s="30"/>
      <c r="D1547" s="23"/>
      <c r="E1547" s="30"/>
      <c r="F1547" s="30"/>
      <c r="G1547" s="30"/>
      <c r="H1547" s="23"/>
      <c r="I1547" s="30"/>
      <c r="J1547" s="30"/>
      <c r="K1547" s="30"/>
      <c r="L1547" s="30"/>
      <c r="M1547" s="30"/>
      <c r="N1547" s="30"/>
      <c r="O1547" s="30"/>
    </row>
    <row r="1548" ht="14.25" customHeight="1">
      <c r="A1548" s="30"/>
      <c r="B1548" s="30"/>
      <c r="C1548" s="30"/>
      <c r="D1548" s="23"/>
      <c r="E1548" s="30"/>
      <c r="F1548" s="30"/>
      <c r="G1548" s="30"/>
      <c r="H1548" s="23"/>
      <c r="I1548" s="30"/>
      <c r="J1548" s="30"/>
      <c r="K1548" s="30"/>
      <c r="L1548" s="30"/>
      <c r="M1548" s="30"/>
      <c r="N1548" s="30"/>
      <c r="O1548" s="30"/>
    </row>
    <row r="1549" ht="14.25" customHeight="1">
      <c r="A1549" s="30"/>
      <c r="B1549" s="30"/>
      <c r="C1549" s="30"/>
      <c r="D1549" s="23"/>
      <c r="E1549" s="30"/>
      <c r="F1549" s="30"/>
      <c r="G1549" s="30"/>
      <c r="H1549" s="23"/>
      <c r="I1549" s="30"/>
      <c r="J1549" s="30"/>
      <c r="K1549" s="30"/>
      <c r="L1549" s="30"/>
      <c r="M1549" s="30"/>
      <c r="N1549" s="30"/>
      <c r="O1549" s="30"/>
    </row>
    <row r="1550" ht="14.25" customHeight="1">
      <c r="A1550" s="30"/>
      <c r="B1550" s="30"/>
      <c r="C1550" s="30"/>
      <c r="D1550" s="23"/>
      <c r="E1550" s="30"/>
      <c r="F1550" s="30"/>
      <c r="G1550" s="30"/>
      <c r="H1550" s="23"/>
      <c r="I1550" s="30"/>
      <c r="J1550" s="30"/>
      <c r="K1550" s="30"/>
      <c r="L1550" s="30"/>
      <c r="M1550" s="30"/>
      <c r="N1550" s="30"/>
      <c r="O1550" s="30"/>
    </row>
    <row r="1551" ht="14.25" customHeight="1">
      <c r="A1551" s="30"/>
      <c r="B1551" s="30"/>
      <c r="C1551" s="30"/>
      <c r="D1551" s="23"/>
      <c r="E1551" s="30"/>
      <c r="F1551" s="30"/>
      <c r="G1551" s="30"/>
      <c r="H1551" s="23"/>
      <c r="I1551" s="30"/>
      <c r="J1551" s="30"/>
      <c r="K1551" s="30"/>
      <c r="L1551" s="30"/>
      <c r="M1551" s="30"/>
      <c r="N1551" s="30"/>
      <c r="O1551" s="30"/>
    </row>
    <row r="1552" ht="14.25" customHeight="1">
      <c r="A1552" s="30"/>
      <c r="B1552" s="30"/>
      <c r="C1552" s="30"/>
      <c r="D1552" s="23"/>
      <c r="E1552" s="30"/>
      <c r="F1552" s="30"/>
      <c r="G1552" s="30"/>
      <c r="H1552" s="23"/>
      <c r="I1552" s="30"/>
      <c r="J1552" s="30"/>
      <c r="K1552" s="30"/>
      <c r="L1552" s="30"/>
      <c r="M1552" s="30"/>
      <c r="N1552" s="30"/>
      <c r="O1552" s="30"/>
    </row>
    <row r="1553" ht="14.25" customHeight="1">
      <c r="A1553" s="30"/>
      <c r="B1553" s="30"/>
      <c r="C1553" s="30"/>
      <c r="D1553" s="23"/>
      <c r="E1553" s="30"/>
      <c r="F1553" s="30"/>
      <c r="G1553" s="30"/>
      <c r="H1553" s="23"/>
      <c r="I1553" s="30"/>
      <c r="J1553" s="30"/>
      <c r="K1553" s="30"/>
      <c r="L1553" s="30"/>
      <c r="M1553" s="30"/>
      <c r="N1553" s="30"/>
      <c r="O1553" s="30"/>
    </row>
    <row r="1554" ht="14.25" customHeight="1">
      <c r="A1554" s="30"/>
      <c r="B1554" s="30"/>
      <c r="C1554" s="30"/>
      <c r="D1554" s="23"/>
      <c r="E1554" s="30"/>
      <c r="F1554" s="30"/>
      <c r="G1554" s="30"/>
      <c r="H1554" s="23"/>
      <c r="I1554" s="30"/>
      <c r="J1554" s="30"/>
      <c r="K1554" s="30"/>
      <c r="L1554" s="30"/>
      <c r="M1554" s="30"/>
      <c r="N1554" s="30"/>
      <c r="O1554" s="30"/>
    </row>
    <row r="1555" ht="14.25" customHeight="1">
      <c r="A1555" s="30"/>
      <c r="B1555" s="30"/>
      <c r="C1555" s="30"/>
      <c r="D1555" s="23"/>
      <c r="E1555" s="30"/>
      <c r="F1555" s="30"/>
      <c r="G1555" s="30"/>
      <c r="H1555" s="23"/>
      <c r="I1555" s="30"/>
      <c r="J1555" s="30"/>
      <c r="K1555" s="30"/>
      <c r="L1555" s="30"/>
      <c r="M1555" s="30"/>
      <c r="N1555" s="30"/>
      <c r="O1555" s="30"/>
    </row>
    <row r="1556" ht="14.25" customHeight="1">
      <c r="A1556" s="30"/>
      <c r="B1556" s="30"/>
      <c r="C1556" s="30"/>
      <c r="D1556" s="23"/>
      <c r="E1556" s="30"/>
      <c r="F1556" s="30"/>
      <c r="G1556" s="30"/>
      <c r="H1556" s="23"/>
      <c r="I1556" s="30"/>
      <c r="J1556" s="30"/>
      <c r="K1556" s="30"/>
      <c r="L1556" s="30"/>
      <c r="M1556" s="30"/>
      <c r="N1556" s="30"/>
      <c r="O1556" s="30"/>
    </row>
    <row r="1557" ht="14.25" customHeight="1">
      <c r="A1557" s="30"/>
      <c r="B1557" s="30"/>
      <c r="C1557" s="30"/>
      <c r="D1557" s="23"/>
      <c r="E1557" s="30"/>
      <c r="F1557" s="30"/>
      <c r="G1557" s="30"/>
      <c r="H1557" s="23"/>
      <c r="I1557" s="30"/>
      <c r="J1557" s="30"/>
      <c r="K1557" s="30"/>
      <c r="L1557" s="30"/>
      <c r="M1557" s="30"/>
      <c r="N1557" s="30"/>
      <c r="O1557" s="30"/>
    </row>
    <row r="1558" ht="14.25" customHeight="1">
      <c r="A1558" s="30"/>
      <c r="B1558" s="30"/>
      <c r="C1558" s="30"/>
      <c r="D1558" s="23"/>
      <c r="E1558" s="30"/>
      <c r="F1558" s="30"/>
      <c r="G1558" s="30"/>
      <c r="H1558" s="23"/>
      <c r="I1558" s="30"/>
      <c r="J1558" s="30"/>
      <c r="K1558" s="30"/>
      <c r="L1558" s="30"/>
      <c r="M1558" s="30"/>
      <c r="N1558" s="30"/>
      <c r="O1558" s="30"/>
    </row>
    <row r="1559" ht="14.25" customHeight="1">
      <c r="A1559" s="30"/>
      <c r="B1559" s="30"/>
      <c r="C1559" s="30"/>
      <c r="D1559" s="23"/>
      <c r="E1559" s="30"/>
      <c r="F1559" s="30"/>
      <c r="G1559" s="30"/>
      <c r="H1559" s="23"/>
      <c r="I1559" s="30"/>
      <c r="J1559" s="30"/>
      <c r="K1559" s="30"/>
      <c r="L1559" s="30"/>
      <c r="M1559" s="30"/>
      <c r="N1559" s="30"/>
      <c r="O1559" s="30"/>
    </row>
    <row r="1560" ht="14.25" customHeight="1">
      <c r="A1560" s="30"/>
      <c r="B1560" s="30"/>
      <c r="C1560" s="30"/>
      <c r="D1560" s="23"/>
      <c r="E1560" s="30"/>
      <c r="F1560" s="30"/>
      <c r="G1560" s="30"/>
      <c r="H1560" s="23"/>
      <c r="I1560" s="30"/>
      <c r="J1560" s="30"/>
      <c r="K1560" s="30"/>
      <c r="L1560" s="30"/>
      <c r="M1560" s="30"/>
      <c r="N1560" s="30"/>
      <c r="O1560" s="30"/>
    </row>
    <row r="1561" ht="14.25" customHeight="1">
      <c r="A1561" s="30"/>
      <c r="B1561" s="30"/>
      <c r="C1561" s="30"/>
      <c r="D1561" s="23"/>
      <c r="E1561" s="30"/>
      <c r="F1561" s="30"/>
      <c r="G1561" s="30"/>
      <c r="H1561" s="23"/>
      <c r="I1561" s="30"/>
      <c r="J1561" s="30"/>
      <c r="K1561" s="30"/>
      <c r="L1561" s="30"/>
      <c r="M1561" s="30"/>
      <c r="N1561" s="30"/>
      <c r="O1561" s="30"/>
    </row>
    <row r="1562" ht="14.25" customHeight="1">
      <c r="A1562" s="30"/>
      <c r="B1562" s="30"/>
      <c r="C1562" s="30"/>
      <c r="D1562" s="23"/>
      <c r="E1562" s="30"/>
      <c r="F1562" s="30"/>
      <c r="G1562" s="30"/>
      <c r="H1562" s="23"/>
      <c r="I1562" s="30"/>
      <c r="J1562" s="30"/>
      <c r="K1562" s="30"/>
      <c r="L1562" s="30"/>
      <c r="M1562" s="30"/>
      <c r="N1562" s="30"/>
      <c r="O1562" s="30"/>
    </row>
    <row r="1563" ht="14.25" customHeight="1">
      <c r="A1563" s="30"/>
      <c r="B1563" s="30"/>
      <c r="C1563" s="30"/>
      <c r="D1563" s="23"/>
      <c r="E1563" s="30"/>
      <c r="F1563" s="30"/>
      <c r="G1563" s="30"/>
      <c r="H1563" s="23"/>
      <c r="I1563" s="30"/>
      <c r="J1563" s="30"/>
      <c r="K1563" s="30"/>
      <c r="L1563" s="30"/>
      <c r="M1563" s="30"/>
      <c r="N1563" s="30"/>
      <c r="O1563" s="30"/>
    </row>
    <row r="1564" ht="14.25" customHeight="1">
      <c r="A1564" s="30"/>
      <c r="B1564" s="30"/>
      <c r="C1564" s="30"/>
      <c r="D1564" s="23"/>
      <c r="E1564" s="30"/>
      <c r="F1564" s="30"/>
      <c r="G1564" s="30"/>
      <c r="H1564" s="23"/>
      <c r="I1564" s="30"/>
      <c r="J1564" s="30"/>
      <c r="K1564" s="30"/>
      <c r="L1564" s="30"/>
      <c r="M1564" s="30"/>
      <c r="N1564" s="30"/>
      <c r="O1564" s="30"/>
    </row>
    <row r="1565" ht="14.25" customHeight="1">
      <c r="A1565" s="30"/>
      <c r="B1565" s="30"/>
      <c r="C1565" s="30"/>
      <c r="D1565" s="23"/>
      <c r="E1565" s="30"/>
      <c r="F1565" s="30"/>
      <c r="G1565" s="30"/>
      <c r="H1565" s="23"/>
      <c r="I1565" s="30"/>
      <c r="J1565" s="30"/>
      <c r="K1565" s="30"/>
      <c r="L1565" s="30"/>
      <c r="M1565" s="30"/>
      <c r="N1565" s="30"/>
      <c r="O1565" s="30"/>
    </row>
    <row r="1566" ht="14.25" customHeight="1">
      <c r="A1566" s="30"/>
      <c r="B1566" s="30"/>
      <c r="C1566" s="30"/>
      <c r="D1566" s="23"/>
      <c r="E1566" s="30"/>
      <c r="F1566" s="30"/>
      <c r="G1566" s="30"/>
      <c r="H1566" s="23"/>
      <c r="I1566" s="30"/>
      <c r="J1566" s="30"/>
      <c r="K1566" s="30"/>
      <c r="L1566" s="30"/>
      <c r="M1566" s="30"/>
      <c r="N1566" s="30"/>
      <c r="O1566" s="30"/>
    </row>
    <row r="1567" ht="14.25" customHeight="1">
      <c r="A1567" s="30"/>
      <c r="B1567" s="30"/>
      <c r="C1567" s="30"/>
      <c r="D1567" s="23"/>
      <c r="E1567" s="30"/>
      <c r="F1567" s="30"/>
      <c r="G1567" s="30"/>
      <c r="H1567" s="23"/>
      <c r="I1567" s="30"/>
      <c r="J1567" s="30"/>
      <c r="K1567" s="30"/>
      <c r="L1567" s="30"/>
      <c r="M1567" s="30"/>
      <c r="N1567" s="30"/>
      <c r="O1567" s="30"/>
    </row>
    <row r="1568" ht="14.25" customHeight="1">
      <c r="A1568" s="30"/>
      <c r="B1568" s="30"/>
      <c r="C1568" s="30"/>
      <c r="D1568" s="23"/>
      <c r="E1568" s="30"/>
      <c r="F1568" s="30"/>
      <c r="G1568" s="30"/>
      <c r="H1568" s="23"/>
      <c r="I1568" s="30"/>
      <c r="J1568" s="30"/>
      <c r="K1568" s="30"/>
      <c r="L1568" s="30"/>
      <c r="M1568" s="30"/>
      <c r="N1568" s="30"/>
      <c r="O1568" s="30"/>
    </row>
    <row r="1569" ht="14.25" customHeight="1">
      <c r="A1569" s="30"/>
      <c r="B1569" s="30"/>
      <c r="C1569" s="30"/>
      <c r="D1569" s="23"/>
      <c r="E1569" s="30"/>
      <c r="F1569" s="30"/>
      <c r="G1569" s="30"/>
      <c r="H1569" s="23"/>
      <c r="I1569" s="30"/>
      <c r="J1569" s="30"/>
      <c r="K1569" s="30"/>
      <c r="L1569" s="30"/>
      <c r="M1569" s="30"/>
      <c r="N1569" s="30"/>
      <c r="O1569" s="30"/>
    </row>
    <row r="1570" ht="14.25" customHeight="1">
      <c r="A1570" s="30"/>
      <c r="B1570" s="30"/>
      <c r="C1570" s="30"/>
      <c r="D1570" s="23"/>
      <c r="E1570" s="30"/>
      <c r="F1570" s="30"/>
      <c r="G1570" s="30"/>
      <c r="H1570" s="23"/>
      <c r="I1570" s="30"/>
      <c r="J1570" s="30"/>
      <c r="K1570" s="30"/>
      <c r="L1570" s="30"/>
      <c r="M1570" s="30"/>
      <c r="N1570" s="30"/>
      <c r="O1570" s="30"/>
    </row>
    <row r="1571" ht="14.25" customHeight="1">
      <c r="A1571" s="30"/>
      <c r="B1571" s="30"/>
      <c r="C1571" s="30"/>
      <c r="D1571" s="23"/>
      <c r="E1571" s="30"/>
      <c r="F1571" s="30"/>
      <c r="G1571" s="30"/>
      <c r="H1571" s="23"/>
      <c r="I1571" s="30"/>
      <c r="J1571" s="30"/>
      <c r="K1571" s="30"/>
      <c r="L1571" s="30"/>
      <c r="M1571" s="30"/>
      <c r="N1571" s="30"/>
      <c r="O1571" s="30"/>
    </row>
    <row r="1572" ht="14.25" customHeight="1">
      <c r="A1572" s="30"/>
      <c r="B1572" s="30"/>
      <c r="C1572" s="30"/>
      <c r="D1572" s="23"/>
      <c r="E1572" s="30"/>
      <c r="F1572" s="30"/>
      <c r="G1572" s="30"/>
      <c r="H1572" s="23"/>
      <c r="I1572" s="30"/>
      <c r="J1572" s="30"/>
      <c r="K1572" s="30"/>
      <c r="L1572" s="30"/>
      <c r="M1572" s="30"/>
      <c r="N1572" s="30"/>
      <c r="O1572" s="30"/>
    </row>
    <row r="1573" ht="14.25" customHeight="1">
      <c r="A1573" s="30"/>
      <c r="B1573" s="30"/>
      <c r="C1573" s="30"/>
      <c r="D1573" s="23"/>
      <c r="E1573" s="30"/>
      <c r="F1573" s="30"/>
      <c r="G1573" s="30"/>
      <c r="H1573" s="23"/>
      <c r="I1573" s="30"/>
      <c r="J1573" s="30"/>
      <c r="K1573" s="30"/>
      <c r="L1573" s="30"/>
      <c r="M1573" s="30"/>
      <c r="N1573" s="30"/>
      <c r="O1573" s="30"/>
    </row>
    <row r="1574" ht="14.25" customHeight="1">
      <c r="A1574" s="30"/>
      <c r="B1574" s="30"/>
      <c r="C1574" s="30"/>
      <c r="D1574" s="23"/>
      <c r="E1574" s="30"/>
      <c r="F1574" s="30"/>
      <c r="G1574" s="30"/>
      <c r="H1574" s="23"/>
      <c r="I1574" s="30"/>
      <c r="J1574" s="30"/>
      <c r="K1574" s="30"/>
      <c r="L1574" s="30"/>
      <c r="M1574" s="30"/>
      <c r="N1574" s="30"/>
      <c r="O1574" s="30"/>
    </row>
    <row r="1575" ht="14.25" customHeight="1">
      <c r="A1575" s="30"/>
      <c r="B1575" s="30"/>
      <c r="C1575" s="30"/>
      <c r="D1575" s="23"/>
      <c r="E1575" s="30"/>
      <c r="F1575" s="30"/>
      <c r="G1575" s="30"/>
      <c r="H1575" s="23"/>
      <c r="I1575" s="30"/>
      <c r="J1575" s="30"/>
      <c r="K1575" s="30"/>
      <c r="L1575" s="30"/>
      <c r="M1575" s="30"/>
      <c r="N1575" s="30"/>
      <c r="O1575" s="30"/>
    </row>
    <row r="1576" ht="14.25" customHeight="1">
      <c r="A1576" s="30"/>
      <c r="B1576" s="30"/>
      <c r="C1576" s="30"/>
      <c r="D1576" s="23"/>
      <c r="E1576" s="30"/>
      <c r="F1576" s="30"/>
      <c r="G1576" s="30"/>
      <c r="H1576" s="23"/>
      <c r="I1576" s="30"/>
      <c r="J1576" s="30"/>
      <c r="K1576" s="30"/>
      <c r="L1576" s="30"/>
      <c r="M1576" s="30"/>
      <c r="N1576" s="30"/>
      <c r="O1576" s="30"/>
    </row>
    <row r="1577" ht="14.25" customHeight="1">
      <c r="A1577" s="30"/>
      <c r="B1577" s="30"/>
      <c r="C1577" s="30"/>
      <c r="D1577" s="23"/>
      <c r="E1577" s="30"/>
      <c r="F1577" s="30"/>
      <c r="G1577" s="30"/>
      <c r="H1577" s="23"/>
      <c r="I1577" s="30"/>
      <c r="J1577" s="30"/>
      <c r="K1577" s="30"/>
      <c r="L1577" s="30"/>
      <c r="M1577" s="30"/>
      <c r="N1577" s="30"/>
      <c r="O1577" s="30"/>
    </row>
    <row r="1578" ht="14.25" customHeight="1">
      <c r="A1578" s="30"/>
      <c r="B1578" s="30"/>
      <c r="C1578" s="30"/>
      <c r="D1578" s="23"/>
      <c r="E1578" s="30"/>
      <c r="F1578" s="30"/>
      <c r="G1578" s="30"/>
      <c r="H1578" s="23"/>
      <c r="I1578" s="30"/>
      <c r="J1578" s="30"/>
      <c r="K1578" s="30"/>
      <c r="L1578" s="30"/>
      <c r="M1578" s="30"/>
      <c r="N1578" s="30"/>
      <c r="O1578" s="30"/>
    </row>
    <row r="1579" ht="14.25" customHeight="1">
      <c r="A1579" s="30"/>
      <c r="B1579" s="30"/>
      <c r="C1579" s="30"/>
      <c r="D1579" s="23"/>
      <c r="E1579" s="30"/>
      <c r="F1579" s="30"/>
      <c r="G1579" s="30"/>
      <c r="H1579" s="23"/>
      <c r="I1579" s="30"/>
      <c r="J1579" s="30"/>
      <c r="K1579" s="30"/>
      <c r="L1579" s="30"/>
      <c r="M1579" s="30"/>
      <c r="N1579" s="30"/>
      <c r="O1579" s="30"/>
    </row>
    <row r="1580" ht="14.25" customHeight="1">
      <c r="A1580" s="30"/>
      <c r="B1580" s="30"/>
      <c r="C1580" s="30"/>
      <c r="D1580" s="23"/>
      <c r="E1580" s="30"/>
      <c r="F1580" s="30"/>
      <c r="G1580" s="30"/>
      <c r="H1580" s="23"/>
      <c r="I1580" s="30"/>
      <c r="J1580" s="30"/>
      <c r="K1580" s="30"/>
      <c r="L1580" s="30"/>
      <c r="M1580" s="30"/>
      <c r="N1580" s="30"/>
      <c r="O1580" s="30"/>
    </row>
    <row r="1581" ht="14.25" customHeight="1">
      <c r="A1581" s="30"/>
      <c r="B1581" s="30"/>
      <c r="C1581" s="30"/>
      <c r="D1581" s="23"/>
      <c r="E1581" s="30"/>
      <c r="F1581" s="30"/>
      <c r="G1581" s="30"/>
      <c r="H1581" s="23"/>
      <c r="I1581" s="30"/>
      <c r="J1581" s="30"/>
      <c r="K1581" s="30"/>
      <c r="L1581" s="30"/>
      <c r="M1581" s="30"/>
      <c r="N1581" s="30"/>
      <c r="O1581" s="30"/>
    </row>
    <row r="1582" ht="14.25" customHeight="1">
      <c r="A1582" s="30"/>
      <c r="B1582" s="30"/>
      <c r="C1582" s="30"/>
      <c r="D1582" s="23"/>
      <c r="E1582" s="30"/>
      <c r="F1582" s="30"/>
      <c r="G1582" s="30"/>
      <c r="H1582" s="23"/>
      <c r="I1582" s="30"/>
      <c r="J1582" s="30"/>
      <c r="K1582" s="30"/>
      <c r="L1582" s="30"/>
      <c r="M1582" s="30"/>
      <c r="N1582" s="30"/>
      <c r="O1582" s="30"/>
    </row>
    <row r="1583" ht="14.25" customHeight="1">
      <c r="A1583" s="30"/>
      <c r="B1583" s="30"/>
      <c r="C1583" s="30"/>
      <c r="D1583" s="23"/>
      <c r="E1583" s="30"/>
      <c r="F1583" s="30"/>
      <c r="G1583" s="30"/>
      <c r="H1583" s="23"/>
      <c r="I1583" s="30"/>
      <c r="J1583" s="30"/>
      <c r="K1583" s="30"/>
      <c r="L1583" s="30"/>
      <c r="M1583" s="30"/>
      <c r="N1583" s="30"/>
      <c r="O1583" s="30"/>
    </row>
    <row r="1584" ht="14.25" customHeight="1">
      <c r="A1584" s="30"/>
      <c r="B1584" s="30"/>
      <c r="C1584" s="30"/>
      <c r="D1584" s="23"/>
      <c r="E1584" s="30"/>
      <c r="F1584" s="30"/>
      <c r="G1584" s="30"/>
      <c r="H1584" s="23"/>
      <c r="I1584" s="30"/>
      <c r="J1584" s="30"/>
      <c r="K1584" s="30"/>
      <c r="L1584" s="30"/>
      <c r="M1584" s="30"/>
      <c r="N1584" s="30"/>
      <c r="O1584" s="30"/>
    </row>
    <row r="1585" ht="14.25" customHeight="1">
      <c r="A1585" s="30"/>
      <c r="B1585" s="30"/>
      <c r="C1585" s="30"/>
      <c r="D1585" s="23"/>
      <c r="E1585" s="30"/>
      <c r="F1585" s="30"/>
      <c r="G1585" s="30"/>
      <c r="H1585" s="23"/>
      <c r="I1585" s="30"/>
      <c r="J1585" s="30"/>
      <c r="K1585" s="30"/>
      <c r="L1585" s="30"/>
      <c r="M1585" s="30"/>
      <c r="N1585" s="30"/>
      <c r="O1585" s="30"/>
    </row>
    <row r="1586" ht="14.25" customHeight="1">
      <c r="A1586" s="30"/>
      <c r="B1586" s="30"/>
      <c r="C1586" s="30"/>
      <c r="D1586" s="23"/>
      <c r="E1586" s="30"/>
      <c r="F1586" s="30"/>
      <c r="G1586" s="30"/>
      <c r="H1586" s="23"/>
      <c r="I1586" s="30"/>
      <c r="J1586" s="30"/>
      <c r="K1586" s="30"/>
      <c r="L1586" s="30"/>
      <c r="M1586" s="30"/>
      <c r="N1586" s="30"/>
      <c r="O1586" s="30"/>
    </row>
    <row r="1587" ht="14.25" customHeight="1">
      <c r="A1587" s="30"/>
      <c r="B1587" s="30"/>
      <c r="C1587" s="30"/>
      <c r="D1587" s="23"/>
      <c r="E1587" s="30"/>
      <c r="F1587" s="30"/>
      <c r="G1587" s="30"/>
      <c r="H1587" s="23"/>
      <c r="I1587" s="30"/>
      <c r="J1587" s="30"/>
      <c r="K1587" s="30"/>
      <c r="L1587" s="30"/>
      <c r="M1587" s="30"/>
      <c r="N1587" s="30"/>
      <c r="O1587" s="30"/>
    </row>
    <row r="1588" ht="14.25" customHeight="1">
      <c r="A1588" s="30"/>
      <c r="B1588" s="30"/>
      <c r="C1588" s="30"/>
      <c r="D1588" s="23"/>
      <c r="E1588" s="30"/>
      <c r="F1588" s="30"/>
      <c r="G1588" s="30"/>
      <c r="H1588" s="23"/>
      <c r="I1588" s="30"/>
      <c r="J1588" s="30"/>
      <c r="K1588" s="30"/>
      <c r="L1588" s="30"/>
      <c r="M1588" s="30"/>
      <c r="N1588" s="30"/>
      <c r="O1588" s="30"/>
    </row>
    <row r="1589" ht="14.25" customHeight="1">
      <c r="A1589" s="30"/>
      <c r="B1589" s="30"/>
      <c r="C1589" s="30"/>
      <c r="D1589" s="23"/>
      <c r="E1589" s="30"/>
      <c r="F1589" s="30"/>
      <c r="G1589" s="30"/>
      <c r="H1589" s="23"/>
      <c r="I1589" s="30"/>
      <c r="J1589" s="30"/>
      <c r="K1589" s="30"/>
      <c r="L1589" s="30"/>
      <c r="M1589" s="30"/>
      <c r="N1589" s="30"/>
      <c r="O1589" s="30"/>
    </row>
    <row r="1590" ht="14.25" customHeight="1">
      <c r="A1590" s="30"/>
      <c r="B1590" s="30"/>
      <c r="C1590" s="30"/>
      <c r="D1590" s="23"/>
      <c r="E1590" s="30"/>
      <c r="F1590" s="30"/>
      <c r="G1590" s="30"/>
      <c r="H1590" s="23"/>
      <c r="I1590" s="30"/>
      <c r="J1590" s="30"/>
      <c r="K1590" s="30"/>
      <c r="L1590" s="30"/>
      <c r="M1590" s="30"/>
      <c r="N1590" s="30"/>
      <c r="O1590" s="30"/>
    </row>
    <row r="1591" ht="14.25" customHeight="1">
      <c r="A1591" s="30"/>
      <c r="B1591" s="30"/>
      <c r="C1591" s="30"/>
      <c r="D1591" s="23"/>
      <c r="E1591" s="30"/>
      <c r="F1591" s="30"/>
      <c r="G1591" s="30"/>
      <c r="H1591" s="23"/>
      <c r="I1591" s="30"/>
      <c r="J1591" s="30"/>
      <c r="K1591" s="30"/>
      <c r="L1591" s="30"/>
      <c r="M1591" s="30"/>
      <c r="N1591" s="30"/>
      <c r="O1591" s="30"/>
    </row>
    <row r="1592" ht="14.25" customHeight="1">
      <c r="A1592" s="30"/>
      <c r="B1592" s="30"/>
      <c r="C1592" s="30"/>
      <c r="D1592" s="23"/>
      <c r="E1592" s="30"/>
      <c r="F1592" s="30"/>
      <c r="G1592" s="30"/>
      <c r="H1592" s="23"/>
      <c r="I1592" s="30"/>
      <c r="J1592" s="30"/>
      <c r="K1592" s="30"/>
      <c r="L1592" s="30"/>
      <c r="M1592" s="30"/>
      <c r="N1592" s="30"/>
      <c r="O1592" s="30"/>
    </row>
    <row r="1593" ht="14.25" customHeight="1">
      <c r="A1593" s="30"/>
      <c r="B1593" s="30"/>
      <c r="C1593" s="30"/>
      <c r="D1593" s="23"/>
      <c r="E1593" s="30"/>
      <c r="F1593" s="30"/>
      <c r="G1593" s="30"/>
      <c r="H1593" s="23"/>
      <c r="I1593" s="30"/>
      <c r="J1593" s="30"/>
      <c r="K1593" s="30"/>
      <c r="L1593" s="30"/>
      <c r="M1593" s="30"/>
      <c r="N1593" s="30"/>
      <c r="O1593" s="30"/>
    </row>
    <row r="1594" ht="14.25" customHeight="1">
      <c r="A1594" s="30"/>
      <c r="B1594" s="30"/>
      <c r="C1594" s="30"/>
      <c r="D1594" s="23"/>
      <c r="E1594" s="30"/>
      <c r="F1594" s="30"/>
      <c r="G1594" s="30"/>
      <c r="H1594" s="23"/>
      <c r="I1594" s="30"/>
      <c r="J1594" s="30"/>
      <c r="K1594" s="30"/>
      <c r="L1594" s="30"/>
      <c r="M1594" s="30"/>
      <c r="N1594" s="30"/>
      <c r="O1594" s="30"/>
    </row>
    <row r="1595" ht="14.25" customHeight="1">
      <c r="A1595" s="30"/>
      <c r="B1595" s="30"/>
      <c r="C1595" s="30"/>
      <c r="D1595" s="23"/>
      <c r="E1595" s="30"/>
      <c r="F1595" s="30"/>
      <c r="G1595" s="30"/>
      <c r="H1595" s="23"/>
      <c r="I1595" s="30"/>
      <c r="J1595" s="30"/>
      <c r="K1595" s="30"/>
      <c r="L1595" s="30"/>
      <c r="M1595" s="30"/>
      <c r="N1595" s="30"/>
      <c r="O1595" s="30"/>
    </row>
    <row r="1596" ht="14.25" customHeight="1">
      <c r="A1596" s="30"/>
      <c r="B1596" s="30"/>
      <c r="C1596" s="30"/>
      <c r="D1596" s="23"/>
      <c r="E1596" s="30"/>
      <c r="F1596" s="30"/>
      <c r="G1596" s="30"/>
      <c r="H1596" s="23"/>
      <c r="I1596" s="30"/>
      <c r="J1596" s="30"/>
      <c r="K1596" s="30"/>
      <c r="L1596" s="30"/>
      <c r="M1596" s="30"/>
      <c r="N1596" s="30"/>
      <c r="O1596" s="30"/>
    </row>
    <row r="1597" ht="14.25" customHeight="1">
      <c r="A1597" s="30"/>
      <c r="B1597" s="30"/>
      <c r="C1597" s="30"/>
      <c r="D1597" s="23"/>
      <c r="E1597" s="30"/>
      <c r="F1597" s="30"/>
      <c r="G1597" s="30"/>
      <c r="H1597" s="23"/>
      <c r="I1597" s="30"/>
      <c r="J1597" s="30"/>
      <c r="K1597" s="30"/>
      <c r="L1597" s="30"/>
      <c r="M1597" s="30"/>
      <c r="N1597" s="30"/>
      <c r="O1597" s="30"/>
    </row>
    <row r="1598" ht="14.25" customHeight="1">
      <c r="A1598" s="30"/>
      <c r="B1598" s="30"/>
      <c r="C1598" s="30"/>
      <c r="D1598" s="23"/>
      <c r="E1598" s="30"/>
      <c r="F1598" s="30"/>
      <c r="G1598" s="30"/>
      <c r="H1598" s="23"/>
      <c r="I1598" s="30"/>
      <c r="J1598" s="30"/>
      <c r="K1598" s="30"/>
      <c r="L1598" s="30"/>
      <c r="M1598" s="30"/>
      <c r="N1598" s="30"/>
      <c r="O1598" s="30"/>
    </row>
    <row r="1599" ht="14.25" customHeight="1">
      <c r="A1599" s="30"/>
      <c r="B1599" s="30"/>
      <c r="C1599" s="30"/>
      <c r="D1599" s="23"/>
      <c r="E1599" s="30"/>
      <c r="F1599" s="30"/>
      <c r="G1599" s="30"/>
      <c r="H1599" s="23"/>
      <c r="I1599" s="30"/>
      <c r="J1599" s="30"/>
      <c r="K1599" s="30"/>
      <c r="L1599" s="30"/>
      <c r="M1599" s="30"/>
      <c r="N1599" s="30"/>
      <c r="O1599" s="30"/>
    </row>
    <row r="1600" ht="14.25" customHeight="1">
      <c r="A1600" s="30"/>
      <c r="B1600" s="30"/>
      <c r="C1600" s="30"/>
      <c r="D1600" s="23"/>
      <c r="E1600" s="30"/>
      <c r="F1600" s="30"/>
      <c r="G1600" s="30"/>
      <c r="H1600" s="23"/>
      <c r="I1600" s="30"/>
      <c r="J1600" s="30"/>
      <c r="K1600" s="30"/>
      <c r="L1600" s="30"/>
      <c r="M1600" s="30"/>
      <c r="N1600" s="30"/>
      <c r="O1600" s="30"/>
    </row>
    <row r="1601" ht="14.25" customHeight="1">
      <c r="A1601" s="30"/>
      <c r="B1601" s="30"/>
      <c r="C1601" s="30"/>
      <c r="D1601" s="23"/>
      <c r="E1601" s="30"/>
      <c r="F1601" s="30"/>
      <c r="G1601" s="30"/>
      <c r="H1601" s="23"/>
      <c r="I1601" s="30"/>
      <c r="J1601" s="30"/>
      <c r="K1601" s="30"/>
      <c r="L1601" s="30"/>
      <c r="M1601" s="30"/>
      <c r="N1601" s="30"/>
      <c r="O1601" s="30"/>
    </row>
    <row r="1602" ht="14.25" customHeight="1">
      <c r="A1602" s="30"/>
      <c r="B1602" s="30"/>
      <c r="C1602" s="30"/>
      <c r="D1602" s="23"/>
      <c r="E1602" s="30"/>
      <c r="F1602" s="30"/>
      <c r="G1602" s="30"/>
      <c r="H1602" s="23"/>
      <c r="I1602" s="30"/>
      <c r="J1602" s="30"/>
      <c r="K1602" s="30"/>
      <c r="L1602" s="30"/>
      <c r="M1602" s="30"/>
      <c r="N1602" s="30"/>
      <c r="O1602" s="30"/>
    </row>
    <row r="1603" ht="14.25" customHeight="1">
      <c r="A1603" s="30"/>
      <c r="B1603" s="30"/>
      <c r="C1603" s="30"/>
      <c r="D1603" s="23"/>
      <c r="E1603" s="30"/>
      <c r="F1603" s="30"/>
      <c r="G1603" s="30"/>
      <c r="H1603" s="23"/>
      <c r="I1603" s="30"/>
      <c r="J1603" s="30"/>
      <c r="K1603" s="30"/>
      <c r="L1603" s="30"/>
      <c r="M1603" s="30"/>
      <c r="N1603" s="30"/>
      <c r="O1603" s="30"/>
    </row>
    <row r="1604" ht="14.25" customHeight="1">
      <c r="A1604" s="30"/>
      <c r="B1604" s="30"/>
      <c r="C1604" s="30"/>
      <c r="D1604" s="23"/>
      <c r="E1604" s="30"/>
      <c r="F1604" s="30"/>
      <c r="G1604" s="30"/>
      <c r="H1604" s="23"/>
      <c r="I1604" s="30"/>
      <c r="J1604" s="30"/>
      <c r="K1604" s="30"/>
      <c r="L1604" s="30"/>
      <c r="M1604" s="30"/>
      <c r="N1604" s="30"/>
      <c r="O1604" s="30"/>
    </row>
    <row r="1605" ht="14.25" customHeight="1">
      <c r="A1605" s="30"/>
      <c r="B1605" s="30"/>
      <c r="C1605" s="30"/>
      <c r="D1605" s="23"/>
      <c r="E1605" s="30"/>
      <c r="F1605" s="30"/>
      <c r="G1605" s="30"/>
      <c r="H1605" s="23"/>
      <c r="I1605" s="30"/>
      <c r="J1605" s="30"/>
      <c r="K1605" s="30"/>
      <c r="L1605" s="30"/>
      <c r="M1605" s="30"/>
      <c r="N1605" s="30"/>
      <c r="O1605" s="30"/>
    </row>
    <row r="1606" ht="14.25" customHeight="1">
      <c r="A1606" s="30"/>
      <c r="B1606" s="30"/>
      <c r="C1606" s="30"/>
      <c r="D1606" s="23"/>
      <c r="E1606" s="30"/>
      <c r="F1606" s="30"/>
      <c r="G1606" s="30"/>
      <c r="H1606" s="23"/>
      <c r="I1606" s="30"/>
      <c r="J1606" s="30"/>
      <c r="K1606" s="30"/>
      <c r="L1606" s="30"/>
      <c r="M1606" s="30"/>
      <c r="N1606" s="30"/>
      <c r="O1606" s="30"/>
    </row>
    <row r="1607" ht="14.25" customHeight="1">
      <c r="A1607" s="30"/>
      <c r="B1607" s="30"/>
      <c r="C1607" s="30"/>
      <c r="D1607" s="23"/>
      <c r="E1607" s="30"/>
      <c r="F1607" s="30"/>
      <c r="G1607" s="30"/>
      <c r="H1607" s="23"/>
      <c r="I1607" s="30"/>
      <c r="J1607" s="30"/>
      <c r="K1607" s="30"/>
      <c r="L1607" s="30"/>
      <c r="M1607" s="30"/>
      <c r="N1607" s="30"/>
      <c r="O1607" s="30"/>
    </row>
    <row r="1608" ht="14.25" customHeight="1">
      <c r="A1608" s="30"/>
      <c r="B1608" s="30"/>
      <c r="C1608" s="30"/>
      <c r="D1608" s="23"/>
      <c r="E1608" s="30"/>
      <c r="F1608" s="30"/>
      <c r="G1608" s="30"/>
      <c r="H1608" s="23"/>
      <c r="I1608" s="30"/>
      <c r="J1608" s="30"/>
      <c r="K1608" s="30"/>
      <c r="L1608" s="30"/>
      <c r="M1608" s="30"/>
      <c r="N1608" s="30"/>
      <c r="O1608" s="30"/>
    </row>
    <row r="1609" ht="14.25" customHeight="1">
      <c r="A1609" s="30"/>
      <c r="B1609" s="30"/>
      <c r="C1609" s="30"/>
      <c r="D1609" s="23"/>
      <c r="E1609" s="30"/>
      <c r="F1609" s="30"/>
      <c r="G1609" s="30"/>
      <c r="H1609" s="23"/>
      <c r="I1609" s="30"/>
      <c r="J1609" s="30"/>
      <c r="K1609" s="30"/>
      <c r="L1609" s="30"/>
      <c r="M1609" s="30"/>
      <c r="N1609" s="30"/>
      <c r="O1609" s="30"/>
    </row>
    <row r="1610" ht="14.25" customHeight="1">
      <c r="A1610" s="30"/>
      <c r="B1610" s="30"/>
      <c r="C1610" s="30"/>
      <c r="D1610" s="23"/>
      <c r="E1610" s="30"/>
      <c r="F1610" s="30"/>
      <c r="G1610" s="30"/>
      <c r="H1610" s="23"/>
      <c r="I1610" s="30"/>
      <c r="J1610" s="30"/>
      <c r="K1610" s="30"/>
      <c r="L1610" s="30"/>
      <c r="M1610" s="30"/>
      <c r="N1610" s="30"/>
      <c r="O1610" s="30"/>
    </row>
    <row r="1611" ht="14.25" customHeight="1">
      <c r="A1611" s="30"/>
      <c r="B1611" s="30"/>
      <c r="C1611" s="30"/>
      <c r="D1611" s="23"/>
      <c r="E1611" s="30"/>
      <c r="F1611" s="30"/>
      <c r="G1611" s="30"/>
      <c r="H1611" s="23"/>
      <c r="I1611" s="30"/>
      <c r="J1611" s="30"/>
      <c r="K1611" s="30"/>
      <c r="L1611" s="30"/>
      <c r="M1611" s="30"/>
      <c r="N1611" s="30"/>
      <c r="O1611" s="30"/>
    </row>
    <row r="1612" ht="14.25" customHeight="1">
      <c r="A1612" s="30"/>
      <c r="B1612" s="30"/>
      <c r="C1612" s="30"/>
      <c r="D1612" s="23"/>
      <c r="E1612" s="30"/>
      <c r="F1612" s="30"/>
      <c r="G1612" s="30"/>
      <c r="H1612" s="23"/>
      <c r="I1612" s="30"/>
      <c r="J1612" s="30"/>
      <c r="K1612" s="30"/>
      <c r="L1612" s="30"/>
      <c r="M1612" s="30"/>
      <c r="N1612" s="30"/>
      <c r="O1612" s="30"/>
    </row>
    <row r="1613" ht="14.25" customHeight="1">
      <c r="A1613" s="30"/>
      <c r="B1613" s="30"/>
      <c r="C1613" s="30"/>
      <c r="D1613" s="23"/>
      <c r="E1613" s="30"/>
      <c r="F1613" s="30"/>
      <c r="G1613" s="30"/>
      <c r="H1613" s="23"/>
      <c r="I1613" s="30"/>
      <c r="J1613" s="30"/>
      <c r="K1613" s="30"/>
      <c r="L1613" s="30"/>
      <c r="M1613" s="30"/>
      <c r="N1613" s="30"/>
      <c r="O1613" s="30"/>
    </row>
    <row r="1614" ht="14.25" customHeight="1">
      <c r="A1614" s="30"/>
      <c r="B1614" s="30"/>
      <c r="C1614" s="30"/>
      <c r="D1614" s="23"/>
      <c r="E1614" s="30"/>
      <c r="F1614" s="30"/>
      <c r="G1614" s="30"/>
      <c r="H1614" s="23"/>
      <c r="I1614" s="30"/>
      <c r="J1614" s="30"/>
      <c r="K1614" s="30"/>
      <c r="L1614" s="30"/>
      <c r="M1614" s="30"/>
      <c r="N1614" s="30"/>
      <c r="O1614" s="30"/>
    </row>
    <row r="1615" ht="14.25" customHeight="1">
      <c r="A1615" s="30"/>
      <c r="B1615" s="30"/>
      <c r="C1615" s="30"/>
      <c r="D1615" s="23"/>
      <c r="E1615" s="30"/>
      <c r="F1615" s="30"/>
      <c r="G1615" s="30"/>
      <c r="H1615" s="23"/>
      <c r="I1615" s="30"/>
      <c r="J1615" s="30"/>
      <c r="K1615" s="30"/>
      <c r="L1615" s="30"/>
      <c r="M1615" s="30"/>
      <c r="N1615" s="30"/>
      <c r="O1615" s="30"/>
    </row>
    <row r="1616" ht="14.25" customHeight="1">
      <c r="A1616" s="30"/>
      <c r="B1616" s="30"/>
      <c r="C1616" s="30"/>
      <c r="D1616" s="23"/>
      <c r="E1616" s="30"/>
      <c r="F1616" s="30"/>
      <c r="G1616" s="30"/>
      <c r="H1616" s="23"/>
      <c r="I1616" s="30"/>
      <c r="J1616" s="30"/>
      <c r="K1616" s="30"/>
      <c r="L1616" s="30"/>
      <c r="M1616" s="30"/>
      <c r="N1616" s="30"/>
      <c r="O1616" s="30"/>
    </row>
    <row r="1617" ht="14.25" customHeight="1">
      <c r="A1617" s="30"/>
      <c r="B1617" s="30"/>
      <c r="C1617" s="30"/>
      <c r="D1617" s="23"/>
      <c r="E1617" s="30"/>
      <c r="F1617" s="30"/>
      <c r="G1617" s="30"/>
      <c r="H1617" s="23"/>
      <c r="I1617" s="30"/>
      <c r="J1617" s="30"/>
      <c r="K1617" s="30"/>
      <c r="L1617" s="30"/>
      <c r="M1617" s="30"/>
      <c r="N1617" s="30"/>
      <c r="O1617" s="30"/>
    </row>
    <row r="1618" ht="14.25" customHeight="1">
      <c r="A1618" s="30"/>
      <c r="B1618" s="30"/>
      <c r="C1618" s="30"/>
      <c r="D1618" s="23"/>
      <c r="E1618" s="30"/>
      <c r="F1618" s="30"/>
      <c r="G1618" s="30"/>
      <c r="H1618" s="23"/>
      <c r="I1618" s="30"/>
      <c r="J1618" s="30"/>
      <c r="K1618" s="30"/>
      <c r="L1618" s="30"/>
      <c r="M1618" s="30"/>
      <c r="N1618" s="30"/>
      <c r="O1618" s="30"/>
    </row>
    <row r="1619" ht="14.25" customHeight="1">
      <c r="A1619" s="30"/>
      <c r="B1619" s="30"/>
      <c r="C1619" s="30"/>
      <c r="D1619" s="23"/>
      <c r="E1619" s="30"/>
      <c r="F1619" s="30"/>
      <c r="G1619" s="30"/>
      <c r="H1619" s="23"/>
      <c r="I1619" s="30"/>
      <c r="J1619" s="30"/>
      <c r="K1619" s="30"/>
      <c r="L1619" s="30"/>
      <c r="M1619" s="30"/>
      <c r="N1619" s="30"/>
      <c r="O1619" s="30"/>
    </row>
    <row r="1620" ht="14.25" customHeight="1">
      <c r="A1620" s="30"/>
      <c r="B1620" s="30"/>
      <c r="C1620" s="30"/>
      <c r="D1620" s="23"/>
      <c r="E1620" s="30"/>
      <c r="F1620" s="30"/>
      <c r="G1620" s="30"/>
      <c r="H1620" s="23"/>
      <c r="I1620" s="30"/>
      <c r="J1620" s="30"/>
      <c r="K1620" s="30"/>
      <c r="L1620" s="30"/>
      <c r="M1620" s="30"/>
      <c r="N1620" s="30"/>
      <c r="O1620" s="30"/>
    </row>
    <row r="1621" ht="14.25" customHeight="1">
      <c r="A1621" s="30"/>
      <c r="B1621" s="30"/>
      <c r="C1621" s="30"/>
      <c r="D1621" s="23"/>
      <c r="E1621" s="30"/>
      <c r="F1621" s="30"/>
      <c r="G1621" s="30"/>
      <c r="H1621" s="23"/>
      <c r="I1621" s="30"/>
      <c r="J1621" s="30"/>
      <c r="K1621" s="30"/>
      <c r="L1621" s="30"/>
      <c r="M1621" s="30"/>
      <c r="N1621" s="30"/>
      <c r="O1621" s="30"/>
    </row>
    <row r="1622" ht="14.25" customHeight="1">
      <c r="A1622" s="30"/>
      <c r="B1622" s="30"/>
      <c r="C1622" s="30"/>
      <c r="D1622" s="23"/>
      <c r="E1622" s="30"/>
      <c r="F1622" s="30"/>
      <c r="G1622" s="30"/>
      <c r="H1622" s="23"/>
      <c r="I1622" s="30"/>
      <c r="J1622" s="30"/>
      <c r="K1622" s="30"/>
      <c r="L1622" s="30"/>
      <c r="M1622" s="30"/>
      <c r="N1622" s="30"/>
      <c r="O1622" s="30"/>
    </row>
    <row r="1623" ht="14.25" customHeight="1">
      <c r="A1623" s="30"/>
      <c r="B1623" s="30"/>
      <c r="C1623" s="30"/>
      <c r="D1623" s="23"/>
      <c r="E1623" s="30"/>
      <c r="F1623" s="30"/>
      <c r="G1623" s="30"/>
      <c r="H1623" s="23"/>
      <c r="I1623" s="30"/>
      <c r="J1623" s="30"/>
      <c r="K1623" s="30"/>
      <c r="L1623" s="30"/>
      <c r="M1623" s="30"/>
      <c r="N1623" s="30"/>
      <c r="O1623" s="30"/>
    </row>
    <row r="1624" ht="14.25" customHeight="1">
      <c r="A1624" s="30"/>
      <c r="B1624" s="30"/>
      <c r="C1624" s="30"/>
      <c r="D1624" s="23"/>
      <c r="E1624" s="30"/>
      <c r="F1624" s="30"/>
      <c r="G1624" s="30"/>
      <c r="H1624" s="23"/>
      <c r="I1624" s="30"/>
      <c r="J1624" s="30"/>
      <c r="K1624" s="30"/>
      <c r="L1624" s="30"/>
      <c r="M1624" s="30"/>
      <c r="N1624" s="30"/>
      <c r="O1624" s="30"/>
    </row>
    <row r="1625" ht="14.25" customHeight="1">
      <c r="A1625" s="30"/>
      <c r="B1625" s="30"/>
      <c r="C1625" s="30"/>
      <c r="D1625" s="23"/>
      <c r="E1625" s="30"/>
      <c r="F1625" s="30"/>
      <c r="G1625" s="30"/>
      <c r="H1625" s="23"/>
      <c r="I1625" s="30"/>
      <c r="J1625" s="30"/>
      <c r="K1625" s="30"/>
      <c r="L1625" s="30"/>
      <c r="M1625" s="30"/>
      <c r="N1625" s="30"/>
      <c r="O1625" s="30"/>
    </row>
    <row r="1626" ht="14.25" customHeight="1">
      <c r="A1626" s="30"/>
      <c r="B1626" s="30"/>
      <c r="C1626" s="30"/>
      <c r="D1626" s="23"/>
      <c r="E1626" s="30"/>
      <c r="F1626" s="30"/>
      <c r="G1626" s="30"/>
      <c r="H1626" s="23"/>
      <c r="I1626" s="30"/>
      <c r="J1626" s="30"/>
      <c r="K1626" s="30"/>
      <c r="L1626" s="30"/>
      <c r="M1626" s="30"/>
      <c r="N1626" s="30"/>
      <c r="O1626" s="30"/>
    </row>
    <row r="1627" ht="14.25" customHeight="1">
      <c r="A1627" s="30"/>
      <c r="B1627" s="30"/>
      <c r="C1627" s="30"/>
      <c r="D1627" s="23"/>
      <c r="E1627" s="30"/>
      <c r="F1627" s="30"/>
      <c r="G1627" s="30"/>
      <c r="H1627" s="23"/>
      <c r="I1627" s="30"/>
      <c r="J1627" s="30"/>
      <c r="K1627" s="30"/>
      <c r="L1627" s="30"/>
      <c r="M1627" s="30"/>
      <c r="N1627" s="30"/>
      <c r="O1627" s="30"/>
    </row>
    <row r="1628" ht="14.25" customHeight="1">
      <c r="A1628" s="30"/>
      <c r="B1628" s="30"/>
      <c r="C1628" s="30"/>
      <c r="D1628" s="23"/>
      <c r="E1628" s="30"/>
      <c r="F1628" s="30"/>
      <c r="G1628" s="30"/>
      <c r="H1628" s="23"/>
      <c r="I1628" s="30"/>
      <c r="J1628" s="30"/>
      <c r="K1628" s="30"/>
      <c r="L1628" s="30"/>
      <c r="M1628" s="30"/>
      <c r="N1628" s="30"/>
      <c r="O1628" s="30"/>
    </row>
    <row r="1629" ht="14.25" customHeight="1">
      <c r="A1629" s="30"/>
      <c r="B1629" s="30"/>
      <c r="C1629" s="30"/>
      <c r="D1629" s="23"/>
      <c r="E1629" s="30"/>
      <c r="F1629" s="30"/>
      <c r="G1629" s="30"/>
      <c r="H1629" s="23"/>
      <c r="I1629" s="30"/>
      <c r="J1629" s="30"/>
      <c r="K1629" s="30"/>
      <c r="L1629" s="30"/>
      <c r="M1629" s="30"/>
      <c r="N1629" s="30"/>
      <c r="O1629" s="30"/>
    </row>
    <row r="1630" ht="14.25" customHeight="1">
      <c r="A1630" s="30"/>
      <c r="B1630" s="30"/>
      <c r="C1630" s="30"/>
      <c r="D1630" s="23"/>
      <c r="E1630" s="30"/>
      <c r="F1630" s="30"/>
      <c r="G1630" s="30"/>
      <c r="H1630" s="23"/>
      <c r="I1630" s="30"/>
      <c r="J1630" s="30"/>
      <c r="K1630" s="30"/>
      <c r="L1630" s="30"/>
      <c r="M1630" s="30"/>
      <c r="N1630" s="30"/>
      <c r="O1630" s="30"/>
    </row>
    <row r="1631" ht="14.25" customHeight="1">
      <c r="A1631" s="30"/>
      <c r="B1631" s="30"/>
      <c r="C1631" s="30"/>
      <c r="D1631" s="23"/>
      <c r="E1631" s="30"/>
      <c r="F1631" s="30"/>
      <c r="G1631" s="30"/>
      <c r="H1631" s="23"/>
      <c r="I1631" s="30"/>
      <c r="J1631" s="30"/>
      <c r="K1631" s="30"/>
      <c r="L1631" s="30"/>
      <c r="M1631" s="30"/>
      <c r="N1631" s="30"/>
      <c r="O1631" s="30"/>
    </row>
    <row r="1632" ht="14.25" customHeight="1">
      <c r="A1632" s="30"/>
      <c r="B1632" s="30"/>
      <c r="C1632" s="30"/>
      <c r="D1632" s="23"/>
      <c r="E1632" s="30"/>
      <c r="F1632" s="30"/>
      <c r="G1632" s="30"/>
      <c r="H1632" s="23"/>
      <c r="I1632" s="30"/>
      <c r="J1632" s="30"/>
      <c r="K1632" s="30"/>
      <c r="L1632" s="30"/>
      <c r="M1632" s="30"/>
      <c r="N1632" s="30"/>
      <c r="O1632" s="30"/>
    </row>
    <row r="1633" ht="14.25" customHeight="1">
      <c r="A1633" s="30"/>
      <c r="B1633" s="30"/>
      <c r="C1633" s="30"/>
      <c r="D1633" s="23"/>
      <c r="E1633" s="30"/>
      <c r="F1633" s="30"/>
      <c r="G1633" s="30"/>
      <c r="H1633" s="23"/>
      <c r="I1633" s="30"/>
      <c r="J1633" s="30"/>
      <c r="K1633" s="30"/>
      <c r="L1633" s="30"/>
      <c r="M1633" s="30"/>
      <c r="N1633" s="30"/>
      <c r="O1633" s="30"/>
    </row>
    <row r="1634" ht="14.25" customHeight="1">
      <c r="A1634" s="30"/>
      <c r="B1634" s="30"/>
      <c r="C1634" s="30"/>
      <c r="D1634" s="23"/>
      <c r="E1634" s="30"/>
      <c r="F1634" s="30"/>
      <c r="G1634" s="30"/>
      <c r="H1634" s="23"/>
      <c r="I1634" s="30"/>
      <c r="J1634" s="30"/>
      <c r="K1634" s="30"/>
      <c r="L1634" s="30"/>
      <c r="M1634" s="30"/>
      <c r="N1634" s="30"/>
      <c r="O1634" s="30"/>
    </row>
    <row r="1635" ht="14.25" customHeight="1">
      <c r="A1635" s="30"/>
      <c r="B1635" s="30"/>
      <c r="C1635" s="30"/>
      <c r="D1635" s="23"/>
      <c r="E1635" s="30"/>
      <c r="F1635" s="30"/>
      <c r="G1635" s="30"/>
      <c r="H1635" s="23"/>
      <c r="I1635" s="30"/>
      <c r="J1635" s="30"/>
      <c r="K1635" s="30"/>
      <c r="L1635" s="30"/>
      <c r="M1635" s="30"/>
      <c r="N1635" s="30"/>
      <c r="O1635" s="30"/>
    </row>
    <row r="1636" ht="14.25" customHeight="1">
      <c r="A1636" s="30"/>
      <c r="B1636" s="30"/>
      <c r="C1636" s="30"/>
      <c r="D1636" s="23"/>
      <c r="E1636" s="30"/>
      <c r="F1636" s="30"/>
      <c r="G1636" s="30"/>
      <c r="H1636" s="23"/>
      <c r="I1636" s="30"/>
      <c r="J1636" s="30"/>
      <c r="K1636" s="30"/>
      <c r="L1636" s="30"/>
      <c r="M1636" s="30"/>
      <c r="N1636" s="30"/>
      <c r="O1636" s="30"/>
    </row>
    <row r="1637" ht="14.25" customHeight="1">
      <c r="A1637" s="30"/>
      <c r="B1637" s="30"/>
      <c r="C1637" s="30"/>
      <c r="D1637" s="23"/>
      <c r="E1637" s="30"/>
      <c r="F1637" s="30"/>
      <c r="G1637" s="30"/>
      <c r="H1637" s="23"/>
      <c r="I1637" s="30"/>
      <c r="J1637" s="30"/>
      <c r="K1637" s="30"/>
      <c r="L1637" s="30"/>
      <c r="M1637" s="30"/>
      <c r="N1637" s="30"/>
      <c r="O1637" s="30"/>
    </row>
    <row r="1638" ht="14.25" customHeight="1">
      <c r="A1638" s="30"/>
      <c r="B1638" s="30"/>
      <c r="C1638" s="30"/>
      <c r="D1638" s="23"/>
      <c r="E1638" s="30"/>
      <c r="F1638" s="30"/>
      <c r="G1638" s="30"/>
      <c r="H1638" s="23"/>
      <c r="I1638" s="30"/>
      <c r="J1638" s="30"/>
      <c r="K1638" s="30"/>
      <c r="L1638" s="30"/>
      <c r="M1638" s="30"/>
      <c r="N1638" s="30"/>
      <c r="O1638" s="30"/>
    </row>
    <row r="1639" ht="14.25" customHeight="1">
      <c r="A1639" s="30"/>
      <c r="B1639" s="30"/>
      <c r="C1639" s="30"/>
      <c r="D1639" s="23"/>
      <c r="E1639" s="30"/>
      <c r="F1639" s="30"/>
      <c r="G1639" s="30"/>
      <c r="H1639" s="23"/>
      <c r="I1639" s="30"/>
      <c r="J1639" s="30"/>
      <c r="K1639" s="30"/>
      <c r="L1639" s="30"/>
      <c r="M1639" s="30"/>
      <c r="N1639" s="30"/>
      <c r="O1639" s="30"/>
    </row>
    <row r="1640" ht="14.25" customHeight="1">
      <c r="A1640" s="30"/>
      <c r="B1640" s="30"/>
      <c r="C1640" s="30"/>
      <c r="D1640" s="23"/>
      <c r="E1640" s="30"/>
      <c r="F1640" s="30"/>
      <c r="G1640" s="30"/>
      <c r="H1640" s="23"/>
      <c r="I1640" s="30"/>
      <c r="J1640" s="30"/>
      <c r="K1640" s="30"/>
      <c r="L1640" s="30"/>
      <c r="M1640" s="30"/>
      <c r="N1640" s="30"/>
      <c r="O1640" s="30"/>
    </row>
    <row r="1641" ht="14.25" customHeight="1">
      <c r="A1641" s="30"/>
      <c r="B1641" s="30"/>
      <c r="C1641" s="30"/>
      <c r="D1641" s="23"/>
      <c r="E1641" s="30"/>
      <c r="F1641" s="30"/>
      <c r="G1641" s="30"/>
      <c r="H1641" s="23"/>
      <c r="I1641" s="30"/>
      <c r="J1641" s="30"/>
      <c r="K1641" s="30"/>
      <c r="L1641" s="30"/>
      <c r="M1641" s="30"/>
      <c r="N1641" s="30"/>
      <c r="O1641" s="30"/>
    </row>
    <row r="1642" ht="14.25" customHeight="1">
      <c r="A1642" s="30"/>
      <c r="B1642" s="30"/>
      <c r="C1642" s="30"/>
      <c r="D1642" s="23"/>
      <c r="E1642" s="30"/>
      <c r="F1642" s="30"/>
      <c r="G1642" s="30"/>
      <c r="H1642" s="23"/>
      <c r="I1642" s="30"/>
      <c r="J1642" s="30"/>
      <c r="K1642" s="30"/>
      <c r="L1642" s="30"/>
      <c r="M1642" s="30"/>
      <c r="N1642" s="30"/>
      <c r="O1642" s="30"/>
    </row>
    <row r="1643" ht="14.25" customHeight="1">
      <c r="A1643" s="30"/>
      <c r="B1643" s="30"/>
      <c r="C1643" s="30"/>
      <c r="D1643" s="23"/>
      <c r="E1643" s="30"/>
      <c r="F1643" s="30"/>
      <c r="G1643" s="30"/>
      <c r="H1643" s="23"/>
      <c r="I1643" s="30"/>
      <c r="J1643" s="30"/>
      <c r="K1643" s="30"/>
      <c r="L1643" s="30"/>
      <c r="M1643" s="30"/>
      <c r="N1643" s="30"/>
      <c r="O1643" s="30"/>
    </row>
    <row r="1644" ht="14.25" customHeight="1">
      <c r="A1644" s="30"/>
      <c r="B1644" s="30"/>
      <c r="C1644" s="30"/>
      <c r="D1644" s="23"/>
      <c r="E1644" s="30"/>
      <c r="F1644" s="30"/>
      <c r="G1644" s="30"/>
      <c r="H1644" s="23"/>
      <c r="I1644" s="30"/>
      <c r="J1644" s="30"/>
      <c r="K1644" s="30"/>
      <c r="L1644" s="30"/>
      <c r="M1644" s="30"/>
      <c r="N1644" s="30"/>
      <c r="O1644" s="30"/>
    </row>
    <row r="1645" ht="14.25" customHeight="1">
      <c r="A1645" s="30"/>
      <c r="B1645" s="30"/>
      <c r="C1645" s="30"/>
      <c r="D1645" s="23"/>
      <c r="E1645" s="30"/>
      <c r="F1645" s="30"/>
      <c r="G1645" s="30"/>
      <c r="H1645" s="23"/>
      <c r="I1645" s="30"/>
      <c r="J1645" s="30"/>
      <c r="K1645" s="30"/>
      <c r="L1645" s="30"/>
      <c r="M1645" s="30"/>
      <c r="N1645" s="30"/>
      <c r="O1645" s="30"/>
    </row>
    <row r="1646" ht="14.25" customHeight="1">
      <c r="A1646" s="30"/>
      <c r="B1646" s="30"/>
      <c r="C1646" s="30"/>
      <c r="D1646" s="23"/>
      <c r="E1646" s="30"/>
      <c r="F1646" s="30"/>
      <c r="G1646" s="30"/>
      <c r="H1646" s="23"/>
      <c r="I1646" s="30"/>
      <c r="J1646" s="30"/>
      <c r="K1646" s="30"/>
      <c r="L1646" s="30"/>
      <c r="M1646" s="30"/>
      <c r="N1646" s="30"/>
      <c r="O1646" s="30"/>
    </row>
    <row r="1647" ht="14.25" customHeight="1">
      <c r="A1647" s="30"/>
      <c r="B1647" s="30"/>
      <c r="C1647" s="30"/>
      <c r="D1647" s="23"/>
      <c r="E1647" s="30"/>
      <c r="F1647" s="30"/>
      <c r="G1647" s="30"/>
      <c r="H1647" s="23"/>
      <c r="I1647" s="30"/>
      <c r="J1647" s="30"/>
      <c r="K1647" s="30"/>
      <c r="L1647" s="30"/>
      <c r="M1647" s="30"/>
      <c r="N1647" s="30"/>
      <c r="O1647" s="30"/>
    </row>
    <row r="1648" ht="14.25" customHeight="1">
      <c r="A1648" s="30"/>
      <c r="B1648" s="30"/>
      <c r="C1648" s="30"/>
      <c r="D1648" s="23"/>
      <c r="E1648" s="30"/>
      <c r="F1648" s="30"/>
      <c r="G1648" s="30"/>
      <c r="H1648" s="23"/>
      <c r="I1648" s="30"/>
      <c r="J1648" s="30"/>
      <c r="K1648" s="30"/>
      <c r="L1648" s="30"/>
      <c r="M1648" s="30"/>
      <c r="N1648" s="30"/>
      <c r="O1648" s="30"/>
    </row>
    <row r="1649" ht="14.25" customHeight="1">
      <c r="A1649" s="30"/>
      <c r="B1649" s="30"/>
      <c r="C1649" s="30"/>
      <c r="D1649" s="23"/>
      <c r="E1649" s="30"/>
      <c r="F1649" s="30"/>
      <c r="G1649" s="30"/>
      <c r="H1649" s="23"/>
      <c r="I1649" s="30"/>
      <c r="J1649" s="30"/>
      <c r="K1649" s="30"/>
      <c r="L1649" s="30"/>
      <c r="M1649" s="30"/>
      <c r="N1649" s="30"/>
      <c r="O1649" s="30"/>
    </row>
    <row r="1650" ht="14.25" customHeight="1">
      <c r="A1650" s="30"/>
      <c r="B1650" s="30"/>
      <c r="C1650" s="30"/>
      <c r="D1650" s="23"/>
      <c r="E1650" s="30"/>
      <c r="F1650" s="30"/>
      <c r="G1650" s="30"/>
      <c r="H1650" s="23"/>
      <c r="I1650" s="30"/>
      <c r="J1650" s="30"/>
      <c r="K1650" s="30"/>
      <c r="L1650" s="30"/>
      <c r="M1650" s="30"/>
      <c r="N1650" s="30"/>
      <c r="O1650" s="30"/>
    </row>
    <row r="1651" ht="14.25" customHeight="1">
      <c r="A1651" s="30"/>
      <c r="B1651" s="30"/>
      <c r="C1651" s="30"/>
      <c r="D1651" s="23"/>
      <c r="E1651" s="30"/>
      <c r="F1651" s="30"/>
      <c r="G1651" s="30"/>
      <c r="H1651" s="23"/>
      <c r="I1651" s="30"/>
      <c r="J1651" s="30"/>
      <c r="K1651" s="30"/>
      <c r="L1651" s="30"/>
      <c r="M1651" s="30"/>
      <c r="N1651" s="30"/>
      <c r="O1651" s="30"/>
    </row>
    <row r="1652" ht="14.25" customHeight="1">
      <c r="A1652" s="30"/>
      <c r="B1652" s="30"/>
      <c r="C1652" s="30"/>
      <c r="D1652" s="23"/>
      <c r="E1652" s="30"/>
      <c r="F1652" s="30"/>
      <c r="G1652" s="30"/>
      <c r="H1652" s="23"/>
      <c r="I1652" s="30"/>
      <c r="J1652" s="30"/>
      <c r="K1652" s="30"/>
      <c r="L1652" s="30"/>
      <c r="M1652" s="30"/>
      <c r="N1652" s="30"/>
      <c r="O1652" s="30"/>
    </row>
    <row r="1653" ht="14.25" customHeight="1">
      <c r="A1653" s="30"/>
      <c r="B1653" s="30"/>
      <c r="C1653" s="30"/>
      <c r="D1653" s="23"/>
      <c r="E1653" s="30"/>
      <c r="F1653" s="30"/>
      <c r="G1653" s="30"/>
      <c r="H1653" s="23"/>
      <c r="I1653" s="30"/>
      <c r="J1653" s="30"/>
      <c r="K1653" s="30"/>
      <c r="L1653" s="30"/>
      <c r="M1653" s="30"/>
      <c r="N1653" s="30"/>
      <c r="O1653" s="30"/>
    </row>
    <row r="1654" ht="14.25" customHeight="1">
      <c r="A1654" s="30"/>
      <c r="B1654" s="30"/>
      <c r="C1654" s="30"/>
      <c r="D1654" s="23"/>
      <c r="E1654" s="30"/>
      <c r="F1654" s="30"/>
      <c r="G1654" s="30"/>
      <c r="H1654" s="23"/>
      <c r="I1654" s="30"/>
      <c r="J1654" s="30"/>
      <c r="K1654" s="30"/>
      <c r="L1654" s="30"/>
      <c r="M1654" s="30"/>
      <c r="N1654" s="30"/>
      <c r="O1654" s="30"/>
    </row>
    <row r="1655" ht="14.25" customHeight="1">
      <c r="A1655" s="30"/>
      <c r="B1655" s="30"/>
      <c r="C1655" s="30"/>
      <c r="D1655" s="23"/>
      <c r="E1655" s="30"/>
      <c r="F1655" s="30"/>
      <c r="G1655" s="30"/>
      <c r="H1655" s="23"/>
      <c r="I1655" s="30"/>
      <c r="J1655" s="30"/>
      <c r="K1655" s="30"/>
      <c r="L1655" s="30"/>
      <c r="M1655" s="30"/>
      <c r="N1655" s="30"/>
      <c r="O1655" s="30"/>
    </row>
    <row r="1656" ht="14.25" customHeight="1">
      <c r="A1656" s="30"/>
      <c r="B1656" s="30"/>
      <c r="C1656" s="30"/>
      <c r="D1656" s="23"/>
      <c r="E1656" s="30"/>
      <c r="F1656" s="30"/>
      <c r="G1656" s="30"/>
      <c r="H1656" s="23"/>
      <c r="I1656" s="30"/>
      <c r="J1656" s="30"/>
      <c r="K1656" s="30"/>
      <c r="L1656" s="30"/>
      <c r="M1656" s="30"/>
      <c r="N1656" s="30"/>
      <c r="O1656" s="30"/>
    </row>
    <row r="1657" ht="14.25" customHeight="1">
      <c r="A1657" s="30"/>
      <c r="B1657" s="30"/>
      <c r="C1657" s="30"/>
      <c r="D1657" s="23"/>
      <c r="E1657" s="30"/>
      <c r="F1657" s="30"/>
      <c r="G1657" s="30"/>
      <c r="H1657" s="23"/>
      <c r="I1657" s="30"/>
      <c r="J1657" s="30"/>
      <c r="K1657" s="30"/>
      <c r="L1657" s="30"/>
      <c r="M1657" s="30"/>
      <c r="N1657" s="30"/>
      <c r="O1657" s="30"/>
    </row>
    <row r="1658" ht="14.25" customHeight="1">
      <c r="A1658" s="30"/>
      <c r="B1658" s="30"/>
      <c r="C1658" s="30"/>
      <c r="D1658" s="23"/>
      <c r="E1658" s="30"/>
      <c r="F1658" s="30"/>
      <c r="G1658" s="30"/>
      <c r="H1658" s="23"/>
      <c r="I1658" s="30"/>
      <c r="J1658" s="30"/>
      <c r="K1658" s="30"/>
      <c r="L1658" s="30"/>
      <c r="M1658" s="30"/>
      <c r="N1658" s="30"/>
      <c r="O1658" s="30"/>
    </row>
    <row r="1659" ht="14.25" customHeight="1">
      <c r="A1659" s="30"/>
      <c r="B1659" s="30"/>
      <c r="C1659" s="30"/>
      <c r="D1659" s="23"/>
      <c r="E1659" s="30"/>
      <c r="F1659" s="30"/>
      <c r="G1659" s="30"/>
      <c r="H1659" s="23"/>
      <c r="I1659" s="30"/>
      <c r="J1659" s="30"/>
      <c r="K1659" s="30"/>
      <c r="L1659" s="30"/>
      <c r="M1659" s="30"/>
      <c r="N1659" s="30"/>
      <c r="O1659" s="30"/>
    </row>
    <row r="1660" ht="14.25" customHeight="1">
      <c r="A1660" s="30"/>
      <c r="B1660" s="30"/>
      <c r="C1660" s="30"/>
      <c r="D1660" s="23"/>
      <c r="E1660" s="30"/>
      <c r="F1660" s="30"/>
      <c r="G1660" s="30"/>
      <c r="H1660" s="23"/>
      <c r="I1660" s="30"/>
      <c r="J1660" s="30"/>
      <c r="K1660" s="30"/>
      <c r="L1660" s="30"/>
      <c r="M1660" s="30"/>
      <c r="N1660" s="30"/>
      <c r="O1660" s="30"/>
    </row>
    <row r="1661" ht="14.25" customHeight="1">
      <c r="A1661" s="30"/>
      <c r="B1661" s="30"/>
      <c r="C1661" s="30"/>
      <c r="D1661" s="23"/>
      <c r="E1661" s="30"/>
      <c r="F1661" s="30"/>
      <c r="G1661" s="30"/>
      <c r="H1661" s="23"/>
      <c r="I1661" s="30"/>
      <c r="J1661" s="30"/>
      <c r="K1661" s="30"/>
      <c r="L1661" s="30"/>
      <c r="M1661" s="30"/>
      <c r="N1661" s="30"/>
      <c r="O1661" s="30"/>
    </row>
    <row r="1662" ht="14.25" customHeight="1">
      <c r="A1662" s="30"/>
      <c r="B1662" s="30"/>
      <c r="C1662" s="30"/>
      <c r="D1662" s="23"/>
      <c r="E1662" s="30"/>
      <c r="F1662" s="30"/>
      <c r="G1662" s="30"/>
      <c r="H1662" s="23"/>
      <c r="I1662" s="30"/>
      <c r="J1662" s="30"/>
      <c r="K1662" s="30"/>
      <c r="L1662" s="30"/>
      <c r="M1662" s="30"/>
      <c r="N1662" s="30"/>
      <c r="O1662" s="30"/>
    </row>
    <row r="1663" ht="14.25" customHeight="1">
      <c r="A1663" s="30"/>
      <c r="B1663" s="30"/>
      <c r="C1663" s="30"/>
      <c r="D1663" s="23"/>
      <c r="E1663" s="30"/>
      <c r="F1663" s="30"/>
      <c r="G1663" s="30"/>
      <c r="H1663" s="23"/>
      <c r="I1663" s="30"/>
      <c r="J1663" s="30"/>
      <c r="K1663" s="30"/>
      <c r="L1663" s="30"/>
      <c r="M1663" s="30"/>
      <c r="N1663" s="30"/>
      <c r="O1663" s="30"/>
    </row>
    <row r="1664" ht="14.25" customHeight="1">
      <c r="A1664" s="30"/>
      <c r="B1664" s="30"/>
      <c r="C1664" s="30"/>
      <c r="D1664" s="23"/>
      <c r="E1664" s="30"/>
      <c r="F1664" s="30"/>
      <c r="G1664" s="30"/>
      <c r="H1664" s="23"/>
      <c r="I1664" s="30"/>
      <c r="J1664" s="30"/>
      <c r="K1664" s="30"/>
      <c r="L1664" s="30"/>
      <c r="M1664" s="30"/>
      <c r="N1664" s="30"/>
      <c r="O1664" s="30"/>
    </row>
    <row r="1665" ht="14.25" customHeight="1">
      <c r="A1665" s="30"/>
      <c r="B1665" s="30"/>
      <c r="C1665" s="30"/>
      <c r="D1665" s="23"/>
      <c r="E1665" s="30"/>
      <c r="F1665" s="30"/>
      <c r="G1665" s="30"/>
      <c r="H1665" s="23"/>
      <c r="I1665" s="30"/>
      <c r="J1665" s="30"/>
      <c r="K1665" s="30"/>
      <c r="L1665" s="30"/>
      <c r="M1665" s="30"/>
      <c r="N1665" s="30"/>
      <c r="O1665" s="30"/>
    </row>
    <row r="1666" ht="14.25" customHeight="1">
      <c r="A1666" s="30"/>
      <c r="B1666" s="30"/>
      <c r="C1666" s="30"/>
      <c r="D1666" s="23"/>
      <c r="E1666" s="30"/>
      <c r="F1666" s="30"/>
      <c r="G1666" s="30"/>
      <c r="H1666" s="23"/>
      <c r="I1666" s="30"/>
      <c r="J1666" s="30"/>
      <c r="K1666" s="30"/>
      <c r="L1666" s="30"/>
      <c r="M1666" s="30"/>
      <c r="N1666" s="30"/>
      <c r="O1666" s="30"/>
    </row>
    <row r="1667" ht="14.25" customHeight="1">
      <c r="A1667" s="30"/>
      <c r="B1667" s="30"/>
      <c r="C1667" s="30"/>
      <c r="D1667" s="23"/>
      <c r="E1667" s="30"/>
      <c r="F1667" s="30"/>
      <c r="G1667" s="30"/>
      <c r="H1667" s="23"/>
      <c r="I1667" s="30"/>
      <c r="J1667" s="30"/>
      <c r="K1667" s="30"/>
      <c r="L1667" s="30"/>
      <c r="M1667" s="30"/>
      <c r="N1667" s="30"/>
      <c r="O1667" s="30"/>
    </row>
    <row r="1668" ht="14.25" customHeight="1">
      <c r="A1668" s="30"/>
      <c r="B1668" s="30"/>
      <c r="C1668" s="30"/>
      <c r="D1668" s="23"/>
      <c r="E1668" s="30"/>
      <c r="F1668" s="30"/>
      <c r="G1668" s="30"/>
      <c r="H1668" s="23"/>
      <c r="I1668" s="30"/>
      <c r="J1668" s="30"/>
      <c r="K1668" s="30"/>
      <c r="L1668" s="30"/>
      <c r="M1668" s="30"/>
      <c r="N1668" s="30"/>
      <c r="O1668" s="30"/>
    </row>
    <row r="1669" ht="14.25" customHeight="1">
      <c r="A1669" s="30"/>
      <c r="B1669" s="30"/>
      <c r="C1669" s="30"/>
      <c r="D1669" s="23"/>
      <c r="E1669" s="30"/>
      <c r="F1669" s="30"/>
      <c r="G1669" s="30"/>
      <c r="H1669" s="23"/>
      <c r="I1669" s="30"/>
      <c r="J1669" s="30"/>
      <c r="K1669" s="30"/>
      <c r="L1669" s="30"/>
      <c r="M1669" s="30"/>
      <c r="N1669" s="30"/>
      <c r="O1669" s="30"/>
    </row>
    <row r="1670" ht="14.25" customHeight="1">
      <c r="A1670" s="30"/>
      <c r="B1670" s="30"/>
      <c r="C1670" s="30"/>
      <c r="D1670" s="23"/>
      <c r="E1670" s="30"/>
      <c r="F1670" s="30"/>
      <c r="G1670" s="30"/>
      <c r="H1670" s="23"/>
      <c r="I1670" s="30"/>
      <c r="J1670" s="30"/>
      <c r="K1670" s="30"/>
      <c r="L1670" s="30"/>
      <c r="M1670" s="30"/>
      <c r="N1670" s="30"/>
      <c r="O1670" s="30"/>
    </row>
    <row r="1671" ht="14.25" customHeight="1">
      <c r="A1671" s="30"/>
      <c r="B1671" s="30"/>
      <c r="C1671" s="30"/>
      <c r="D1671" s="23"/>
      <c r="E1671" s="30"/>
      <c r="F1671" s="30"/>
      <c r="G1671" s="30"/>
      <c r="H1671" s="23"/>
      <c r="I1671" s="30"/>
      <c r="J1671" s="30"/>
      <c r="K1671" s="30"/>
      <c r="L1671" s="30"/>
      <c r="M1671" s="30"/>
      <c r="N1671" s="30"/>
      <c r="O1671" s="30"/>
    </row>
    <row r="1672" ht="14.25" customHeight="1">
      <c r="A1672" s="30"/>
      <c r="B1672" s="30"/>
      <c r="C1672" s="30"/>
      <c r="D1672" s="23"/>
      <c r="E1672" s="30"/>
      <c r="F1672" s="30"/>
      <c r="G1672" s="30"/>
      <c r="H1672" s="23"/>
      <c r="I1672" s="30"/>
      <c r="J1672" s="30"/>
      <c r="K1672" s="30"/>
      <c r="L1672" s="30"/>
      <c r="M1672" s="30"/>
      <c r="N1672" s="30"/>
      <c r="O1672" s="30"/>
    </row>
    <row r="1673" ht="14.25" customHeight="1">
      <c r="A1673" s="30"/>
      <c r="B1673" s="30"/>
      <c r="C1673" s="30"/>
      <c r="D1673" s="23"/>
      <c r="E1673" s="30"/>
      <c r="F1673" s="30"/>
      <c r="G1673" s="30"/>
      <c r="H1673" s="23"/>
      <c r="I1673" s="30"/>
      <c r="J1673" s="30"/>
      <c r="K1673" s="30"/>
      <c r="L1673" s="30"/>
      <c r="M1673" s="30"/>
      <c r="N1673" s="30"/>
      <c r="O1673" s="30"/>
    </row>
    <row r="1674" ht="14.25" customHeight="1">
      <c r="A1674" s="30"/>
      <c r="B1674" s="30"/>
      <c r="C1674" s="30"/>
      <c r="D1674" s="23"/>
      <c r="E1674" s="30"/>
      <c r="F1674" s="30"/>
      <c r="G1674" s="30"/>
      <c r="H1674" s="23"/>
      <c r="I1674" s="30"/>
      <c r="J1674" s="30"/>
      <c r="K1674" s="30"/>
      <c r="L1674" s="30"/>
      <c r="M1674" s="30"/>
      <c r="N1674" s="30"/>
      <c r="O1674" s="30"/>
    </row>
    <row r="1675" ht="14.25" customHeight="1">
      <c r="A1675" s="30"/>
      <c r="B1675" s="30"/>
      <c r="C1675" s="30"/>
      <c r="D1675" s="23"/>
      <c r="E1675" s="30"/>
      <c r="F1675" s="30"/>
      <c r="G1675" s="30"/>
      <c r="H1675" s="23"/>
      <c r="I1675" s="30"/>
      <c r="J1675" s="30"/>
      <c r="K1675" s="30"/>
      <c r="L1675" s="30"/>
      <c r="M1675" s="30"/>
      <c r="N1675" s="30"/>
      <c r="O1675" s="30"/>
    </row>
    <row r="1676" ht="14.25" customHeight="1">
      <c r="A1676" s="30"/>
      <c r="B1676" s="30"/>
      <c r="C1676" s="30"/>
      <c r="D1676" s="23"/>
      <c r="E1676" s="30"/>
      <c r="F1676" s="30"/>
      <c r="G1676" s="30"/>
      <c r="H1676" s="23"/>
      <c r="I1676" s="30"/>
      <c r="J1676" s="30"/>
      <c r="K1676" s="30"/>
      <c r="L1676" s="30"/>
      <c r="M1676" s="30"/>
      <c r="N1676" s="30"/>
      <c r="O1676" s="30"/>
    </row>
    <row r="1677" ht="14.25" customHeight="1">
      <c r="A1677" s="30"/>
      <c r="B1677" s="30"/>
      <c r="C1677" s="30"/>
      <c r="D1677" s="23"/>
      <c r="E1677" s="30"/>
      <c r="F1677" s="30"/>
      <c r="G1677" s="30"/>
      <c r="H1677" s="23"/>
      <c r="I1677" s="30"/>
      <c r="J1677" s="30"/>
      <c r="K1677" s="30"/>
      <c r="L1677" s="30"/>
      <c r="M1677" s="30"/>
      <c r="N1677" s="30"/>
      <c r="O1677" s="30"/>
    </row>
    <row r="1678" ht="14.25" customHeight="1">
      <c r="A1678" s="30"/>
      <c r="B1678" s="30"/>
      <c r="C1678" s="30"/>
      <c r="D1678" s="23"/>
      <c r="E1678" s="30"/>
      <c r="F1678" s="30"/>
      <c r="G1678" s="30"/>
      <c r="H1678" s="23"/>
      <c r="I1678" s="30"/>
      <c r="J1678" s="30"/>
      <c r="K1678" s="30"/>
      <c r="L1678" s="30"/>
      <c r="M1678" s="30"/>
      <c r="N1678" s="30"/>
      <c r="O1678" s="30"/>
    </row>
    <row r="1679" ht="14.25" customHeight="1">
      <c r="A1679" s="30"/>
      <c r="B1679" s="30"/>
      <c r="C1679" s="30"/>
      <c r="D1679" s="23"/>
      <c r="E1679" s="30"/>
      <c r="F1679" s="30"/>
      <c r="G1679" s="30"/>
      <c r="H1679" s="23"/>
      <c r="I1679" s="30"/>
      <c r="J1679" s="30"/>
      <c r="K1679" s="30"/>
      <c r="L1679" s="30"/>
      <c r="M1679" s="30"/>
      <c r="N1679" s="30"/>
      <c r="O1679" s="30"/>
    </row>
    <row r="1680" ht="14.25" customHeight="1">
      <c r="A1680" s="30"/>
      <c r="B1680" s="30"/>
      <c r="C1680" s="30"/>
      <c r="D1680" s="23"/>
      <c r="E1680" s="30"/>
      <c r="F1680" s="30"/>
      <c r="G1680" s="30"/>
      <c r="H1680" s="23"/>
      <c r="I1680" s="30"/>
      <c r="J1680" s="30"/>
      <c r="K1680" s="30"/>
      <c r="L1680" s="30"/>
      <c r="M1680" s="30"/>
      <c r="N1680" s="30"/>
      <c r="O1680" s="30"/>
    </row>
    <row r="1681" ht="14.25" customHeight="1">
      <c r="A1681" s="30"/>
      <c r="B1681" s="30"/>
      <c r="C1681" s="30"/>
      <c r="D1681" s="23"/>
      <c r="E1681" s="30"/>
      <c r="F1681" s="30"/>
      <c r="G1681" s="30"/>
      <c r="H1681" s="23"/>
      <c r="I1681" s="30"/>
      <c r="J1681" s="30"/>
      <c r="K1681" s="30"/>
      <c r="L1681" s="30"/>
      <c r="M1681" s="30"/>
      <c r="N1681" s="30"/>
      <c r="O1681" s="30"/>
    </row>
    <row r="1682" ht="14.25" customHeight="1">
      <c r="A1682" s="30"/>
      <c r="B1682" s="30"/>
      <c r="C1682" s="30"/>
      <c r="D1682" s="23"/>
      <c r="E1682" s="30"/>
      <c r="F1682" s="30"/>
      <c r="G1682" s="30"/>
      <c r="H1682" s="23"/>
      <c r="I1682" s="30"/>
      <c r="J1682" s="30"/>
      <c r="K1682" s="30"/>
      <c r="L1682" s="30"/>
      <c r="M1682" s="30"/>
      <c r="N1682" s="30"/>
      <c r="O1682" s="30"/>
    </row>
    <row r="1683" ht="14.25" customHeight="1">
      <c r="A1683" s="30"/>
      <c r="B1683" s="30"/>
      <c r="C1683" s="30"/>
      <c r="D1683" s="23"/>
      <c r="E1683" s="30"/>
      <c r="F1683" s="30"/>
      <c r="G1683" s="30"/>
      <c r="H1683" s="23"/>
      <c r="I1683" s="30"/>
      <c r="J1683" s="30"/>
      <c r="K1683" s="30"/>
      <c r="L1683" s="30"/>
      <c r="M1683" s="30"/>
      <c r="N1683" s="30"/>
      <c r="O1683" s="30"/>
    </row>
    <row r="1684" ht="14.25" customHeight="1">
      <c r="A1684" s="30"/>
      <c r="B1684" s="30"/>
      <c r="C1684" s="30"/>
      <c r="D1684" s="23"/>
      <c r="E1684" s="30"/>
      <c r="F1684" s="30"/>
      <c r="G1684" s="30"/>
      <c r="H1684" s="23"/>
      <c r="I1684" s="30"/>
      <c r="J1684" s="30"/>
      <c r="K1684" s="30"/>
      <c r="L1684" s="30"/>
      <c r="M1684" s="30"/>
      <c r="N1684" s="30"/>
      <c r="O1684" s="30"/>
    </row>
    <row r="1685" ht="14.25" customHeight="1">
      <c r="A1685" s="30"/>
      <c r="B1685" s="30"/>
      <c r="C1685" s="30"/>
      <c r="D1685" s="23"/>
      <c r="E1685" s="30"/>
      <c r="F1685" s="30"/>
      <c r="G1685" s="30"/>
      <c r="H1685" s="23"/>
      <c r="I1685" s="30"/>
      <c r="J1685" s="30"/>
      <c r="K1685" s="30"/>
      <c r="L1685" s="30"/>
      <c r="M1685" s="30"/>
      <c r="N1685" s="30"/>
      <c r="O1685" s="30"/>
    </row>
    <row r="1686" ht="14.25" customHeight="1">
      <c r="A1686" s="30"/>
      <c r="B1686" s="30"/>
      <c r="C1686" s="30"/>
      <c r="D1686" s="23"/>
      <c r="E1686" s="30"/>
      <c r="F1686" s="30"/>
      <c r="G1686" s="30"/>
      <c r="H1686" s="23"/>
      <c r="I1686" s="30"/>
      <c r="J1686" s="30"/>
      <c r="K1686" s="30"/>
      <c r="L1686" s="30"/>
      <c r="M1686" s="30"/>
      <c r="N1686" s="30"/>
      <c r="O1686" s="30"/>
    </row>
    <row r="1687" ht="14.25" customHeight="1">
      <c r="A1687" s="30"/>
      <c r="B1687" s="30"/>
      <c r="C1687" s="30"/>
      <c r="D1687" s="23"/>
      <c r="E1687" s="30"/>
      <c r="F1687" s="30"/>
      <c r="G1687" s="30"/>
      <c r="H1687" s="23"/>
      <c r="I1687" s="30"/>
      <c r="J1687" s="30"/>
      <c r="K1687" s="30"/>
      <c r="L1687" s="30"/>
      <c r="M1687" s="30"/>
      <c r="N1687" s="30"/>
      <c r="O1687" s="30"/>
    </row>
    <row r="1688" ht="14.25" customHeight="1">
      <c r="A1688" s="30"/>
      <c r="B1688" s="30"/>
      <c r="C1688" s="30"/>
      <c r="D1688" s="23"/>
      <c r="E1688" s="30"/>
      <c r="F1688" s="30"/>
      <c r="G1688" s="30"/>
      <c r="H1688" s="23"/>
      <c r="I1688" s="30"/>
      <c r="J1688" s="30"/>
      <c r="K1688" s="30"/>
      <c r="L1688" s="30"/>
      <c r="M1688" s="30"/>
      <c r="N1688" s="30"/>
      <c r="O1688" s="30"/>
    </row>
    <row r="1689" ht="14.25" customHeight="1">
      <c r="A1689" s="30"/>
      <c r="B1689" s="30"/>
      <c r="C1689" s="30"/>
      <c r="D1689" s="23"/>
      <c r="E1689" s="30"/>
      <c r="F1689" s="30"/>
      <c r="G1689" s="30"/>
      <c r="H1689" s="23"/>
      <c r="I1689" s="30"/>
      <c r="J1689" s="30"/>
      <c r="K1689" s="30"/>
      <c r="L1689" s="30"/>
      <c r="M1689" s="30"/>
      <c r="N1689" s="30"/>
      <c r="O1689" s="30"/>
    </row>
    <row r="1690" ht="14.25" customHeight="1">
      <c r="A1690" s="30"/>
      <c r="B1690" s="30"/>
      <c r="C1690" s="30"/>
      <c r="D1690" s="23"/>
      <c r="E1690" s="30"/>
      <c r="F1690" s="30"/>
      <c r="G1690" s="30"/>
      <c r="H1690" s="23"/>
      <c r="I1690" s="30"/>
      <c r="J1690" s="30"/>
      <c r="K1690" s="30"/>
      <c r="L1690" s="30"/>
      <c r="M1690" s="30"/>
      <c r="N1690" s="30"/>
      <c r="O1690" s="30"/>
    </row>
    <row r="1691" ht="14.25" customHeight="1">
      <c r="A1691" s="30"/>
      <c r="B1691" s="30"/>
      <c r="C1691" s="30"/>
      <c r="D1691" s="23"/>
      <c r="E1691" s="30"/>
      <c r="F1691" s="30"/>
      <c r="G1691" s="30"/>
      <c r="H1691" s="23"/>
      <c r="I1691" s="30"/>
      <c r="J1691" s="30"/>
      <c r="K1691" s="30"/>
      <c r="L1691" s="30"/>
      <c r="M1691" s="30"/>
      <c r="N1691" s="30"/>
      <c r="O1691" s="30"/>
    </row>
    <row r="1692" ht="14.25" customHeight="1">
      <c r="A1692" s="30"/>
      <c r="B1692" s="30"/>
      <c r="C1692" s="30"/>
      <c r="D1692" s="23"/>
      <c r="E1692" s="30"/>
      <c r="F1692" s="30"/>
      <c r="G1692" s="30"/>
      <c r="H1692" s="23"/>
      <c r="I1692" s="30"/>
      <c r="J1692" s="30"/>
      <c r="K1692" s="30"/>
      <c r="L1692" s="30"/>
      <c r="M1692" s="30"/>
      <c r="N1692" s="30"/>
      <c r="O1692" s="30"/>
    </row>
    <row r="1693" ht="14.25" customHeight="1">
      <c r="A1693" s="30"/>
      <c r="B1693" s="30"/>
      <c r="C1693" s="30"/>
      <c r="D1693" s="23"/>
      <c r="E1693" s="30"/>
      <c r="F1693" s="30"/>
      <c r="G1693" s="30"/>
      <c r="H1693" s="23"/>
      <c r="I1693" s="30"/>
      <c r="J1693" s="30"/>
      <c r="K1693" s="30"/>
      <c r="L1693" s="30"/>
      <c r="M1693" s="30"/>
      <c r="N1693" s="30"/>
      <c r="O1693" s="30"/>
    </row>
    <row r="1694" ht="14.25" customHeight="1">
      <c r="A1694" s="30"/>
      <c r="B1694" s="30"/>
      <c r="C1694" s="30"/>
      <c r="D1694" s="23"/>
      <c r="E1694" s="30"/>
      <c r="F1694" s="30"/>
      <c r="G1694" s="30"/>
      <c r="H1694" s="23"/>
      <c r="I1694" s="30"/>
      <c r="J1694" s="30"/>
      <c r="K1694" s="30"/>
      <c r="L1694" s="30"/>
      <c r="M1694" s="30"/>
      <c r="N1694" s="30"/>
      <c r="O1694" s="30"/>
    </row>
    <row r="1695" ht="14.25" customHeight="1">
      <c r="A1695" s="30"/>
      <c r="B1695" s="30"/>
      <c r="C1695" s="30"/>
      <c r="D1695" s="23"/>
      <c r="E1695" s="30"/>
      <c r="F1695" s="30"/>
      <c r="G1695" s="30"/>
      <c r="H1695" s="23"/>
      <c r="I1695" s="30"/>
      <c r="J1695" s="30"/>
      <c r="K1695" s="30"/>
      <c r="L1695" s="30"/>
      <c r="M1695" s="30"/>
      <c r="N1695" s="30"/>
      <c r="O1695" s="30"/>
    </row>
    <row r="1696" ht="14.25" customHeight="1">
      <c r="A1696" s="30"/>
      <c r="B1696" s="30"/>
      <c r="C1696" s="30"/>
      <c r="D1696" s="23"/>
      <c r="E1696" s="30"/>
      <c r="F1696" s="30"/>
      <c r="G1696" s="30"/>
      <c r="H1696" s="23"/>
      <c r="I1696" s="30"/>
      <c r="J1696" s="30"/>
      <c r="K1696" s="30"/>
      <c r="L1696" s="30"/>
      <c r="M1696" s="30"/>
      <c r="N1696" s="30"/>
      <c r="O1696" s="30"/>
    </row>
    <row r="1697" ht="14.25" customHeight="1">
      <c r="A1697" s="30"/>
      <c r="B1697" s="30"/>
      <c r="C1697" s="30"/>
      <c r="D1697" s="23"/>
      <c r="E1697" s="30"/>
      <c r="F1697" s="30"/>
      <c r="G1697" s="30"/>
      <c r="H1697" s="23"/>
      <c r="I1697" s="30"/>
      <c r="J1697" s="30"/>
      <c r="K1697" s="30"/>
      <c r="L1697" s="30"/>
      <c r="M1697" s="30"/>
      <c r="N1697" s="30"/>
      <c r="O1697" s="30"/>
    </row>
    <row r="1698" ht="14.25" customHeight="1">
      <c r="A1698" s="30"/>
      <c r="B1698" s="30"/>
      <c r="C1698" s="30"/>
      <c r="D1698" s="23"/>
      <c r="E1698" s="30"/>
      <c r="F1698" s="30"/>
      <c r="G1698" s="30"/>
      <c r="H1698" s="23"/>
      <c r="I1698" s="30"/>
      <c r="J1698" s="30"/>
      <c r="K1698" s="30"/>
      <c r="L1698" s="30"/>
      <c r="M1698" s="30"/>
      <c r="N1698" s="30"/>
      <c r="O1698" s="30"/>
    </row>
    <row r="1699" ht="14.25" customHeight="1">
      <c r="A1699" s="30"/>
      <c r="B1699" s="30"/>
      <c r="C1699" s="30"/>
      <c r="D1699" s="23"/>
      <c r="E1699" s="30"/>
      <c r="F1699" s="30"/>
      <c r="G1699" s="30"/>
      <c r="H1699" s="23"/>
      <c r="I1699" s="30"/>
      <c r="J1699" s="30"/>
      <c r="K1699" s="30"/>
      <c r="L1699" s="30"/>
      <c r="M1699" s="30"/>
      <c r="N1699" s="30"/>
      <c r="O1699" s="30"/>
    </row>
    <row r="1700" ht="14.25" customHeight="1">
      <c r="A1700" s="30"/>
      <c r="B1700" s="30"/>
      <c r="C1700" s="30"/>
      <c r="D1700" s="23"/>
      <c r="E1700" s="30"/>
      <c r="F1700" s="30"/>
      <c r="G1700" s="30"/>
      <c r="H1700" s="23"/>
      <c r="I1700" s="30"/>
      <c r="J1700" s="30"/>
      <c r="K1700" s="30"/>
      <c r="L1700" s="30"/>
      <c r="M1700" s="30"/>
      <c r="N1700" s="30"/>
      <c r="O1700" s="30"/>
    </row>
    <row r="1701" ht="14.25" customHeight="1">
      <c r="A1701" s="30"/>
      <c r="B1701" s="30"/>
      <c r="C1701" s="30"/>
      <c r="D1701" s="23"/>
      <c r="E1701" s="30"/>
      <c r="F1701" s="30"/>
      <c r="G1701" s="30"/>
      <c r="H1701" s="23"/>
      <c r="I1701" s="30"/>
      <c r="J1701" s="30"/>
      <c r="K1701" s="30"/>
      <c r="L1701" s="30"/>
      <c r="M1701" s="30"/>
      <c r="N1701" s="30"/>
      <c r="O1701" s="30"/>
    </row>
    <row r="1702" ht="14.25" customHeight="1">
      <c r="A1702" s="30"/>
      <c r="B1702" s="30"/>
      <c r="C1702" s="30"/>
      <c r="D1702" s="23"/>
      <c r="E1702" s="30"/>
      <c r="F1702" s="30"/>
      <c r="G1702" s="30"/>
      <c r="H1702" s="23"/>
      <c r="I1702" s="30"/>
      <c r="J1702" s="30"/>
      <c r="K1702" s="30"/>
      <c r="L1702" s="30"/>
      <c r="M1702" s="30"/>
      <c r="N1702" s="30"/>
      <c r="O1702" s="30"/>
    </row>
    <row r="1703" ht="14.25" customHeight="1">
      <c r="A1703" s="30"/>
      <c r="B1703" s="30"/>
      <c r="C1703" s="30"/>
      <c r="D1703" s="23"/>
      <c r="E1703" s="30"/>
      <c r="F1703" s="30"/>
      <c r="G1703" s="30"/>
      <c r="H1703" s="23"/>
      <c r="I1703" s="30"/>
      <c r="J1703" s="30"/>
      <c r="K1703" s="30"/>
      <c r="L1703" s="30"/>
      <c r="M1703" s="30"/>
      <c r="N1703" s="30"/>
      <c r="O1703" s="30"/>
    </row>
    <row r="1704" ht="14.25" customHeight="1">
      <c r="A1704" s="30"/>
      <c r="B1704" s="30"/>
      <c r="C1704" s="30"/>
      <c r="D1704" s="23"/>
      <c r="E1704" s="30"/>
      <c r="F1704" s="30"/>
      <c r="G1704" s="30"/>
      <c r="H1704" s="23"/>
      <c r="I1704" s="30"/>
      <c r="J1704" s="30"/>
      <c r="K1704" s="30"/>
      <c r="L1704" s="30"/>
      <c r="M1704" s="30"/>
      <c r="N1704" s="30"/>
      <c r="O1704" s="30"/>
    </row>
    <row r="1705" ht="14.25" customHeight="1">
      <c r="A1705" s="30"/>
      <c r="B1705" s="30"/>
      <c r="C1705" s="30"/>
      <c r="D1705" s="23"/>
      <c r="E1705" s="30"/>
      <c r="F1705" s="30"/>
      <c r="G1705" s="30"/>
      <c r="H1705" s="23"/>
      <c r="I1705" s="30"/>
      <c r="J1705" s="30"/>
      <c r="K1705" s="30"/>
      <c r="L1705" s="30"/>
      <c r="M1705" s="30"/>
      <c r="N1705" s="30"/>
      <c r="O1705" s="30"/>
    </row>
    <row r="1706" ht="14.25" customHeight="1">
      <c r="A1706" s="30"/>
      <c r="B1706" s="30"/>
      <c r="C1706" s="30"/>
      <c r="D1706" s="23"/>
      <c r="E1706" s="30"/>
      <c r="F1706" s="30"/>
      <c r="G1706" s="30"/>
      <c r="H1706" s="23"/>
      <c r="I1706" s="30"/>
      <c r="J1706" s="30"/>
      <c r="K1706" s="30"/>
      <c r="L1706" s="30"/>
      <c r="M1706" s="30"/>
      <c r="N1706" s="30"/>
      <c r="O1706" s="30"/>
    </row>
    <row r="1707" ht="14.25" customHeight="1">
      <c r="A1707" s="30"/>
      <c r="B1707" s="30"/>
      <c r="C1707" s="30"/>
      <c r="D1707" s="23"/>
      <c r="E1707" s="30"/>
      <c r="F1707" s="30"/>
      <c r="G1707" s="30"/>
      <c r="H1707" s="23"/>
      <c r="I1707" s="30"/>
      <c r="J1707" s="30"/>
      <c r="K1707" s="30"/>
      <c r="L1707" s="30"/>
      <c r="M1707" s="30"/>
      <c r="N1707" s="30"/>
      <c r="O1707" s="30"/>
    </row>
    <row r="1708" ht="14.25" customHeight="1">
      <c r="A1708" s="30"/>
      <c r="B1708" s="30"/>
      <c r="C1708" s="30"/>
      <c r="D1708" s="23"/>
      <c r="E1708" s="30"/>
      <c r="F1708" s="30"/>
      <c r="G1708" s="30"/>
      <c r="H1708" s="23"/>
      <c r="I1708" s="30"/>
      <c r="J1708" s="30"/>
      <c r="K1708" s="30"/>
      <c r="L1708" s="30"/>
      <c r="M1708" s="30"/>
      <c r="N1708" s="30"/>
      <c r="O1708" s="30"/>
    </row>
    <row r="1709" ht="14.25" customHeight="1">
      <c r="A1709" s="30"/>
      <c r="B1709" s="30"/>
      <c r="C1709" s="30"/>
      <c r="D1709" s="23"/>
      <c r="E1709" s="30"/>
      <c r="F1709" s="30"/>
      <c r="G1709" s="30"/>
      <c r="H1709" s="23"/>
      <c r="I1709" s="30"/>
      <c r="J1709" s="30"/>
      <c r="K1709" s="30"/>
      <c r="L1709" s="30"/>
      <c r="M1709" s="30"/>
      <c r="N1709" s="30"/>
      <c r="O1709" s="30"/>
    </row>
    <row r="1710" ht="14.25" customHeight="1">
      <c r="A1710" s="30"/>
      <c r="B1710" s="30"/>
      <c r="C1710" s="30"/>
      <c r="D1710" s="23"/>
      <c r="E1710" s="30"/>
      <c r="F1710" s="30"/>
      <c r="G1710" s="30"/>
      <c r="H1710" s="23"/>
      <c r="I1710" s="30"/>
      <c r="J1710" s="30"/>
      <c r="K1710" s="30"/>
      <c r="L1710" s="30"/>
      <c r="M1710" s="30"/>
      <c r="N1710" s="30"/>
      <c r="O1710" s="30"/>
    </row>
    <row r="1711" ht="14.25" customHeight="1">
      <c r="A1711" s="30"/>
      <c r="B1711" s="30"/>
      <c r="C1711" s="30"/>
      <c r="D1711" s="23"/>
      <c r="E1711" s="30"/>
      <c r="F1711" s="30"/>
      <c r="G1711" s="30"/>
      <c r="H1711" s="23"/>
      <c r="I1711" s="30"/>
      <c r="J1711" s="30"/>
      <c r="K1711" s="30"/>
      <c r="L1711" s="30"/>
      <c r="M1711" s="30"/>
      <c r="N1711" s="30"/>
      <c r="O1711" s="30"/>
    </row>
    <row r="1712" ht="14.25" customHeight="1">
      <c r="A1712" s="30"/>
      <c r="B1712" s="30"/>
      <c r="C1712" s="30"/>
      <c r="D1712" s="23"/>
      <c r="E1712" s="30"/>
      <c r="F1712" s="30"/>
      <c r="G1712" s="30"/>
      <c r="H1712" s="23"/>
      <c r="I1712" s="30"/>
      <c r="J1712" s="30"/>
      <c r="K1712" s="30"/>
      <c r="L1712" s="30"/>
      <c r="M1712" s="30"/>
      <c r="N1712" s="30"/>
      <c r="O1712" s="30"/>
    </row>
    <row r="1713" ht="14.25" customHeight="1">
      <c r="A1713" s="30"/>
      <c r="B1713" s="30"/>
      <c r="C1713" s="30"/>
      <c r="D1713" s="23"/>
      <c r="E1713" s="30"/>
      <c r="F1713" s="30"/>
      <c r="G1713" s="30"/>
      <c r="H1713" s="23"/>
      <c r="I1713" s="30"/>
      <c r="J1713" s="30"/>
      <c r="K1713" s="30"/>
      <c r="L1713" s="30"/>
      <c r="M1713" s="30"/>
      <c r="N1713" s="30"/>
      <c r="O1713" s="30"/>
    </row>
    <row r="1714" ht="14.25" customHeight="1">
      <c r="A1714" s="30"/>
      <c r="B1714" s="30"/>
      <c r="C1714" s="30"/>
      <c r="D1714" s="23"/>
      <c r="E1714" s="30"/>
      <c r="F1714" s="30"/>
      <c r="G1714" s="30"/>
      <c r="H1714" s="23"/>
      <c r="I1714" s="30"/>
      <c r="J1714" s="30"/>
      <c r="K1714" s="30"/>
      <c r="L1714" s="30"/>
      <c r="M1714" s="30"/>
      <c r="N1714" s="30"/>
      <c r="O1714" s="30"/>
    </row>
    <row r="1715" ht="14.25" customHeight="1">
      <c r="A1715" s="30"/>
      <c r="B1715" s="30"/>
      <c r="C1715" s="30"/>
      <c r="D1715" s="23"/>
      <c r="E1715" s="30"/>
      <c r="F1715" s="30"/>
      <c r="G1715" s="30"/>
      <c r="H1715" s="23"/>
      <c r="I1715" s="30"/>
      <c r="J1715" s="30"/>
      <c r="K1715" s="30"/>
      <c r="L1715" s="30"/>
      <c r="M1715" s="30"/>
      <c r="N1715" s="30"/>
      <c r="O1715" s="30"/>
    </row>
    <row r="1716" ht="14.25" customHeight="1">
      <c r="A1716" s="30"/>
      <c r="B1716" s="30"/>
      <c r="C1716" s="30"/>
      <c r="D1716" s="23"/>
      <c r="E1716" s="30"/>
      <c r="F1716" s="30"/>
      <c r="G1716" s="30"/>
      <c r="H1716" s="23"/>
      <c r="I1716" s="30"/>
      <c r="J1716" s="30"/>
      <c r="K1716" s="30"/>
      <c r="L1716" s="30"/>
      <c r="M1716" s="30"/>
      <c r="N1716" s="30"/>
      <c r="O1716" s="30"/>
    </row>
    <row r="1717" ht="14.25" customHeight="1">
      <c r="A1717" s="30"/>
      <c r="B1717" s="30"/>
      <c r="C1717" s="30"/>
      <c r="D1717" s="23"/>
      <c r="E1717" s="30"/>
      <c r="F1717" s="30"/>
      <c r="G1717" s="30"/>
      <c r="H1717" s="23"/>
      <c r="I1717" s="30"/>
      <c r="J1717" s="30"/>
      <c r="K1717" s="30"/>
      <c r="L1717" s="30"/>
      <c r="M1717" s="30"/>
      <c r="N1717" s="30"/>
      <c r="O1717" s="30"/>
    </row>
    <row r="1718" ht="14.25" customHeight="1">
      <c r="A1718" s="30"/>
      <c r="B1718" s="30"/>
      <c r="C1718" s="30"/>
      <c r="D1718" s="23"/>
      <c r="E1718" s="30"/>
      <c r="F1718" s="30"/>
      <c r="G1718" s="30"/>
      <c r="H1718" s="23"/>
      <c r="I1718" s="30"/>
      <c r="J1718" s="30"/>
      <c r="K1718" s="30"/>
      <c r="L1718" s="30"/>
      <c r="M1718" s="30"/>
      <c r="N1718" s="30"/>
      <c r="O1718" s="30"/>
    </row>
    <row r="1719" ht="14.25" customHeight="1">
      <c r="A1719" s="30"/>
      <c r="B1719" s="30"/>
      <c r="C1719" s="30"/>
      <c r="D1719" s="23"/>
      <c r="E1719" s="30"/>
      <c r="F1719" s="30"/>
      <c r="G1719" s="30"/>
      <c r="H1719" s="23"/>
      <c r="I1719" s="30"/>
      <c r="J1719" s="30"/>
      <c r="K1719" s="30"/>
      <c r="L1719" s="30"/>
      <c r="M1719" s="30"/>
      <c r="N1719" s="30"/>
      <c r="O1719" s="30"/>
    </row>
    <row r="1720" ht="14.25" customHeight="1">
      <c r="A1720" s="30"/>
      <c r="B1720" s="30"/>
      <c r="C1720" s="30"/>
      <c r="D1720" s="23"/>
      <c r="E1720" s="30"/>
      <c r="F1720" s="30"/>
      <c r="G1720" s="30"/>
      <c r="H1720" s="23"/>
      <c r="I1720" s="30"/>
      <c r="J1720" s="30"/>
      <c r="K1720" s="30"/>
      <c r="L1720" s="30"/>
      <c r="M1720" s="30"/>
      <c r="N1720" s="30"/>
      <c r="O1720" s="30"/>
    </row>
    <row r="1721" ht="14.25" customHeight="1">
      <c r="A1721" s="30"/>
      <c r="B1721" s="30"/>
      <c r="C1721" s="30"/>
      <c r="D1721" s="23"/>
      <c r="E1721" s="30"/>
      <c r="F1721" s="30"/>
      <c r="G1721" s="30"/>
      <c r="H1721" s="23"/>
      <c r="I1721" s="30"/>
      <c r="J1721" s="30"/>
      <c r="K1721" s="30"/>
      <c r="L1721" s="30"/>
      <c r="M1721" s="30"/>
      <c r="N1721" s="30"/>
      <c r="O1721" s="30"/>
    </row>
    <row r="1722" ht="14.25" customHeight="1">
      <c r="A1722" s="30"/>
      <c r="B1722" s="30"/>
      <c r="C1722" s="30"/>
      <c r="D1722" s="23"/>
      <c r="E1722" s="30"/>
      <c r="F1722" s="30"/>
      <c r="G1722" s="30"/>
      <c r="H1722" s="23"/>
      <c r="I1722" s="30"/>
      <c r="J1722" s="30"/>
      <c r="K1722" s="30"/>
      <c r="L1722" s="30"/>
      <c r="M1722" s="30"/>
      <c r="N1722" s="30"/>
      <c r="O1722" s="30"/>
    </row>
    <row r="1723" ht="14.25" customHeight="1">
      <c r="A1723" s="30"/>
      <c r="B1723" s="30"/>
      <c r="C1723" s="30"/>
      <c r="D1723" s="23"/>
      <c r="E1723" s="30"/>
      <c r="F1723" s="30"/>
      <c r="G1723" s="30"/>
      <c r="H1723" s="23"/>
      <c r="I1723" s="30"/>
      <c r="J1723" s="30"/>
      <c r="K1723" s="30"/>
      <c r="L1723" s="30"/>
      <c r="M1723" s="30"/>
      <c r="N1723" s="30"/>
      <c r="O1723" s="30"/>
    </row>
    <row r="1724" ht="14.25" customHeight="1">
      <c r="A1724" s="30"/>
      <c r="B1724" s="30"/>
      <c r="C1724" s="30"/>
      <c r="D1724" s="23"/>
      <c r="E1724" s="30"/>
      <c r="F1724" s="30"/>
      <c r="G1724" s="30"/>
      <c r="H1724" s="23"/>
      <c r="I1724" s="30"/>
      <c r="J1724" s="30"/>
      <c r="K1724" s="30"/>
      <c r="L1724" s="30"/>
      <c r="M1724" s="30"/>
      <c r="N1724" s="30"/>
      <c r="O1724" s="30"/>
    </row>
    <row r="1725" ht="14.25" customHeight="1">
      <c r="A1725" s="30"/>
      <c r="B1725" s="30"/>
      <c r="C1725" s="30"/>
      <c r="D1725" s="23"/>
      <c r="E1725" s="30"/>
      <c r="F1725" s="30"/>
      <c r="G1725" s="30"/>
      <c r="H1725" s="23"/>
      <c r="I1725" s="30"/>
      <c r="J1725" s="30"/>
      <c r="K1725" s="30"/>
      <c r="L1725" s="30"/>
      <c r="M1725" s="30"/>
      <c r="N1725" s="30"/>
      <c r="O1725" s="30"/>
    </row>
    <row r="1726" ht="14.25" customHeight="1">
      <c r="A1726" s="30"/>
      <c r="B1726" s="30"/>
      <c r="C1726" s="30"/>
      <c r="D1726" s="23"/>
      <c r="E1726" s="30"/>
      <c r="F1726" s="30"/>
      <c r="G1726" s="30"/>
      <c r="H1726" s="23"/>
      <c r="I1726" s="30"/>
      <c r="J1726" s="30"/>
      <c r="K1726" s="30"/>
      <c r="L1726" s="30"/>
      <c r="M1726" s="30"/>
      <c r="N1726" s="30"/>
      <c r="O1726" s="30"/>
    </row>
    <row r="1727" ht="14.25" customHeight="1">
      <c r="A1727" s="30"/>
      <c r="B1727" s="30"/>
      <c r="C1727" s="30"/>
      <c r="D1727" s="23"/>
      <c r="E1727" s="30"/>
      <c r="F1727" s="30"/>
      <c r="G1727" s="30"/>
      <c r="H1727" s="23"/>
      <c r="I1727" s="30"/>
      <c r="J1727" s="30"/>
      <c r="K1727" s="30"/>
      <c r="L1727" s="30"/>
      <c r="M1727" s="30"/>
      <c r="N1727" s="30"/>
      <c r="O1727" s="30"/>
    </row>
    <row r="1728" ht="14.25" customHeight="1">
      <c r="A1728" s="30"/>
      <c r="B1728" s="30"/>
      <c r="C1728" s="30"/>
      <c r="D1728" s="23"/>
      <c r="E1728" s="30"/>
      <c r="F1728" s="30"/>
      <c r="G1728" s="30"/>
      <c r="H1728" s="23"/>
      <c r="I1728" s="30"/>
      <c r="J1728" s="30"/>
      <c r="K1728" s="30"/>
      <c r="L1728" s="30"/>
      <c r="M1728" s="30"/>
      <c r="N1728" s="30"/>
      <c r="O1728" s="30"/>
    </row>
    <row r="1729" ht="14.25" customHeight="1">
      <c r="A1729" s="30"/>
      <c r="B1729" s="30"/>
      <c r="C1729" s="30"/>
      <c r="D1729" s="23"/>
      <c r="E1729" s="30"/>
      <c r="F1729" s="30"/>
      <c r="G1729" s="30"/>
      <c r="H1729" s="23"/>
      <c r="I1729" s="30"/>
      <c r="J1729" s="30"/>
      <c r="K1729" s="30"/>
      <c r="L1729" s="30"/>
      <c r="M1729" s="30"/>
      <c r="N1729" s="30"/>
      <c r="O1729" s="30"/>
    </row>
    <row r="1730" ht="14.25" customHeight="1">
      <c r="A1730" s="30"/>
      <c r="B1730" s="30"/>
      <c r="C1730" s="30"/>
      <c r="D1730" s="23"/>
      <c r="E1730" s="30"/>
      <c r="F1730" s="30"/>
      <c r="G1730" s="30"/>
      <c r="H1730" s="23"/>
      <c r="I1730" s="30"/>
      <c r="J1730" s="30"/>
      <c r="K1730" s="30"/>
      <c r="L1730" s="30"/>
      <c r="M1730" s="30"/>
      <c r="N1730" s="30"/>
      <c r="O1730" s="30"/>
    </row>
    <row r="1731" ht="14.25" customHeight="1">
      <c r="A1731" s="30"/>
      <c r="B1731" s="30"/>
      <c r="C1731" s="30"/>
      <c r="D1731" s="23"/>
      <c r="E1731" s="30"/>
      <c r="F1731" s="30"/>
      <c r="G1731" s="30"/>
      <c r="H1731" s="23"/>
      <c r="I1731" s="30"/>
      <c r="J1731" s="30"/>
      <c r="K1731" s="30"/>
      <c r="L1731" s="30"/>
      <c r="M1731" s="30"/>
      <c r="N1731" s="30"/>
      <c r="O1731" s="30"/>
    </row>
    <row r="1732" ht="14.25" customHeight="1">
      <c r="A1732" s="30"/>
      <c r="B1732" s="30"/>
      <c r="C1732" s="30"/>
      <c r="D1732" s="23"/>
      <c r="E1732" s="30"/>
      <c r="F1732" s="30"/>
      <c r="G1732" s="30"/>
      <c r="H1732" s="23"/>
      <c r="I1732" s="30"/>
      <c r="J1732" s="30"/>
      <c r="K1732" s="30"/>
      <c r="L1732" s="30"/>
      <c r="M1732" s="30"/>
      <c r="N1732" s="30"/>
      <c r="O1732" s="30"/>
    </row>
    <row r="1733" ht="14.25" customHeight="1">
      <c r="A1733" s="30"/>
      <c r="B1733" s="30"/>
      <c r="C1733" s="30"/>
      <c r="D1733" s="23"/>
      <c r="E1733" s="30"/>
      <c r="F1733" s="30"/>
      <c r="G1733" s="30"/>
      <c r="H1733" s="23"/>
      <c r="I1733" s="30"/>
      <c r="J1733" s="30"/>
      <c r="K1733" s="30"/>
      <c r="L1733" s="30"/>
      <c r="M1733" s="30"/>
      <c r="N1733" s="30"/>
      <c r="O1733" s="30"/>
    </row>
    <row r="1734" ht="14.25" customHeight="1">
      <c r="A1734" s="30"/>
      <c r="B1734" s="30"/>
      <c r="C1734" s="30"/>
      <c r="D1734" s="23"/>
      <c r="E1734" s="30"/>
      <c r="F1734" s="30"/>
      <c r="G1734" s="30"/>
      <c r="H1734" s="23"/>
      <c r="I1734" s="30"/>
      <c r="J1734" s="30"/>
      <c r="K1734" s="30"/>
      <c r="L1734" s="30"/>
      <c r="M1734" s="30"/>
      <c r="N1734" s="30"/>
      <c r="O1734" s="30"/>
    </row>
    <row r="1735" ht="14.25" customHeight="1">
      <c r="A1735" s="30"/>
      <c r="B1735" s="30"/>
      <c r="C1735" s="30"/>
      <c r="D1735" s="23"/>
      <c r="E1735" s="30"/>
      <c r="F1735" s="30"/>
      <c r="G1735" s="30"/>
      <c r="H1735" s="23"/>
      <c r="I1735" s="30"/>
      <c r="J1735" s="30"/>
      <c r="K1735" s="30"/>
      <c r="L1735" s="30"/>
      <c r="M1735" s="30"/>
      <c r="N1735" s="30"/>
      <c r="O1735" s="30"/>
    </row>
    <row r="1736" ht="14.25" customHeight="1">
      <c r="A1736" s="30"/>
      <c r="B1736" s="30"/>
      <c r="C1736" s="30"/>
      <c r="D1736" s="23"/>
      <c r="E1736" s="30"/>
      <c r="F1736" s="30"/>
      <c r="G1736" s="30"/>
      <c r="H1736" s="23"/>
      <c r="I1736" s="30"/>
      <c r="J1736" s="30"/>
      <c r="K1736" s="30"/>
      <c r="L1736" s="30"/>
      <c r="M1736" s="30"/>
      <c r="N1736" s="30"/>
      <c r="O1736" s="30"/>
    </row>
    <row r="1737" ht="14.25" customHeight="1">
      <c r="A1737" s="30"/>
      <c r="B1737" s="30"/>
      <c r="C1737" s="30"/>
      <c r="D1737" s="23"/>
      <c r="E1737" s="30"/>
      <c r="F1737" s="30"/>
      <c r="G1737" s="30"/>
      <c r="H1737" s="23"/>
      <c r="I1737" s="30"/>
      <c r="J1737" s="30"/>
      <c r="K1737" s="30"/>
      <c r="L1737" s="30"/>
      <c r="M1737" s="30"/>
      <c r="N1737" s="30"/>
      <c r="O1737" s="30"/>
    </row>
    <row r="1738" ht="14.25" customHeight="1">
      <c r="A1738" s="30"/>
      <c r="B1738" s="30"/>
      <c r="C1738" s="30"/>
      <c r="D1738" s="23"/>
      <c r="E1738" s="30"/>
      <c r="F1738" s="30"/>
      <c r="G1738" s="30"/>
      <c r="H1738" s="23"/>
      <c r="I1738" s="30"/>
      <c r="J1738" s="30"/>
      <c r="K1738" s="30"/>
      <c r="L1738" s="30"/>
      <c r="M1738" s="30"/>
      <c r="N1738" s="30"/>
      <c r="O1738" s="30"/>
    </row>
    <row r="1739" ht="14.25" customHeight="1">
      <c r="A1739" s="30"/>
      <c r="B1739" s="30"/>
      <c r="C1739" s="30"/>
      <c r="D1739" s="23"/>
      <c r="E1739" s="30"/>
      <c r="F1739" s="30"/>
      <c r="G1739" s="30"/>
      <c r="H1739" s="23"/>
      <c r="I1739" s="30"/>
      <c r="J1739" s="30"/>
      <c r="K1739" s="30"/>
      <c r="L1739" s="30"/>
      <c r="M1739" s="30"/>
      <c r="N1739" s="30"/>
      <c r="O1739" s="30"/>
    </row>
    <row r="1740" ht="14.25" customHeight="1">
      <c r="A1740" s="30"/>
      <c r="B1740" s="30"/>
      <c r="C1740" s="30"/>
      <c r="D1740" s="23"/>
      <c r="E1740" s="30"/>
      <c r="F1740" s="30"/>
      <c r="G1740" s="30"/>
      <c r="H1740" s="23"/>
      <c r="I1740" s="30"/>
      <c r="J1740" s="30"/>
      <c r="K1740" s="30"/>
      <c r="L1740" s="30"/>
      <c r="M1740" s="30"/>
      <c r="N1740" s="30"/>
      <c r="O1740" s="30"/>
    </row>
    <row r="1741" ht="14.25" customHeight="1">
      <c r="A1741" s="30"/>
      <c r="B1741" s="30"/>
      <c r="C1741" s="30"/>
      <c r="D1741" s="23"/>
      <c r="E1741" s="30"/>
      <c r="F1741" s="30"/>
      <c r="G1741" s="30"/>
      <c r="H1741" s="23"/>
      <c r="I1741" s="30"/>
      <c r="J1741" s="30"/>
      <c r="K1741" s="30"/>
      <c r="L1741" s="30"/>
      <c r="M1741" s="30"/>
      <c r="N1741" s="30"/>
      <c r="O1741" s="30"/>
    </row>
    <row r="1742" ht="14.25" customHeight="1">
      <c r="A1742" s="30"/>
      <c r="B1742" s="30"/>
      <c r="C1742" s="30"/>
      <c r="D1742" s="23"/>
      <c r="E1742" s="30"/>
      <c r="F1742" s="30"/>
      <c r="G1742" s="30"/>
      <c r="H1742" s="23"/>
      <c r="I1742" s="30"/>
      <c r="J1742" s="30"/>
      <c r="K1742" s="30"/>
      <c r="L1742" s="30"/>
      <c r="M1742" s="30"/>
      <c r="N1742" s="30"/>
      <c r="O1742" s="30"/>
    </row>
    <row r="1743" ht="14.25" customHeight="1">
      <c r="A1743" s="30"/>
      <c r="B1743" s="30"/>
      <c r="C1743" s="30"/>
      <c r="D1743" s="23"/>
      <c r="E1743" s="30"/>
      <c r="F1743" s="30"/>
      <c r="G1743" s="30"/>
      <c r="H1743" s="23"/>
      <c r="I1743" s="30"/>
      <c r="J1743" s="30"/>
      <c r="K1743" s="30"/>
      <c r="L1743" s="30"/>
      <c r="M1743" s="30"/>
      <c r="N1743" s="30"/>
      <c r="O1743" s="30"/>
    </row>
    <row r="1744" ht="14.25" customHeight="1">
      <c r="A1744" s="30"/>
      <c r="B1744" s="30"/>
      <c r="C1744" s="30"/>
      <c r="D1744" s="23"/>
      <c r="E1744" s="30"/>
      <c r="F1744" s="30"/>
      <c r="G1744" s="30"/>
      <c r="H1744" s="23"/>
      <c r="I1744" s="30"/>
      <c r="J1744" s="30"/>
      <c r="K1744" s="30"/>
      <c r="L1744" s="30"/>
      <c r="M1744" s="30"/>
      <c r="N1744" s="30"/>
      <c r="O1744" s="30"/>
    </row>
    <row r="1745" ht="14.25" customHeight="1">
      <c r="A1745" s="30"/>
      <c r="B1745" s="30"/>
      <c r="C1745" s="30"/>
      <c r="D1745" s="23"/>
      <c r="E1745" s="30"/>
      <c r="F1745" s="30"/>
      <c r="G1745" s="30"/>
      <c r="H1745" s="23"/>
      <c r="I1745" s="30"/>
      <c r="J1745" s="30"/>
      <c r="K1745" s="30"/>
      <c r="L1745" s="30"/>
      <c r="M1745" s="30"/>
      <c r="N1745" s="30"/>
      <c r="O1745" s="30"/>
    </row>
    <row r="1746" ht="14.25" customHeight="1">
      <c r="A1746" s="30"/>
      <c r="B1746" s="30"/>
      <c r="C1746" s="30"/>
      <c r="D1746" s="23"/>
      <c r="E1746" s="30"/>
      <c r="F1746" s="30"/>
      <c r="G1746" s="30"/>
      <c r="H1746" s="23"/>
      <c r="I1746" s="30"/>
      <c r="J1746" s="30"/>
      <c r="K1746" s="30"/>
      <c r="L1746" s="30"/>
      <c r="M1746" s="30"/>
      <c r="N1746" s="30"/>
      <c r="O1746" s="30"/>
    </row>
    <row r="1747" ht="14.25" customHeight="1">
      <c r="A1747" s="30"/>
      <c r="B1747" s="30"/>
      <c r="C1747" s="30"/>
      <c r="D1747" s="23"/>
      <c r="E1747" s="30"/>
      <c r="F1747" s="30"/>
      <c r="G1747" s="30"/>
      <c r="H1747" s="23"/>
      <c r="I1747" s="30"/>
      <c r="J1747" s="30"/>
      <c r="K1747" s="30"/>
      <c r="L1747" s="30"/>
      <c r="M1747" s="30"/>
      <c r="N1747" s="30"/>
      <c r="O1747" s="30"/>
    </row>
    <row r="1748" ht="14.25" customHeight="1">
      <c r="A1748" s="30"/>
      <c r="B1748" s="30"/>
      <c r="C1748" s="30"/>
      <c r="D1748" s="23"/>
      <c r="E1748" s="30"/>
      <c r="F1748" s="30"/>
      <c r="G1748" s="30"/>
      <c r="H1748" s="23"/>
      <c r="I1748" s="30"/>
      <c r="J1748" s="30"/>
      <c r="K1748" s="30"/>
      <c r="L1748" s="30"/>
      <c r="M1748" s="30"/>
      <c r="N1748" s="30"/>
      <c r="O1748" s="30"/>
    </row>
    <row r="1749" ht="14.25" customHeight="1">
      <c r="A1749" s="30"/>
      <c r="B1749" s="30"/>
      <c r="C1749" s="30"/>
      <c r="D1749" s="23"/>
      <c r="E1749" s="30"/>
      <c r="F1749" s="30"/>
      <c r="G1749" s="30"/>
      <c r="H1749" s="23"/>
      <c r="I1749" s="30"/>
      <c r="J1749" s="30"/>
      <c r="K1749" s="30"/>
      <c r="L1749" s="30"/>
      <c r="M1749" s="30"/>
      <c r="N1749" s="30"/>
      <c r="O1749" s="30"/>
    </row>
    <row r="1750" ht="14.25" customHeight="1">
      <c r="A1750" s="30"/>
      <c r="B1750" s="30"/>
      <c r="C1750" s="30"/>
      <c r="D1750" s="23"/>
      <c r="E1750" s="30"/>
      <c r="F1750" s="30"/>
      <c r="G1750" s="30"/>
      <c r="H1750" s="23"/>
      <c r="I1750" s="30"/>
      <c r="J1750" s="30"/>
      <c r="K1750" s="30"/>
      <c r="L1750" s="30"/>
      <c r="M1750" s="30"/>
      <c r="N1750" s="30"/>
      <c r="O1750" s="30"/>
    </row>
    <row r="1751" ht="14.25" customHeight="1">
      <c r="A1751" s="30"/>
      <c r="B1751" s="30"/>
      <c r="C1751" s="30"/>
      <c r="D1751" s="23"/>
      <c r="E1751" s="30"/>
      <c r="F1751" s="30"/>
      <c r="G1751" s="30"/>
      <c r="H1751" s="23"/>
      <c r="I1751" s="30"/>
      <c r="J1751" s="30"/>
      <c r="K1751" s="30"/>
      <c r="L1751" s="30"/>
      <c r="M1751" s="30"/>
      <c r="N1751" s="30"/>
      <c r="O1751" s="30"/>
    </row>
    <row r="1752" ht="14.25" customHeight="1">
      <c r="A1752" s="30"/>
      <c r="B1752" s="30"/>
      <c r="C1752" s="30"/>
      <c r="D1752" s="23"/>
      <c r="E1752" s="30"/>
      <c r="F1752" s="30"/>
      <c r="G1752" s="30"/>
      <c r="H1752" s="23"/>
      <c r="I1752" s="30"/>
      <c r="J1752" s="30"/>
      <c r="K1752" s="30"/>
      <c r="L1752" s="30"/>
      <c r="M1752" s="30"/>
      <c r="N1752" s="30"/>
      <c r="O1752" s="30"/>
    </row>
    <row r="1753" ht="14.25" customHeight="1">
      <c r="A1753" s="30"/>
      <c r="B1753" s="30"/>
      <c r="C1753" s="30"/>
      <c r="D1753" s="23"/>
      <c r="E1753" s="30"/>
      <c r="F1753" s="30"/>
      <c r="G1753" s="30"/>
      <c r="H1753" s="23"/>
      <c r="I1753" s="30"/>
      <c r="J1753" s="30"/>
      <c r="K1753" s="30"/>
      <c r="L1753" s="30"/>
      <c r="M1753" s="30"/>
      <c r="N1753" s="30"/>
      <c r="O1753" s="30"/>
    </row>
    <row r="1754" ht="14.25" customHeight="1">
      <c r="A1754" s="30"/>
      <c r="B1754" s="30"/>
      <c r="C1754" s="30"/>
      <c r="D1754" s="23"/>
      <c r="E1754" s="30"/>
      <c r="F1754" s="30"/>
      <c r="G1754" s="30"/>
      <c r="H1754" s="23"/>
      <c r="I1754" s="30"/>
      <c r="J1754" s="30"/>
      <c r="K1754" s="30"/>
      <c r="L1754" s="30"/>
      <c r="M1754" s="30"/>
      <c r="N1754" s="30"/>
      <c r="O1754" s="30"/>
    </row>
    <row r="1755" ht="14.25" customHeight="1">
      <c r="A1755" s="30"/>
      <c r="B1755" s="30"/>
      <c r="C1755" s="30"/>
      <c r="D1755" s="23"/>
      <c r="E1755" s="30"/>
      <c r="F1755" s="30"/>
      <c r="G1755" s="30"/>
      <c r="H1755" s="23"/>
      <c r="I1755" s="30"/>
      <c r="J1755" s="30"/>
      <c r="K1755" s="30"/>
      <c r="L1755" s="30"/>
      <c r="M1755" s="30"/>
      <c r="N1755" s="30"/>
      <c r="O1755" s="30"/>
    </row>
    <row r="1756" ht="14.25" customHeight="1">
      <c r="A1756" s="30"/>
      <c r="B1756" s="30"/>
      <c r="C1756" s="30"/>
      <c r="D1756" s="23"/>
      <c r="E1756" s="30"/>
      <c r="F1756" s="30"/>
      <c r="G1756" s="30"/>
      <c r="H1756" s="23"/>
      <c r="I1756" s="30"/>
      <c r="J1756" s="30"/>
      <c r="K1756" s="30"/>
      <c r="L1756" s="30"/>
      <c r="M1756" s="30"/>
      <c r="N1756" s="30"/>
      <c r="O1756" s="30"/>
    </row>
    <row r="1757" ht="14.25" customHeight="1">
      <c r="A1757" s="30"/>
      <c r="B1757" s="30"/>
      <c r="C1757" s="30"/>
      <c r="D1757" s="23"/>
      <c r="E1757" s="30"/>
      <c r="F1757" s="30"/>
      <c r="G1757" s="30"/>
      <c r="H1757" s="23"/>
      <c r="I1757" s="30"/>
      <c r="J1757" s="30"/>
      <c r="K1757" s="30"/>
      <c r="L1757" s="30"/>
      <c r="M1757" s="30"/>
      <c r="N1757" s="30"/>
      <c r="O1757" s="30"/>
    </row>
    <row r="1758" ht="14.25" customHeight="1">
      <c r="A1758" s="30"/>
      <c r="B1758" s="30"/>
      <c r="C1758" s="30"/>
      <c r="D1758" s="23"/>
      <c r="E1758" s="30"/>
      <c r="F1758" s="30"/>
      <c r="G1758" s="30"/>
      <c r="H1758" s="23"/>
      <c r="I1758" s="30"/>
      <c r="J1758" s="30"/>
      <c r="K1758" s="30"/>
      <c r="L1758" s="30"/>
      <c r="M1758" s="30"/>
      <c r="N1758" s="30"/>
      <c r="O1758" s="30"/>
    </row>
    <row r="1759" ht="14.25" customHeight="1">
      <c r="A1759" s="30"/>
      <c r="B1759" s="30"/>
      <c r="C1759" s="30"/>
      <c r="D1759" s="23"/>
      <c r="E1759" s="30"/>
      <c r="F1759" s="30"/>
      <c r="G1759" s="30"/>
      <c r="H1759" s="23"/>
      <c r="I1759" s="30"/>
      <c r="J1759" s="30"/>
      <c r="K1759" s="30"/>
      <c r="L1759" s="30"/>
      <c r="M1759" s="30"/>
      <c r="N1759" s="30"/>
      <c r="O1759" s="30"/>
    </row>
    <row r="1760" ht="14.25" customHeight="1">
      <c r="A1760" s="30"/>
      <c r="B1760" s="30"/>
      <c r="C1760" s="30"/>
      <c r="D1760" s="23"/>
      <c r="E1760" s="30"/>
      <c r="F1760" s="30"/>
      <c r="G1760" s="30"/>
      <c r="H1760" s="23"/>
      <c r="I1760" s="30"/>
      <c r="J1760" s="30"/>
      <c r="K1760" s="30"/>
      <c r="L1760" s="30"/>
      <c r="M1760" s="30"/>
      <c r="N1760" s="30"/>
      <c r="O1760" s="30"/>
    </row>
    <row r="1761" ht="14.25" customHeight="1">
      <c r="A1761" s="30"/>
      <c r="B1761" s="30"/>
      <c r="C1761" s="30"/>
      <c r="D1761" s="23"/>
      <c r="E1761" s="30"/>
      <c r="F1761" s="30"/>
      <c r="G1761" s="30"/>
      <c r="H1761" s="23"/>
      <c r="I1761" s="30"/>
      <c r="J1761" s="30"/>
      <c r="K1761" s="30"/>
      <c r="L1761" s="30"/>
      <c r="M1761" s="30"/>
      <c r="N1761" s="30"/>
      <c r="O1761" s="30"/>
    </row>
    <row r="1762" ht="14.25" customHeight="1">
      <c r="A1762" s="30"/>
      <c r="B1762" s="30"/>
      <c r="C1762" s="30"/>
      <c r="D1762" s="23"/>
      <c r="E1762" s="30"/>
      <c r="F1762" s="30"/>
      <c r="G1762" s="30"/>
      <c r="H1762" s="23"/>
      <c r="I1762" s="30"/>
      <c r="J1762" s="30"/>
      <c r="K1762" s="30"/>
      <c r="L1762" s="30"/>
      <c r="M1762" s="30"/>
      <c r="N1762" s="30"/>
      <c r="O1762" s="30"/>
    </row>
    <row r="1763" ht="14.25" customHeight="1">
      <c r="A1763" s="30"/>
      <c r="B1763" s="30"/>
      <c r="C1763" s="30"/>
      <c r="D1763" s="23"/>
      <c r="E1763" s="30"/>
      <c r="F1763" s="30"/>
      <c r="G1763" s="30"/>
      <c r="H1763" s="23"/>
      <c r="I1763" s="30"/>
      <c r="J1763" s="30"/>
      <c r="K1763" s="30"/>
      <c r="L1763" s="30"/>
      <c r="M1763" s="30"/>
      <c r="N1763" s="30"/>
      <c r="O1763" s="30"/>
    </row>
    <row r="1764" ht="14.25" customHeight="1">
      <c r="A1764" s="30"/>
      <c r="B1764" s="30"/>
      <c r="C1764" s="30"/>
      <c r="D1764" s="23"/>
      <c r="E1764" s="30"/>
      <c r="F1764" s="30"/>
      <c r="G1764" s="30"/>
      <c r="H1764" s="23"/>
      <c r="I1764" s="30"/>
      <c r="J1764" s="30"/>
      <c r="K1764" s="30"/>
      <c r="L1764" s="30"/>
      <c r="M1764" s="30"/>
      <c r="N1764" s="30"/>
      <c r="O1764" s="30"/>
    </row>
    <row r="1765" ht="14.25" customHeight="1">
      <c r="A1765" s="30"/>
      <c r="B1765" s="30"/>
      <c r="C1765" s="30"/>
      <c r="D1765" s="23"/>
      <c r="E1765" s="30"/>
      <c r="F1765" s="30"/>
      <c r="G1765" s="30"/>
      <c r="H1765" s="23"/>
      <c r="I1765" s="30"/>
      <c r="J1765" s="30"/>
      <c r="K1765" s="30"/>
      <c r="L1765" s="30"/>
      <c r="M1765" s="30"/>
      <c r="N1765" s="30"/>
      <c r="O1765" s="30"/>
    </row>
  </sheetData>
  <mergeCells count="91">
    <mergeCell ref="B659:C659"/>
    <mergeCell ref="D659:E659"/>
    <mergeCell ref="F659:G659"/>
    <mergeCell ref="H659:I659"/>
    <mergeCell ref="J659:K659"/>
    <mergeCell ref="L659:M659"/>
    <mergeCell ref="N659:O659"/>
    <mergeCell ref="B696:C696"/>
    <mergeCell ref="D696:E696"/>
    <mergeCell ref="F696:G696"/>
    <mergeCell ref="H696:I696"/>
    <mergeCell ref="J696:K696"/>
    <mergeCell ref="L696:M696"/>
    <mergeCell ref="N696:O696"/>
    <mergeCell ref="B733:C733"/>
    <mergeCell ref="D733:E733"/>
    <mergeCell ref="F733:G733"/>
    <mergeCell ref="H733:I733"/>
    <mergeCell ref="J733:K733"/>
    <mergeCell ref="L733:M733"/>
    <mergeCell ref="N733:O733"/>
    <mergeCell ref="B770:C770"/>
    <mergeCell ref="D770:E770"/>
    <mergeCell ref="F770:G770"/>
    <mergeCell ref="H770:I770"/>
    <mergeCell ref="J770:K770"/>
    <mergeCell ref="L770:M770"/>
    <mergeCell ref="N770:O770"/>
    <mergeCell ref="B807:C807"/>
    <mergeCell ref="D807:E807"/>
    <mergeCell ref="F807:G807"/>
    <mergeCell ref="H807:I807"/>
    <mergeCell ref="J807:K807"/>
    <mergeCell ref="L807:M807"/>
    <mergeCell ref="N807:O807"/>
    <mergeCell ref="B844:C844"/>
    <mergeCell ref="D844:E844"/>
    <mergeCell ref="F844:G844"/>
    <mergeCell ref="H844:I844"/>
    <mergeCell ref="J844:K844"/>
    <mergeCell ref="L844:M844"/>
    <mergeCell ref="N844:O844"/>
    <mergeCell ref="B437:C437"/>
    <mergeCell ref="D437:E437"/>
    <mergeCell ref="F437:G437"/>
    <mergeCell ref="H437:I437"/>
    <mergeCell ref="J437:K437"/>
    <mergeCell ref="L437:M437"/>
    <mergeCell ref="N437:O437"/>
    <mergeCell ref="B474:C474"/>
    <mergeCell ref="D474:E474"/>
    <mergeCell ref="F474:G474"/>
    <mergeCell ref="H474:I474"/>
    <mergeCell ref="J474:K474"/>
    <mergeCell ref="L474:M474"/>
    <mergeCell ref="N474:O474"/>
    <mergeCell ref="B511:C511"/>
    <mergeCell ref="D511:E511"/>
    <mergeCell ref="F511:G511"/>
    <mergeCell ref="H511:I511"/>
    <mergeCell ref="J511:K511"/>
    <mergeCell ref="L511:M511"/>
    <mergeCell ref="N511:O511"/>
    <mergeCell ref="B548:C548"/>
    <mergeCell ref="D548:E548"/>
    <mergeCell ref="F548:G548"/>
    <mergeCell ref="H548:I548"/>
    <mergeCell ref="J548:K548"/>
    <mergeCell ref="L548:M548"/>
    <mergeCell ref="N548:O548"/>
    <mergeCell ref="B585:C585"/>
    <mergeCell ref="D585:E585"/>
    <mergeCell ref="F585:G585"/>
    <mergeCell ref="H585:I585"/>
    <mergeCell ref="J585:K585"/>
    <mergeCell ref="L585:M585"/>
    <mergeCell ref="N585:O585"/>
    <mergeCell ref="B622:C622"/>
    <mergeCell ref="D622:E622"/>
    <mergeCell ref="F622:G622"/>
    <mergeCell ref="H622:I622"/>
    <mergeCell ref="J622:K622"/>
    <mergeCell ref="L622:M622"/>
    <mergeCell ref="N622:O622"/>
    <mergeCell ref="B881:C881"/>
    <mergeCell ref="D881:E881"/>
    <mergeCell ref="F881:G881"/>
    <mergeCell ref="H881:I881"/>
    <mergeCell ref="J881:K881"/>
    <mergeCell ref="L881:M881"/>
    <mergeCell ref="N881:O881"/>
  </mergeCells>
  <printOptions/>
  <pageMargins bottom="0.75" footer="0.0" header="0.0" left="0.25" right="0.25" top="0.75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98" t="s">
        <v>562</v>
      </c>
      <c r="B1" s="198" t="s">
        <v>563</v>
      </c>
    </row>
    <row r="2" ht="14.25" customHeight="1">
      <c r="A2" s="199">
        <v>30.0</v>
      </c>
      <c r="B2" s="199">
        <v>30.0</v>
      </c>
    </row>
    <row r="3" ht="14.25" customHeight="1">
      <c r="A3" s="199">
        <v>60.0</v>
      </c>
      <c r="B3" s="199">
        <v>60.0</v>
      </c>
    </row>
    <row r="4" ht="14.25" customHeight="1">
      <c r="A4" s="199">
        <v>90.0</v>
      </c>
      <c r="B4" s="199">
        <v>90.0</v>
      </c>
    </row>
    <row r="5" ht="14.25" customHeight="1">
      <c r="A5" s="199">
        <v>90.0</v>
      </c>
      <c r="B5" s="199">
        <v>90.0</v>
      </c>
    </row>
    <row r="6" ht="14.25" customHeight="1">
      <c r="A6" s="199">
        <v>60.0</v>
      </c>
      <c r="B6" s="199">
        <v>60.0</v>
      </c>
    </row>
    <row r="7" ht="14.25" customHeight="1">
      <c r="A7" s="199">
        <v>30.0</v>
      </c>
      <c r="B7" s="199">
        <v>30.0</v>
      </c>
    </row>
    <row r="8" ht="14.25" customHeight="1">
      <c r="A8" s="199">
        <v>30.0</v>
      </c>
      <c r="B8" s="199">
        <v>30.0</v>
      </c>
    </row>
    <row r="9" ht="14.25" customHeight="1">
      <c r="A9" s="199">
        <v>60.0</v>
      </c>
      <c r="B9" s="199">
        <v>60.0</v>
      </c>
    </row>
    <row r="10" ht="14.25" customHeight="1">
      <c r="A10" s="199">
        <v>90.0</v>
      </c>
      <c r="B10" s="199">
        <v>90.0</v>
      </c>
    </row>
    <row r="11" ht="14.25" customHeight="1">
      <c r="A11" s="199">
        <v>90.0</v>
      </c>
      <c r="B11" s="199">
        <v>90.0</v>
      </c>
    </row>
    <row r="12" ht="14.25" customHeight="1">
      <c r="A12" s="199">
        <v>60.0</v>
      </c>
      <c r="B12" s="199">
        <v>60.0</v>
      </c>
    </row>
    <row r="13" ht="14.25" customHeight="1">
      <c r="A13" s="199">
        <v>30.0</v>
      </c>
      <c r="B13" s="199">
        <v>30.0</v>
      </c>
    </row>
    <row r="14" ht="14.25" customHeight="1">
      <c r="A14" s="199">
        <v>30.0</v>
      </c>
      <c r="B14" s="199">
        <v>30.0</v>
      </c>
    </row>
    <row r="15" ht="14.25" customHeight="1">
      <c r="A15" s="199">
        <v>30.0</v>
      </c>
      <c r="B15" s="199">
        <v>30.0</v>
      </c>
    </row>
    <row r="16" ht="14.25" customHeight="1">
      <c r="A16" s="199">
        <v>60.0</v>
      </c>
      <c r="B16" s="199">
        <v>60.0</v>
      </c>
    </row>
    <row r="17" ht="14.25" customHeight="1">
      <c r="A17" s="199">
        <v>90.0</v>
      </c>
      <c r="B17" s="199">
        <v>90.0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0.14"/>
    <col customWidth="1" min="6" max="6" width="11.29"/>
    <col customWidth="1" min="7" max="7" width="16.43"/>
    <col customWidth="1" min="8" max="8" width="12.71"/>
    <col customWidth="1" min="9" max="9" width="13.0"/>
    <col customWidth="1" min="10" max="10" width="19.71"/>
    <col customWidth="1" min="11" max="12" width="10.29"/>
    <col customWidth="1" min="13" max="22" width="8.71"/>
  </cols>
  <sheetData>
    <row r="1" ht="14.25" customHeight="1">
      <c r="A1" s="200">
        <v>2023.0</v>
      </c>
      <c r="B1" s="201" t="s">
        <v>564</v>
      </c>
      <c r="C1" s="202" t="s">
        <v>565</v>
      </c>
      <c r="D1" s="202" t="s">
        <v>566</v>
      </c>
      <c r="E1" s="201" t="s">
        <v>567</v>
      </c>
      <c r="F1" s="202" t="s">
        <v>253</v>
      </c>
      <c r="G1" s="201" t="s">
        <v>568</v>
      </c>
      <c r="H1" s="202" t="s">
        <v>569</v>
      </c>
      <c r="I1" s="202"/>
      <c r="J1" s="203" t="s">
        <v>570</v>
      </c>
      <c r="K1" s="204"/>
      <c r="L1" s="203" t="s">
        <v>571</v>
      </c>
      <c r="M1" s="205"/>
      <c r="N1" s="202"/>
      <c r="O1" s="202" t="s">
        <v>223</v>
      </c>
      <c r="P1" s="202" t="s">
        <v>143</v>
      </c>
      <c r="Q1" s="201" t="s">
        <v>572</v>
      </c>
      <c r="R1" s="201" t="s">
        <v>74</v>
      </c>
      <c r="S1" s="202"/>
      <c r="T1" s="202"/>
      <c r="U1" s="202"/>
      <c r="V1" s="202"/>
    </row>
    <row r="2" ht="14.25" customHeight="1">
      <c r="A2" s="206"/>
      <c r="B2" s="206"/>
      <c r="C2" s="206" t="s">
        <v>573</v>
      </c>
      <c r="D2" s="206" t="s">
        <v>573</v>
      </c>
      <c r="E2" s="206" t="s">
        <v>573</v>
      </c>
      <c r="F2" s="206" t="s">
        <v>573</v>
      </c>
      <c r="G2" s="206" t="s">
        <v>574</v>
      </c>
      <c r="H2" s="206" t="s">
        <v>574</v>
      </c>
      <c r="I2" s="206"/>
      <c r="J2" s="207" t="s">
        <v>575</v>
      </c>
      <c r="K2" s="208" t="s">
        <v>444</v>
      </c>
      <c r="L2" s="207" t="s">
        <v>575</v>
      </c>
      <c r="M2" s="208" t="s">
        <v>444</v>
      </c>
      <c r="N2" s="206"/>
      <c r="O2" s="206" t="s">
        <v>576</v>
      </c>
      <c r="P2" s="206" t="s">
        <v>576</v>
      </c>
      <c r="Q2" s="206" t="s">
        <v>576</v>
      </c>
      <c r="R2" s="206" t="s">
        <v>576</v>
      </c>
      <c r="S2" s="206"/>
      <c r="T2" s="206"/>
      <c r="U2" s="206"/>
      <c r="V2" s="206"/>
    </row>
    <row r="3" ht="14.25" customHeight="1">
      <c r="A3" s="209"/>
      <c r="B3" s="209"/>
      <c r="C3" s="123">
        <v>3.95</v>
      </c>
      <c r="D3" s="123" t="s">
        <v>235</v>
      </c>
      <c r="E3" s="123">
        <v>11.8</v>
      </c>
      <c r="F3" s="123" t="s">
        <v>235</v>
      </c>
      <c r="G3" s="123">
        <v>8.45</v>
      </c>
      <c r="H3" s="123">
        <v>3.15</v>
      </c>
      <c r="J3" s="210">
        <v>3.97</v>
      </c>
      <c r="K3" s="211">
        <v>4.02</v>
      </c>
      <c r="L3" s="212"/>
      <c r="M3" s="213"/>
      <c r="O3" s="123" t="s">
        <v>577</v>
      </c>
      <c r="P3" s="123" t="s">
        <v>578</v>
      </c>
      <c r="Q3" s="123">
        <v>220.0</v>
      </c>
      <c r="R3" s="123">
        <v>180.0</v>
      </c>
    </row>
    <row r="4" ht="14.25" customHeight="1"/>
    <row r="5" ht="14.25" customHeight="1">
      <c r="A5" s="214" t="s">
        <v>579</v>
      </c>
      <c r="B5" s="215" t="s">
        <v>580</v>
      </c>
      <c r="C5" s="215" t="s">
        <v>581</v>
      </c>
      <c r="D5" s="215" t="s">
        <v>582</v>
      </c>
      <c r="E5" s="215" t="s">
        <v>583</v>
      </c>
    </row>
    <row r="6" ht="14.25" customHeight="1">
      <c r="A6" s="216" t="s">
        <v>584</v>
      </c>
      <c r="B6" s="217">
        <v>5.19</v>
      </c>
      <c r="C6" s="217">
        <v>5.1</v>
      </c>
      <c r="D6" s="217">
        <v>5.33</v>
      </c>
      <c r="E6" s="217">
        <v>5.41</v>
      </c>
    </row>
    <row r="7" ht="14.25" customHeight="1">
      <c r="A7" s="216" t="s">
        <v>585</v>
      </c>
      <c r="B7" s="217" t="s">
        <v>586</v>
      </c>
      <c r="C7" s="217" t="s">
        <v>587</v>
      </c>
      <c r="D7" s="217" t="s">
        <v>586</v>
      </c>
      <c r="E7" s="217" t="s">
        <v>588</v>
      </c>
    </row>
    <row r="8" ht="14.25" customHeight="1">
      <c r="A8" s="218" t="s">
        <v>589</v>
      </c>
      <c r="B8" s="219" t="s">
        <v>590</v>
      </c>
      <c r="C8" s="219" t="s">
        <v>590</v>
      </c>
      <c r="D8" s="219" t="s">
        <v>590</v>
      </c>
      <c r="E8" s="219" t="s">
        <v>590</v>
      </c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</row>
    <row r="9" ht="14.25" customHeight="1"/>
    <row r="10" ht="14.25" customHeight="1">
      <c r="A10" s="200">
        <v>2024.0</v>
      </c>
      <c r="B10" s="201" t="s">
        <v>564</v>
      </c>
      <c r="C10" s="202" t="s">
        <v>565</v>
      </c>
      <c r="D10" s="202" t="s">
        <v>566</v>
      </c>
      <c r="E10" s="201" t="s">
        <v>567</v>
      </c>
      <c r="F10" s="202" t="s">
        <v>253</v>
      </c>
      <c r="G10" s="201" t="s">
        <v>568</v>
      </c>
      <c r="H10" s="202" t="s">
        <v>569</v>
      </c>
      <c r="I10" s="202"/>
      <c r="J10" s="203" t="s">
        <v>570</v>
      </c>
      <c r="K10" s="204"/>
      <c r="L10" s="203" t="s">
        <v>571</v>
      </c>
      <c r="M10" s="205"/>
      <c r="N10" s="202"/>
      <c r="O10" s="202" t="s">
        <v>223</v>
      </c>
      <c r="P10" s="202" t="s">
        <v>143</v>
      </c>
      <c r="Q10" s="201" t="s">
        <v>572</v>
      </c>
      <c r="R10" s="201" t="s">
        <v>74</v>
      </c>
      <c r="S10" s="202"/>
    </row>
    <row r="11" ht="14.25" customHeight="1">
      <c r="A11" s="206"/>
      <c r="B11" s="206"/>
      <c r="C11" s="206" t="s">
        <v>573</v>
      </c>
      <c r="D11" s="206" t="s">
        <v>573</v>
      </c>
      <c r="E11" s="206" t="s">
        <v>573</v>
      </c>
      <c r="F11" s="206" t="s">
        <v>573</v>
      </c>
      <c r="G11" s="206" t="s">
        <v>574</v>
      </c>
      <c r="H11" s="206" t="s">
        <v>574</v>
      </c>
      <c r="I11" s="206"/>
      <c r="J11" s="207" t="s">
        <v>575</v>
      </c>
      <c r="K11" s="208" t="s">
        <v>444</v>
      </c>
      <c r="L11" s="207" t="s">
        <v>575</v>
      </c>
      <c r="M11" s="208" t="s">
        <v>444</v>
      </c>
      <c r="N11" s="206"/>
      <c r="O11" s="206" t="s">
        <v>576</v>
      </c>
      <c r="P11" s="206" t="s">
        <v>576</v>
      </c>
      <c r="Q11" s="206" t="s">
        <v>576</v>
      </c>
      <c r="R11" s="206" t="s">
        <v>576</v>
      </c>
      <c r="S11" s="206"/>
    </row>
    <row r="12" ht="14.25" customHeight="1">
      <c r="A12" s="209"/>
      <c r="B12" s="209"/>
      <c r="C12" s="123" t="s">
        <v>235</v>
      </c>
      <c r="D12" s="123" t="s">
        <v>235</v>
      </c>
      <c r="E12" s="123" t="s">
        <v>235</v>
      </c>
      <c r="F12" s="123" t="s">
        <v>235</v>
      </c>
      <c r="G12" s="123" t="s">
        <v>235</v>
      </c>
      <c r="H12" s="123" t="s">
        <v>235</v>
      </c>
      <c r="J12" s="210" t="s">
        <v>235</v>
      </c>
      <c r="K12" s="211" t="s">
        <v>235</v>
      </c>
      <c r="L12" s="210" t="s">
        <v>235</v>
      </c>
      <c r="M12" s="211" t="s">
        <v>235</v>
      </c>
      <c r="O12" s="123" t="s">
        <v>235</v>
      </c>
      <c r="P12" s="123" t="s">
        <v>235</v>
      </c>
      <c r="Q12" s="123" t="s">
        <v>235</v>
      </c>
      <c r="R12" s="123" t="s">
        <v>235</v>
      </c>
    </row>
    <row r="14" ht="14.25" customHeight="1"/>
    <row r="15" ht="14.25" customHeight="1">
      <c r="A15" s="214" t="s">
        <v>579</v>
      </c>
      <c r="B15" s="215" t="s">
        <v>580</v>
      </c>
      <c r="C15" s="215" t="s">
        <v>581</v>
      </c>
      <c r="D15" s="215" t="s">
        <v>582</v>
      </c>
      <c r="E15" s="215" t="s">
        <v>583</v>
      </c>
    </row>
    <row r="16" ht="14.25" customHeight="1">
      <c r="A16" s="216" t="s">
        <v>584</v>
      </c>
      <c r="B16" s="217"/>
      <c r="C16" s="217"/>
      <c r="D16" s="217"/>
      <c r="E16" s="217"/>
    </row>
    <row r="17" ht="14.25" customHeight="1">
      <c r="A17" s="216" t="s">
        <v>585</v>
      </c>
      <c r="B17" s="217"/>
      <c r="C17" s="217"/>
      <c r="D17" s="217"/>
      <c r="E17" s="217"/>
    </row>
    <row r="18" ht="14.25" customHeight="1">
      <c r="A18" s="218" t="s">
        <v>589</v>
      </c>
      <c r="B18" s="219" t="s">
        <v>590</v>
      </c>
      <c r="C18" s="219" t="s">
        <v>590</v>
      </c>
      <c r="D18" s="219" t="s">
        <v>590</v>
      </c>
      <c r="E18" s="219" t="s">
        <v>590</v>
      </c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</row>
    <row r="19" ht="14.25" customHeight="1"/>
    <row r="20" ht="14.25" customHeight="1">
      <c r="A20" s="200">
        <v>2025.0</v>
      </c>
      <c r="B20" s="201" t="s">
        <v>564</v>
      </c>
      <c r="C20" s="202" t="s">
        <v>565</v>
      </c>
      <c r="D20" s="202" t="s">
        <v>566</v>
      </c>
      <c r="E20" s="201" t="s">
        <v>567</v>
      </c>
      <c r="F20" s="202" t="s">
        <v>253</v>
      </c>
      <c r="G20" s="201" t="s">
        <v>568</v>
      </c>
      <c r="H20" s="202" t="s">
        <v>569</v>
      </c>
      <c r="I20" s="202"/>
      <c r="J20" s="203" t="s">
        <v>570</v>
      </c>
      <c r="K20" s="204"/>
      <c r="L20" s="203" t="s">
        <v>571</v>
      </c>
      <c r="M20" s="205"/>
      <c r="N20" s="202"/>
      <c r="O20" s="202" t="s">
        <v>223</v>
      </c>
      <c r="P20" s="202" t="s">
        <v>143</v>
      </c>
      <c r="Q20" s="201" t="s">
        <v>572</v>
      </c>
      <c r="R20" s="201" t="s">
        <v>74</v>
      </c>
      <c r="S20" s="202"/>
    </row>
    <row r="21" ht="14.25" customHeight="1">
      <c r="A21" s="206"/>
      <c r="B21" s="206"/>
      <c r="C21" s="206" t="s">
        <v>573</v>
      </c>
      <c r="D21" s="206" t="s">
        <v>573</v>
      </c>
      <c r="E21" s="206" t="s">
        <v>573</v>
      </c>
      <c r="F21" s="206" t="s">
        <v>573</v>
      </c>
      <c r="G21" s="206" t="s">
        <v>574</v>
      </c>
      <c r="H21" s="206" t="s">
        <v>574</v>
      </c>
      <c r="I21" s="206"/>
      <c r="J21" s="207" t="s">
        <v>575</v>
      </c>
      <c r="K21" s="208" t="s">
        <v>444</v>
      </c>
      <c r="L21" s="207" t="s">
        <v>575</v>
      </c>
      <c r="M21" s="208" t="s">
        <v>444</v>
      </c>
      <c r="N21" s="206"/>
      <c r="O21" s="206" t="s">
        <v>576</v>
      </c>
      <c r="P21" s="206" t="s">
        <v>576</v>
      </c>
      <c r="Q21" s="206" t="s">
        <v>576</v>
      </c>
      <c r="R21" s="206" t="s">
        <v>576</v>
      </c>
      <c r="S21" s="206"/>
    </row>
    <row r="22" ht="14.25" customHeight="1">
      <c r="A22" s="209"/>
      <c r="B22" s="209"/>
      <c r="C22" s="123" t="s">
        <v>235</v>
      </c>
      <c r="D22" s="123" t="s">
        <v>235</v>
      </c>
      <c r="E22" s="123" t="s">
        <v>235</v>
      </c>
      <c r="F22" s="123" t="s">
        <v>235</v>
      </c>
      <c r="G22" s="123" t="s">
        <v>235</v>
      </c>
      <c r="H22" s="123" t="s">
        <v>235</v>
      </c>
      <c r="J22" s="210" t="s">
        <v>235</v>
      </c>
      <c r="K22" s="211" t="s">
        <v>235</v>
      </c>
      <c r="L22" s="210" t="s">
        <v>235</v>
      </c>
      <c r="M22" s="211" t="s">
        <v>235</v>
      </c>
      <c r="O22" s="123" t="s">
        <v>235</v>
      </c>
      <c r="P22" s="123" t="s">
        <v>235</v>
      </c>
      <c r="Q22" s="123" t="s">
        <v>235</v>
      </c>
      <c r="R22" s="123" t="s">
        <v>235</v>
      </c>
    </row>
    <row r="23" ht="14.25" customHeight="1"/>
    <row r="24" ht="14.25" customHeight="1"/>
    <row r="25" ht="14.25" customHeight="1">
      <c r="A25" s="214" t="s">
        <v>579</v>
      </c>
      <c r="B25" s="215" t="s">
        <v>580</v>
      </c>
      <c r="C25" s="215" t="s">
        <v>581</v>
      </c>
      <c r="D25" s="215" t="s">
        <v>582</v>
      </c>
      <c r="E25" s="215" t="s">
        <v>583</v>
      </c>
    </row>
    <row r="26" ht="14.25" customHeight="1">
      <c r="A26" s="216" t="s">
        <v>584</v>
      </c>
      <c r="B26" s="217"/>
      <c r="C26" s="217"/>
      <c r="D26" s="217"/>
      <c r="E26" s="217"/>
    </row>
    <row r="27" ht="14.25" customHeight="1">
      <c r="A27" s="216" t="s">
        <v>585</v>
      </c>
      <c r="B27" s="217"/>
      <c r="C27" s="217"/>
      <c r="D27" s="217"/>
      <c r="E27" s="217"/>
    </row>
    <row r="28" ht="14.25" customHeight="1">
      <c r="A28" s="218" t="s">
        <v>589</v>
      </c>
      <c r="B28" s="219" t="s">
        <v>590</v>
      </c>
      <c r="C28" s="219" t="s">
        <v>590</v>
      </c>
      <c r="D28" s="219" t="s">
        <v>590</v>
      </c>
      <c r="E28" s="219" t="s">
        <v>590</v>
      </c>
      <c r="F28" s="220"/>
      <c r="G28" s="220"/>
      <c r="H28" s="220"/>
      <c r="I28" s="220"/>
      <c r="J28" s="220"/>
      <c r="K28" s="220"/>
      <c r="L28" s="220"/>
      <c r="M28" s="220"/>
      <c r="N28" s="220"/>
      <c r="O28" s="220"/>
      <c r="P28" s="220"/>
      <c r="Q28" s="220"/>
      <c r="R28" s="220"/>
      <c r="S28" s="220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6" width="8.71"/>
  </cols>
  <sheetData>
    <row r="1" ht="14.25" customHeight="1">
      <c r="A1" s="199" t="s">
        <v>591</v>
      </c>
    </row>
    <row r="2" ht="14.25" customHeight="1"/>
    <row r="3" ht="14.25" customHeight="1">
      <c r="A3" s="198" t="s">
        <v>592</v>
      </c>
      <c r="B3" s="198"/>
      <c r="C3" s="198"/>
      <c r="E3" s="198" t="s">
        <v>593</v>
      </c>
    </row>
    <row r="4" ht="14.25" customHeight="1">
      <c r="A4" s="135" t="s">
        <v>594</v>
      </c>
      <c r="E4" s="199" t="s">
        <v>595</v>
      </c>
    </row>
    <row r="5" ht="14.25" customHeight="1">
      <c r="A5" s="199" t="s">
        <v>596</v>
      </c>
      <c r="E5" s="199" t="s">
        <v>597</v>
      </c>
    </row>
    <row r="6" ht="14.25" customHeight="1">
      <c r="A6" s="199" t="s">
        <v>598</v>
      </c>
      <c r="E6" s="199" t="s">
        <v>599</v>
      </c>
    </row>
    <row r="7" ht="14.25" customHeight="1">
      <c r="E7" s="199" t="s">
        <v>600</v>
      </c>
    </row>
    <row r="8" ht="14.25" customHeight="1">
      <c r="E8" s="199" t="s">
        <v>601</v>
      </c>
    </row>
    <row r="9" ht="14.25" customHeight="1"/>
    <row r="10" ht="14.25" customHeight="1"/>
    <row r="11" ht="14.25" customHeight="1">
      <c r="A11" s="199" t="s">
        <v>602</v>
      </c>
    </row>
    <row r="12" ht="14.25" customHeight="1"/>
    <row r="13" ht="14.25" customHeight="1">
      <c r="A13" s="198" t="s">
        <v>592</v>
      </c>
      <c r="B13" s="198"/>
      <c r="C13" s="198"/>
      <c r="E13" s="198" t="s">
        <v>593</v>
      </c>
    </row>
    <row r="14" ht="14.25" customHeight="1">
      <c r="A14" s="134" t="s">
        <v>603</v>
      </c>
    </row>
    <row r="15" ht="14.25" customHeight="1">
      <c r="A15" s="123" t="s">
        <v>604</v>
      </c>
    </row>
    <row r="16" ht="14.25" customHeight="1">
      <c r="A16" s="123" t="s">
        <v>605</v>
      </c>
    </row>
    <row r="17" ht="14.25" customHeight="1">
      <c r="A17" s="123" t="s">
        <v>606</v>
      </c>
    </row>
    <row r="18" ht="14.25" customHeight="1">
      <c r="A18" s="123" t="s">
        <v>607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8.71"/>
    <col customWidth="1" min="14" max="14" width="8.86"/>
    <col customWidth="1" min="15" max="17" width="8.71"/>
    <col customWidth="1" min="18" max="18" width="8.86"/>
    <col customWidth="1" min="19" max="34" width="8.71"/>
  </cols>
  <sheetData>
    <row r="1" ht="33.75" customHeight="1">
      <c r="A1" s="221" t="s">
        <v>608</v>
      </c>
      <c r="Q1" s="221" t="s">
        <v>609</v>
      </c>
    </row>
    <row r="2" ht="14.25" customHeight="1"/>
    <row r="3" ht="14.25" customHeight="1">
      <c r="O3" s="199" t="s">
        <v>610</v>
      </c>
      <c r="AE3" s="199" t="s">
        <v>611</v>
      </c>
      <c r="AG3" s="199">
        <v>2.6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>
      <c r="O23" s="199" t="s">
        <v>612</v>
      </c>
    </row>
    <row r="24" ht="14.25" customHeight="1"/>
    <row r="25" ht="14.25" customHeight="1"/>
    <row r="26" ht="14.25" customHeight="1"/>
    <row r="27" ht="14.25" customHeight="1">
      <c r="R27" s="199">
        <v>1.0</v>
      </c>
      <c r="T27" s="199" t="s">
        <v>613</v>
      </c>
    </row>
    <row r="28" ht="14.25" customHeight="1">
      <c r="R28" s="199">
        <f t="shared" ref="R28:R42" si="1">R27+3</f>
        <v>4</v>
      </c>
      <c r="T28" s="199" t="s">
        <v>614</v>
      </c>
    </row>
    <row r="29" ht="14.25" customHeight="1">
      <c r="R29" s="199">
        <f t="shared" si="1"/>
        <v>7</v>
      </c>
      <c r="T29" s="199" t="s">
        <v>615</v>
      </c>
    </row>
    <row r="30" ht="14.25" customHeight="1">
      <c r="R30" s="199">
        <f t="shared" si="1"/>
        <v>10</v>
      </c>
      <c r="T30" s="199" t="s">
        <v>616</v>
      </c>
    </row>
    <row r="31" ht="14.25" customHeight="1">
      <c r="R31" s="199">
        <f t="shared" si="1"/>
        <v>13</v>
      </c>
    </row>
    <row r="32" ht="14.25" customHeight="1">
      <c r="R32" s="199">
        <f t="shared" si="1"/>
        <v>16</v>
      </c>
    </row>
    <row r="33" ht="14.25" customHeight="1">
      <c r="R33" s="199">
        <f t="shared" si="1"/>
        <v>19</v>
      </c>
    </row>
    <row r="34" ht="14.25" customHeight="1">
      <c r="R34" s="199">
        <f t="shared" si="1"/>
        <v>22</v>
      </c>
    </row>
    <row r="35" ht="14.25" customHeight="1">
      <c r="R35" s="199">
        <f t="shared" si="1"/>
        <v>25</v>
      </c>
    </row>
    <row r="36" ht="14.25" customHeight="1">
      <c r="R36" s="199">
        <f t="shared" si="1"/>
        <v>28</v>
      </c>
    </row>
    <row r="37" ht="14.25" customHeight="1">
      <c r="R37" s="199">
        <f t="shared" si="1"/>
        <v>31</v>
      </c>
    </row>
    <row r="38" ht="14.25" customHeight="1">
      <c r="R38" s="199">
        <f t="shared" si="1"/>
        <v>34</v>
      </c>
    </row>
    <row r="39" ht="14.25" customHeight="1">
      <c r="R39" s="199">
        <f t="shared" si="1"/>
        <v>37</v>
      </c>
    </row>
    <row r="40" ht="14.25" customHeight="1">
      <c r="R40" s="199">
        <f t="shared" si="1"/>
        <v>40</v>
      </c>
    </row>
    <row r="41" ht="14.25" customHeight="1">
      <c r="R41" s="199">
        <f t="shared" si="1"/>
        <v>43</v>
      </c>
    </row>
    <row r="42" ht="14.25" customHeight="1">
      <c r="R42" s="199">
        <f t="shared" si="1"/>
        <v>46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>
      <c r="O89" s="199" t="s">
        <v>617</v>
      </c>
      <c r="AE89" s="199" t="s">
        <v>618</v>
      </c>
      <c r="AG89" s="199">
        <v>0.93</v>
      </c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>
      <c r="R110" s="199" t="s">
        <v>613</v>
      </c>
    </row>
    <row r="111" ht="14.25" customHeight="1">
      <c r="R111" s="199" t="s">
        <v>614</v>
      </c>
    </row>
    <row r="112" ht="14.25" customHeight="1">
      <c r="R112" s="199" t="s">
        <v>619</v>
      </c>
    </row>
    <row r="113" ht="14.25" customHeight="1">
      <c r="R113" s="199" t="s">
        <v>616</v>
      </c>
    </row>
    <row r="114" ht="14.25" customHeight="1"/>
    <row r="115" ht="14.25" customHeight="1">
      <c r="R115" s="199">
        <v>1.0</v>
      </c>
    </row>
    <row r="116" ht="14.25" customHeight="1">
      <c r="R116" s="199">
        <v>3.0</v>
      </c>
    </row>
    <row r="117" ht="14.25" customHeight="1">
      <c r="R117" s="199">
        <v>5.0</v>
      </c>
    </row>
    <row r="118" ht="14.25" customHeight="1">
      <c r="R118" s="199">
        <v>7.0</v>
      </c>
    </row>
    <row r="119" ht="14.25" customHeight="1">
      <c r="R119" s="199">
        <v>10.0</v>
      </c>
    </row>
    <row r="120" ht="14.25" customHeight="1">
      <c r="R120" s="199">
        <v>13.0</v>
      </c>
    </row>
    <row r="121" ht="14.25" customHeight="1">
      <c r="R121" s="199">
        <f>R120+3*8</f>
        <v>37</v>
      </c>
    </row>
    <row r="122" ht="14.25" customHeight="1">
      <c r="R122" s="199">
        <v>38.0</v>
      </c>
    </row>
    <row r="123" ht="14.25" customHeight="1">
      <c r="R123" s="199">
        <v>40.0</v>
      </c>
    </row>
    <row r="124" ht="14.25" customHeight="1">
      <c r="R124" s="199">
        <v>42.0</v>
      </c>
    </row>
    <row r="125" ht="14.25" customHeight="1">
      <c r="R125" s="199">
        <v>48.0</v>
      </c>
    </row>
    <row r="126" ht="14.25" customHeight="1">
      <c r="R126" s="199">
        <v>50.0</v>
      </c>
    </row>
    <row r="127" ht="14.25" customHeight="1">
      <c r="R127" s="199">
        <v>52.0</v>
      </c>
    </row>
    <row r="128" ht="14.25" customHeight="1">
      <c r="R128" s="199">
        <v>54.0</v>
      </c>
    </row>
    <row r="129" ht="14.25" customHeight="1">
      <c r="R129" s="199">
        <v>56.0</v>
      </c>
    </row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>
      <c r="Q152" s="199" t="s">
        <v>620</v>
      </c>
    </row>
    <row r="153" ht="14.25" customHeight="1"/>
    <row r="154" ht="14.25" customHeight="1"/>
    <row r="155" ht="14.25" customHeight="1">
      <c r="O155" s="199" t="s">
        <v>621</v>
      </c>
      <c r="AE155" s="199" t="s">
        <v>622</v>
      </c>
      <c r="AG155" s="199">
        <v>2.6</v>
      </c>
    </row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36.0" customHeight="1">
      <c r="A1" s="222" t="s">
        <v>623</v>
      </c>
      <c r="B1" s="223"/>
      <c r="C1" s="223"/>
      <c r="D1" s="223"/>
      <c r="E1" s="223"/>
      <c r="F1" s="223"/>
      <c r="G1" s="223"/>
      <c r="H1" s="223"/>
      <c r="I1" s="223"/>
      <c r="J1" s="223"/>
      <c r="K1" s="224"/>
      <c r="M1" s="221" t="s">
        <v>623</v>
      </c>
    </row>
    <row r="2" ht="14.25" customHeight="1">
      <c r="A2" s="73"/>
      <c r="B2" s="135"/>
      <c r="C2" s="135"/>
      <c r="D2" s="135"/>
      <c r="E2" s="135"/>
      <c r="F2" s="135"/>
      <c r="G2" s="135"/>
      <c r="H2" s="135"/>
      <c r="I2" s="135"/>
      <c r="J2" s="135"/>
      <c r="K2" s="225"/>
    </row>
    <row r="3" ht="14.25" customHeight="1">
      <c r="A3" s="226" t="s">
        <v>591</v>
      </c>
      <c r="B3" s="135"/>
      <c r="C3" s="135" t="s">
        <v>624</v>
      </c>
      <c r="D3" s="135"/>
      <c r="E3" s="135"/>
      <c r="F3" s="135"/>
      <c r="G3" s="135"/>
      <c r="H3" s="135"/>
      <c r="I3" s="135"/>
      <c r="J3" s="135"/>
      <c r="K3" s="225"/>
      <c r="M3" s="221" t="s">
        <v>602</v>
      </c>
      <c r="O3" s="199" t="s">
        <v>624</v>
      </c>
    </row>
    <row r="4" ht="14.25" customHeight="1">
      <c r="A4" s="73"/>
      <c r="B4" s="135"/>
      <c r="C4" s="135"/>
      <c r="D4" s="135"/>
      <c r="E4" s="135"/>
      <c r="F4" s="135"/>
      <c r="G4" s="135"/>
      <c r="H4" s="135"/>
      <c r="I4" s="135"/>
      <c r="J4" s="135"/>
      <c r="K4" s="225"/>
    </row>
    <row r="5" ht="14.25" customHeight="1">
      <c r="A5" s="73"/>
      <c r="B5" s="135" t="s">
        <v>625</v>
      </c>
      <c r="C5" s="135" t="s">
        <v>626</v>
      </c>
      <c r="D5" s="135"/>
      <c r="E5" s="135" t="s">
        <v>625</v>
      </c>
      <c r="F5" s="135" t="s">
        <v>627</v>
      </c>
      <c r="G5" s="135"/>
      <c r="H5" s="135" t="s">
        <v>625</v>
      </c>
      <c r="I5" s="135" t="s">
        <v>628</v>
      </c>
      <c r="J5" s="135"/>
      <c r="K5" s="225"/>
      <c r="N5" s="199" t="s">
        <v>625</v>
      </c>
      <c r="O5" s="199" t="s">
        <v>626</v>
      </c>
      <c r="Q5" s="199" t="s">
        <v>625</v>
      </c>
      <c r="R5" s="199" t="s">
        <v>627</v>
      </c>
      <c r="T5" s="199" t="s">
        <v>625</v>
      </c>
      <c r="U5" s="199" t="s">
        <v>628</v>
      </c>
    </row>
    <row r="6" ht="14.25" customHeight="1">
      <c r="A6" s="73" t="s">
        <v>629</v>
      </c>
      <c r="B6" s="135">
        <v>3.0</v>
      </c>
      <c r="C6" s="135">
        <v>100.0</v>
      </c>
      <c r="D6" s="135"/>
      <c r="E6" s="135">
        <v>2.0</v>
      </c>
      <c r="F6" s="135">
        <v>60.0</v>
      </c>
      <c r="G6" s="135"/>
      <c r="H6" s="135">
        <v>2.0</v>
      </c>
      <c r="I6" s="135">
        <v>80.0</v>
      </c>
      <c r="J6" s="135"/>
      <c r="K6" s="225"/>
      <c r="M6" s="199" t="s">
        <v>629</v>
      </c>
      <c r="N6" s="199">
        <v>2.5</v>
      </c>
      <c r="O6" s="199">
        <v>100.0</v>
      </c>
      <c r="Q6" s="199">
        <v>1.0</v>
      </c>
      <c r="R6" s="199">
        <v>60.0</v>
      </c>
      <c r="T6" s="199">
        <v>2.0</v>
      </c>
      <c r="U6" s="199">
        <v>80.0</v>
      </c>
    </row>
    <row r="7" ht="14.25" customHeight="1">
      <c r="A7" s="73">
        <v>1.0</v>
      </c>
      <c r="B7" s="135"/>
      <c r="C7" s="135">
        <f t="shared" ref="C7:C52" si="1">$B$6*A7+$C$6</f>
        <v>103</v>
      </c>
      <c r="D7" s="135"/>
      <c r="E7" s="135"/>
      <c r="F7" s="135">
        <f t="shared" ref="F7:F36" si="2">$E$6*A7+$F$6</f>
        <v>62</v>
      </c>
      <c r="G7" s="135"/>
      <c r="H7" s="135"/>
      <c r="I7" s="135">
        <f t="shared" ref="I7:I36" si="3">$H$6*A7+$I$6</f>
        <v>82</v>
      </c>
      <c r="J7" s="135"/>
      <c r="K7" s="225"/>
      <c r="M7" s="199">
        <v>1.0</v>
      </c>
      <c r="O7" s="199">
        <f t="shared" ref="O7:O52" si="4">$N$6*M7+$O$6</f>
        <v>102.5</v>
      </c>
      <c r="R7" s="199">
        <f t="shared" ref="R7:R52" si="5">$Q$6*M7+$R$6</f>
        <v>61</v>
      </c>
      <c r="U7" s="199">
        <f t="shared" ref="U7:U36" si="6">$H$6*M7+$I$6</f>
        <v>82</v>
      </c>
    </row>
    <row r="8" ht="14.25" customHeight="1">
      <c r="A8" s="73">
        <f t="shared" ref="A8:A52" si="7">A7+1</f>
        <v>2</v>
      </c>
      <c r="B8" s="135"/>
      <c r="C8" s="135">
        <f t="shared" si="1"/>
        <v>106</v>
      </c>
      <c r="D8" s="135"/>
      <c r="E8" s="135"/>
      <c r="F8" s="135">
        <f t="shared" si="2"/>
        <v>64</v>
      </c>
      <c r="G8" s="135"/>
      <c r="H8" s="135"/>
      <c r="I8" s="135">
        <f t="shared" si="3"/>
        <v>84</v>
      </c>
      <c r="J8" s="135"/>
      <c r="K8" s="225"/>
      <c r="M8" s="199">
        <f t="shared" ref="M8:M52" si="8">M7+1</f>
        <v>2</v>
      </c>
      <c r="O8" s="199">
        <f t="shared" si="4"/>
        <v>105</v>
      </c>
      <c r="R8" s="199">
        <f t="shared" si="5"/>
        <v>62</v>
      </c>
      <c r="U8" s="199">
        <f t="shared" si="6"/>
        <v>84</v>
      </c>
    </row>
    <row r="9" ht="14.25" customHeight="1">
      <c r="A9" s="73">
        <f t="shared" si="7"/>
        <v>3</v>
      </c>
      <c r="B9" s="135"/>
      <c r="C9" s="135">
        <f t="shared" si="1"/>
        <v>109</v>
      </c>
      <c r="D9" s="135"/>
      <c r="E9" s="135"/>
      <c r="F9" s="135">
        <f t="shared" si="2"/>
        <v>66</v>
      </c>
      <c r="G9" s="135"/>
      <c r="H9" s="135"/>
      <c r="I9" s="135">
        <f t="shared" si="3"/>
        <v>86</v>
      </c>
      <c r="J9" s="135"/>
      <c r="K9" s="225"/>
      <c r="M9" s="199">
        <f t="shared" si="8"/>
        <v>3</v>
      </c>
      <c r="O9" s="199">
        <f t="shared" si="4"/>
        <v>107.5</v>
      </c>
      <c r="R9" s="199">
        <f t="shared" si="5"/>
        <v>63</v>
      </c>
      <c r="U9" s="199">
        <f t="shared" si="6"/>
        <v>86</v>
      </c>
    </row>
    <row r="10" ht="14.25" customHeight="1">
      <c r="A10" s="73">
        <f t="shared" si="7"/>
        <v>4</v>
      </c>
      <c r="B10" s="135"/>
      <c r="C10" s="135">
        <f t="shared" si="1"/>
        <v>112</v>
      </c>
      <c r="D10" s="135"/>
      <c r="E10" s="135"/>
      <c r="F10" s="135">
        <f t="shared" si="2"/>
        <v>68</v>
      </c>
      <c r="G10" s="135"/>
      <c r="H10" s="135"/>
      <c r="I10" s="135">
        <f t="shared" si="3"/>
        <v>88</v>
      </c>
      <c r="J10" s="135"/>
      <c r="K10" s="225"/>
      <c r="M10" s="199">
        <f t="shared" si="8"/>
        <v>4</v>
      </c>
      <c r="O10" s="199">
        <f t="shared" si="4"/>
        <v>110</v>
      </c>
      <c r="R10" s="199">
        <f t="shared" si="5"/>
        <v>64</v>
      </c>
      <c r="U10" s="199">
        <f t="shared" si="6"/>
        <v>88</v>
      </c>
    </row>
    <row r="11" ht="14.25" customHeight="1">
      <c r="A11" s="73">
        <f t="shared" si="7"/>
        <v>5</v>
      </c>
      <c r="B11" s="135"/>
      <c r="C11" s="135">
        <f t="shared" si="1"/>
        <v>115</v>
      </c>
      <c r="D11" s="135"/>
      <c r="E11" s="135"/>
      <c r="F11" s="135">
        <f t="shared" si="2"/>
        <v>70</v>
      </c>
      <c r="G11" s="135"/>
      <c r="H11" s="135"/>
      <c r="I11" s="135">
        <f t="shared" si="3"/>
        <v>90</v>
      </c>
      <c r="J11" s="135"/>
      <c r="K11" s="225"/>
      <c r="M11" s="199">
        <f t="shared" si="8"/>
        <v>5</v>
      </c>
      <c r="O11" s="199">
        <f t="shared" si="4"/>
        <v>112.5</v>
      </c>
      <c r="R11" s="199">
        <f t="shared" si="5"/>
        <v>65</v>
      </c>
      <c r="U11" s="199">
        <f t="shared" si="6"/>
        <v>90</v>
      </c>
    </row>
    <row r="12" ht="14.25" customHeight="1">
      <c r="A12" s="73">
        <f t="shared" si="7"/>
        <v>6</v>
      </c>
      <c r="B12" s="135"/>
      <c r="C12" s="135">
        <f t="shared" si="1"/>
        <v>118</v>
      </c>
      <c r="D12" s="135"/>
      <c r="E12" s="135"/>
      <c r="F12" s="135">
        <f t="shared" si="2"/>
        <v>72</v>
      </c>
      <c r="G12" s="135"/>
      <c r="H12" s="135"/>
      <c r="I12" s="135">
        <f t="shared" si="3"/>
        <v>92</v>
      </c>
      <c r="J12" s="135"/>
      <c r="K12" s="225"/>
      <c r="M12" s="199">
        <f t="shared" si="8"/>
        <v>6</v>
      </c>
      <c r="O12" s="199">
        <f t="shared" si="4"/>
        <v>115</v>
      </c>
      <c r="R12" s="199">
        <f t="shared" si="5"/>
        <v>66</v>
      </c>
      <c r="U12" s="199">
        <f t="shared" si="6"/>
        <v>92</v>
      </c>
    </row>
    <row r="13" ht="14.25" customHeight="1">
      <c r="A13" s="73">
        <f t="shared" si="7"/>
        <v>7</v>
      </c>
      <c r="B13" s="135"/>
      <c r="C13" s="135">
        <f t="shared" si="1"/>
        <v>121</v>
      </c>
      <c r="D13" s="135"/>
      <c r="E13" s="135"/>
      <c r="F13" s="135">
        <f t="shared" si="2"/>
        <v>74</v>
      </c>
      <c r="G13" s="135"/>
      <c r="H13" s="135"/>
      <c r="I13" s="135">
        <f t="shared" si="3"/>
        <v>94</v>
      </c>
      <c r="J13" s="135"/>
      <c r="K13" s="225"/>
      <c r="M13" s="199">
        <f t="shared" si="8"/>
        <v>7</v>
      </c>
      <c r="O13" s="199">
        <f t="shared" si="4"/>
        <v>117.5</v>
      </c>
      <c r="R13" s="199">
        <f t="shared" si="5"/>
        <v>67</v>
      </c>
      <c r="U13" s="199">
        <f t="shared" si="6"/>
        <v>94</v>
      </c>
    </row>
    <row r="14" ht="14.25" customHeight="1">
      <c r="A14" s="73">
        <f t="shared" si="7"/>
        <v>8</v>
      </c>
      <c r="B14" s="135"/>
      <c r="C14" s="135">
        <f t="shared" si="1"/>
        <v>124</v>
      </c>
      <c r="D14" s="135"/>
      <c r="E14" s="135"/>
      <c r="F14" s="135">
        <f t="shared" si="2"/>
        <v>76</v>
      </c>
      <c r="G14" s="135"/>
      <c r="H14" s="135"/>
      <c r="I14" s="135">
        <f t="shared" si="3"/>
        <v>96</v>
      </c>
      <c r="J14" s="135"/>
      <c r="K14" s="225"/>
      <c r="M14" s="199">
        <f t="shared" si="8"/>
        <v>8</v>
      </c>
      <c r="O14" s="199">
        <f t="shared" si="4"/>
        <v>120</v>
      </c>
      <c r="R14" s="199">
        <f t="shared" si="5"/>
        <v>68</v>
      </c>
      <c r="U14" s="199">
        <f t="shared" si="6"/>
        <v>96</v>
      </c>
    </row>
    <row r="15" ht="14.25" customHeight="1">
      <c r="A15" s="73">
        <f t="shared" si="7"/>
        <v>9</v>
      </c>
      <c r="B15" s="135"/>
      <c r="C15" s="135">
        <f t="shared" si="1"/>
        <v>127</v>
      </c>
      <c r="D15" s="135"/>
      <c r="E15" s="135"/>
      <c r="F15" s="135">
        <f t="shared" si="2"/>
        <v>78</v>
      </c>
      <c r="G15" s="135"/>
      <c r="H15" s="135"/>
      <c r="I15" s="135">
        <f t="shared" si="3"/>
        <v>98</v>
      </c>
      <c r="J15" s="135"/>
      <c r="K15" s="225"/>
      <c r="M15" s="199">
        <f t="shared" si="8"/>
        <v>9</v>
      </c>
      <c r="O15" s="199">
        <f t="shared" si="4"/>
        <v>122.5</v>
      </c>
      <c r="R15" s="199">
        <f t="shared" si="5"/>
        <v>69</v>
      </c>
      <c r="U15" s="199">
        <f t="shared" si="6"/>
        <v>98</v>
      </c>
    </row>
    <row r="16" ht="14.25" customHeight="1">
      <c r="A16" s="73">
        <f t="shared" si="7"/>
        <v>10</v>
      </c>
      <c r="B16" s="135"/>
      <c r="C16" s="135">
        <f t="shared" si="1"/>
        <v>130</v>
      </c>
      <c r="D16" s="135"/>
      <c r="E16" s="135"/>
      <c r="F16" s="135">
        <f t="shared" si="2"/>
        <v>80</v>
      </c>
      <c r="G16" s="135"/>
      <c r="H16" s="135"/>
      <c r="I16" s="135">
        <f t="shared" si="3"/>
        <v>100</v>
      </c>
      <c r="J16" s="135"/>
      <c r="K16" s="225"/>
      <c r="M16" s="199">
        <f t="shared" si="8"/>
        <v>10</v>
      </c>
      <c r="O16" s="199">
        <f t="shared" si="4"/>
        <v>125</v>
      </c>
      <c r="R16" s="199">
        <f t="shared" si="5"/>
        <v>70</v>
      </c>
      <c r="U16" s="199">
        <f t="shared" si="6"/>
        <v>100</v>
      </c>
    </row>
    <row r="17" ht="14.25" customHeight="1">
      <c r="A17" s="73">
        <f t="shared" si="7"/>
        <v>11</v>
      </c>
      <c r="B17" s="135"/>
      <c r="C17" s="135">
        <f t="shared" si="1"/>
        <v>133</v>
      </c>
      <c r="D17" s="135"/>
      <c r="E17" s="135"/>
      <c r="F17" s="135">
        <f t="shared" si="2"/>
        <v>82</v>
      </c>
      <c r="G17" s="135"/>
      <c r="H17" s="135"/>
      <c r="I17" s="135">
        <f t="shared" si="3"/>
        <v>102</v>
      </c>
      <c r="J17" s="135"/>
      <c r="K17" s="225"/>
      <c r="M17" s="199">
        <f t="shared" si="8"/>
        <v>11</v>
      </c>
      <c r="O17" s="199">
        <f t="shared" si="4"/>
        <v>127.5</v>
      </c>
      <c r="R17" s="199">
        <f t="shared" si="5"/>
        <v>71</v>
      </c>
      <c r="U17" s="199">
        <f t="shared" si="6"/>
        <v>102</v>
      </c>
    </row>
    <row r="18" ht="14.25" customHeight="1">
      <c r="A18" s="73">
        <f t="shared" si="7"/>
        <v>12</v>
      </c>
      <c r="B18" s="135"/>
      <c r="C18" s="135">
        <f t="shared" si="1"/>
        <v>136</v>
      </c>
      <c r="D18" s="135"/>
      <c r="E18" s="135"/>
      <c r="F18" s="135">
        <f t="shared" si="2"/>
        <v>84</v>
      </c>
      <c r="G18" s="135"/>
      <c r="H18" s="135"/>
      <c r="I18" s="135">
        <f t="shared" si="3"/>
        <v>104</v>
      </c>
      <c r="J18" s="135"/>
      <c r="K18" s="225"/>
      <c r="M18" s="199">
        <f t="shared" si="8"/>
        <v>12</v>
      </c>
      <c r="O18" s="199">
        <f t="shared" si="4"/>
        <v>130</v>
      </c>
      <c r="R18" s="199">
        <f t="shared" si="5"/>
        <v>72</v>
      </c>
      <c r="U18" s="199">
        <f t="shared" si="6"/>
        <v>104</v>
      </c>
    </row>
    <row r="19" ht="14.25" customHeight="1">
      <c r="A19" s="73">
        <f t="shared" si="7"/>
        <v>13</v>
      </c>
      <c r="B19" s="135"/>
      <c r="C19" s="135">
        <f t="shared" si="1"/>
        <v>139</v>
      </c>
      <c r="D19" s="135"/>
      <c r="E19" s="135"/>
      <c r="F19" s="135">
        <f t="shared" si="2"/>
        <v>86</v>
      </c>
      <c r="G19" s="135"/>
      <c r="H19" s="135"/>
      <c r="I19" s="135">
        <f t="shared" si="3"/>
        <v>106</v>
      </c>
      <c r="J19" s="135"/>
      <c r="K19" s="225"/>
      <c r="M19" s="199">
        <f t="shared" si="8"/>
        <v>13</v>
      </c>
      <c r="O19" s="199">
        <f t="shared" si="4"/>
        <v>132.5</v>
      </c>
      <c r="R19" s="199">
        <f t="shared" si="5"/>
        <v>73</v>
      </c>
      <c r="U19" s="199">
        <f t="shared" si="6"/>
        <v>106</v>
      </c>
    </row>
    <row r="20" ht="14.25" customHeight="1">
      <c r="A20" s="73">
        <f t="shared" si="7"/>
        <v>14</v>
      </c>
      <c r="B20" s="135"/>
      <c r="C20" s="135">
        <f t="shared" si="1"/>
        <v>142</v>
      </c>
      <c r="D20" s="135"/>
      <c r="E20" s="135"/>
      <c r="F20" s="135">
        <f t="shared" si="2"/>
        <v>88</v>
      </c>
      <c r="G20" s="135"/>
      <c r="H20" s="135"/>
      <c r="I20" s="135">
        <f t="shared" si="3"/>
        <v>108</v>
      </c>
      <c r="J20" s="135"/>
      <c r="K20" s="225"/>
      <c r="M20" s="199">
        <f t="shared" si="8"/>
        <v>14</v>
      </c>
      <c r="O20" s="199">
        <f t="shared" si="4"/>
        <v>135</v>
      </c>
      <c r="R20" s="199">
        <f t="shared" si="5"/>
        <v>74</v>
      </c>
      <c r="U20" s="199">
        <f t="shared" si="6"/>
        <v>108</v>
      </c>
    </row>
    <row r="21" ht="14.25" customHeight="1">
      <c r="A21" s="73">
        <f t="shared" si="7"/>
        <v>15</v>
      </c>
      <c r="B21" s="135"/>
      <c r="C21" s="135">
        <f t="shared" si="1"/>
        <v>145</v>
      </c>
      <c r="D21" s="135"/>
      <c r="E21" s="135"/>
      <c r="F21" s="135">
        <f t="shared" si="2"/>
        <v>90</v>
      </c>
      <c r="G21" s="135"/>
      <c r="H21" s="135"/>
      <c r="I21" s="135">
        <f t="shared" si="3"/>
        <v>110</v>
      </c>
      <c r="J21" s="135"/>
      <c r="K21" s="225"/>
      <c r="M21" s="199">
        <f t="shared" si="8"/>
        <v>15</v>
      </c>
      <c r="O21" s="199">
        <f t="shared" si="4"/>
        <v>137.5</v>
      </c>
      <c r="R21" s="199">
        <f t="shared" si="5"/>
        <v>75</v>
      </c>
      <c r="U21" s="199">
        <f t="shared" si="6"/>
        <v>110</v>
      </c>
    </row>
    <row r="22" ht="14.25" customHeight="1">
      <c r="A22" s="73">
        <f t="shared" si="7"/>
        <v>16</v>
      </c>
      <c r="B22" s="135"/>
      <c r="C22" s="135">
        <f t="shared" si="1"/>
        <v>148</v>
      </c>
      <c r="D22" s="135"/>
      <c r="E22" s="135"/>
      <c r="F22" s="135">
        <f t="shared" si="2"/>
        <v>92</v>
      </c>
      <c r="G22" s="135"/>
      <c r="H22" s="135"/>
      <c r="I22" s="135">
        <f t="shared" si="3"/>
        <v>112</v>
      </c>
      <c r="J22" s="135"/>
      <c r="K22" s="225"/>
      <c r="M22" s="199">
        <f t="shared" si="8"/>
        <v>16</v>
      </c>
      <c r="O22" s="199">
        <f t="shared" si="4"/>
        <v>140</v>
      </c>
      <c r="R22" s="199">
        <f t="shared" si="5"/>
        <v>76</v>
      </c>
      <c r="U22" s="199">
        <f t="shared" si="6"/>
        <v>112</v>
      </c>
    </row>
    <row r="23" ht="14.25" customHeight="1">
      <c r="A23" s="73">
        <f t="shared" si="7"/>
        <v>17</v>
      </c>
      <c r="B23" s="135"/>
      <c r="C23" s="135">
        <f t="shared" si="1"/>
        <v>151</v>
      </c>
      <c r="D23" s="135"/>
      <c r="E23" s="135"/>
      <c r="F23" s="135">
        <f t="shared" si="2"/>
        <v>94</v>
      </c>
      <c r="G23" s="135"/>
      <c r="H23" s="135"/>
      <c r="I23" s="135">
        <f t="shared" si="3"/>
        <v>114</v>
      </c>
      <c r="J23" s="135"/>
      <c r="K23" s="225"/>
      <c r="M23" s="199">
        <f t="shared" si="8"/>
        <v>17</v>
      </c>
      <c r="O23" s="199">
        <f t="shared" si="4"/>
        <v>142.5</v>
      </c>
      <c r="R23" s="199">
        <f t="shared" si="5"/>
        <v>77</v>
      </c>
      <c r="U23" s="199">
        <f t="shared" si="6"/>
        <v>114</v>
      </c>
    </row>
    <row r="24" ht="14.25" customHeight="1">
      <c r="A24" s="73">
        <f t="shared" si="7"/>
        <v>18</v>
      </c>
      <c r="B24" s="135"/>
      <c r="C24" s="135">
        <f t="shared" si="1"/>
        <v>154</v>
      </c>
      <c r="D24" s="135"/>
      <c r="E24" s="135"/>
      <c r="F24" s="135">
        <f t="shared" si="2"/>
        <v>96</v>
      </c>
      <c r="G24" s="135"/>
      <c r="H24" s="135"/>
      <c r="I24" s="135">
        <f t="shared" si="3"/>
        <v>116</v>
      </c>
      <c r="J24" s="135"/>
      <c r="K24" s="225"/>
      <c r="M24" s="199">
        <f t="shared" si="8"/>
        <v>18</v>
      </c>
      <c r="O24" s="199">
        <f t="shared" si="4"/>
        <v>145</v>
      </c>
      <c r="R24" s="199">
        <f t="shared" si="5"/>
        <v>78</v>
      </c>
      <c r="U24" s="199">
        <f t="shared" si="6"/>
        <v>116</v>
      </c>
    </row>
    <row r="25" ht="14.25" customHeight="1">
      <c r="A25" s="73">
        <f t="shared" si="7"/>
        <v>19</v>
      </c>
      <c r="B25" s="135"/>
      <c r="C25" s="135">
        <f t="shared" si="1"/>
        <v>157</v>
      </c>
      <c r="D25" s="135"/>
      <c r="E25" s="135"/>
      <c r="F25" s="135">
        <f t="shared" si="2"/>
        <v>98</v>
      </c>
      <c r="G25" s="135"/>
      <c r="H25" s="135"/>
      <c r="I25" s="135">
        <f t="shared" si="3"/>
        <v>118</v>
      </c>
      <c r="J25" s="135"/>
      <c r="K25" s="225"/>
      <c r="M25" s="199">
        <f t="shared" si="8"/>
        <v>19</v>
      </c>
      <c r="O25" s="199">
        <f t="shared" si="4"/>
        <v>147.5</v>
      </c>
      <c r="R25" s="199">
        <f t="shared" si="5"/>
        <v>79</v>
      </c>
      <c r="U25" s="199">
        <f t="shared" si="6"/>
        <v>118</v>
      </c>
    </row>
    <row r="26" ht="14.25" customHeight="1">
      <c r="A26" s="73">
        <f t="shared" si="7"/>
        <v>20</v>
      </c>
      <c r="B26" s="135"/>
      <c r="C26" s="135">
        <f t="shared" si="1"/>
        <v>160</v>
      </c>
      <c r="D26" s="135"/>
      <c r="E26" s="135"/>
      <c r="F26" s="135">
        <f t="shared" si="2"/>
        <v>100</v>
      </c>
      <c r="G26" s="135"/>
      <c r="H26" s="135"/>
      <c r="I26" s="135">
        <f t="shared" si="3"/>
        <v>120</v>
      </c>
      <c r="J26" s="135"/>
      <c r="K26" s="225"/>
      <c r="M26" s="199">
        <f t="shared" si="8"/>
        <v>20</v>
      </c>
      <c r="O26" s="199">
        <f t="shared" si="4"/>
        <v>150</v>
      </c>
      <c r="R26" s="199">
        <f t="shared" si="5"/>
        <v>80</v>
      </c>
      <c r="U26" s="199">
        <f t="shared" si="6"/>
        <v>120</v>
      </c>
    </row>
    <row r="27" ht="14.25" customHeight="1">
      <c r="A27" s="73">
        <f t="shared" si="7"/>
        <v>21</v>
      </c>
      <c r="B27" s="135"/>
      <c r="C27" s="135">
        <f t="shared" si="1"/>
        <v>163</v>
      </c>
      <c r="D27" s="135"/>
      <c r="E27" s="135"/>
      <c r="F27" s="135">
        <f t="shared" si="2"/>
        <v>102</v>
      </c>
      <c r="G27" s="135"/>
      <c r="H27" s="135"/>
      <c r="I27" s="135">
        <f t="shared" si="3"/>
        <v>122</v>
      </c>
      <c r="J27" s="135"/>
      <c r="K27" s="225"/>
      <c r="M27" s="199">
        <f t="shared" si="8"/>
        <v>21</v>
      </c>
      <c r="O27" s="199">
        <f t="shared" si="4"/>
        <v>152.5</v>
      </c>
      <c r="R27" s="199">
        <f t="shared" si="5"/>
        <v>81</v>
      </c>
      <c r="U27" s="199">
        <f t="shared" si="6"/>
        <v>122</v>
      </c>
    </row>
    <row r="28" ht="14.25" customHeight="1">
      <c r="A28" s="73">
        <f t="shared" si="7"/>
        <v>22</v>
      </c>
      <c r="B28" s="135"/>
      <c r="C28" s="135">
        <f t="shared" si="1"/>
        <v>166</v>
      </c>
      <c r="D28" s="135"/>
      <c r="E28" s="135"/>
      <c r="F28" s="135">
        <f t="shared" si="2"/>
        <v>104</v>
      </c>
      <c r="G28" s="135"/>
      <c r="H28" s="135"/>
      <c r="I28" s="135">
        <f t="shared" si="3"/>
        <v>124</v>
      </c>
      <c r="J28" s="135"/>
      <c r="K28" s="225"/>
      <c r="M28" s="199">
        <f t="shared" si="8"/>
        <v>22</v>
      </c>
      <c r="O28" s="199">
        <f t="shared" si="4"/>
        <v>155</v>
      </c>
      <c r="R28" s="199">
        <f t="shared" si="5"/>
        <v>82</v>
      </c>
      <c r="U28" s="199">
        <f t="shared" si="6"/>
        <v>124</v>
      </c>
    </row>
    <row r="29" ht="14.25" customHeight="1">
      <c r="A29" s="73">
        <f t="shared" si="7"/>
        <v>23</v>
      </c>
      <c r="B29" s="135"/>
      <c r="C29" s="135">
        <f t="shared" si="1"/>
        <v>169</v>
      </c>
      <c r="D29" s="135"/>
      <c r="E29" s="135"/>
      <c r="F29" s="135">
        <f t="shared" si="2"/>
        <v>106</v>
      </c>
      <c r="G29" s="135"/>
      <c r="H29" s="135"/>
      <c r="I29" s="135">
        <f t="shared" si="3"/>
        <v>126</v>
      </c>
      <c r="J29" s="135"/>
      <c r="K29" s="225"/>
      <c r="M29" s="199">
        <f t="shared" si="8"/>
        <v>23</v>
      </c>
      <c r="O29" s="199">
        <f t="shared" si="4"/>
        <v>157.5</v>
      </c>
      <c r="R29" s="199">
        <f t="shared" si="5"/>
        <v>83</v>
      </c>
      <c r="U29" s="199">
        <f t="shared" si="6"/>
        <v>126</v>
      </c>
    </row>
    <row r="30" ht="14.25" customHeight="1">
      <c r="A30" s="73">
        <f t="shared" si="7"/>
        <v>24</v>
      </c>
      <c r="B30" s="135"/>
      <c r="C30" s="135">
        <f t="shared" si="1"/>
        <v>172</v>
      </c>
      <c r="D30" s="135"/>
      <c r="E30" s="135"/>
      <c r="F30" s="135">
        <f t="shared" si="2"/>
        <v>108</v>
      </c>
      <c r="G30" s="135"/>
      <c r="H30" s="135"/>
      <c r="I30" s="135">
        <f t="shared" si="3"/>
        <v>128</v>
      </c>
      <c r="J30" s="135"/>
      <c r="K30" s="225"/>
      <c r="M30" s="199">
        <f t="shared" si="8"/>
        <v>24</v>
      </c>
      <c r="O30" s="199">
        <f t="shared" si="4"/>
        <v>160</v>
      </c>
      <c r="R30" s="199">
        <f t="shared" si="5"/>
        <v>84</v>
      </c>
      <c r="U30" s="199">
        <f t="shared" si="6"/>
        <v>128</v>
      </c>
    </row>
    <row r="31" ht="14.25" customHeight="1">
      <c r="A31" s="73">
        <f t="shared" si="7"/>
        <v>25</v>
      </c>
      <c r="B31" s="135"/>
      <c r="C31" s="135">
        <f t="shared" si="1"/>
        <v>175</v>
      </c>
      <c r="D31" s="135"/>
      <c r="E31" s="135"/>
      <c r="F31" s="135">
        <f t="shared" si="2"/>
        <v>110</v>
      </c>
      <c r="G31" s="135"/>
      <c r="H31" s="135"/>
      <c r="I31" s="135">
        <f t="shared" si="3"/>
        <v>130</v>
      </c>
      <c r="J31" s="135"/>
      <c r="K31" s="225"/>
      <c r="M31" s="199">
        <f t="shared" si="8"/>
        <v>25</v>
      </c>
      <c r="O31" s="199">
        <f t="shared" si="4"/>
        <v>162.5</v>
      </c>
      <c r="R31" s="199">
        <f t="shared" si="5"/>
        <v>85</v>
      </c>
      <c r="U31" s="199">
        <f t="shared" si="6"/>
        <v>130</v>
      </c>
    </row>
    <row r="32" ht="14.25" customHeight="1">
      <c r="A32" s="73">
        <f t="shared" si="7"/>
        <v>26</v>
      </c>
      <c r="B32" s="135"/>
      <c r="C32" s="135">
        <f t="shared" si="1"/>
        <v>178</v>
      </c>
      <c r="D32" s="135"/>
      <c r="E32" s="135"/>
      <c r="F32" s="135">
        <f t="shared" si="2"/>
        <v>112</v>
      </c>
      <c r="G32" s="135"/>
      <c r="H32" s="135"/>
      <c r="I32" s="135">
        <f t="shared" si="3"/>
        <v>132</v>
      </c>
      <c r="J32" s="135"/>
      <c r="K32" s="225"/>
      <c r="M32" s="199">
        <f t="shared" si="8"/>
        <v>26</v>
      </c>
      <c r="O32" s="199">
        <f t="shared" si="4"/>
        <v>165</v>
      </c>
      <c r="R32" s="199">
        <f t="shared" si="5"/>
        <v>86</v>
      </c>
      <c r="U32" s="199">
        <f t="shared" si="6"/>
        <v>132</v>
      </c>
    </row>
    <row r="33" ht="14.25" customHeight="1">
      <c r="A33" s="73">
        <f t="shared" si="7"/>
        <v>27</v>
      </c>
      <c r="B33" s="135"/>
      <c r="C33" s="135">
        <f t="shared" si="1"/>
        <v>181</v>
      </c>
      <c r="D33" s="135"/>
      <c r="E33" s="135"/>
      <c r="F33" s="135">
        <f t="shared" si="2"/>
        <v>114</v>
      </c>
      <c r="G33" s="135"/>
      <c r="H33" s="135"/>
      <c r="I33" s="135">
        <f t="shared" si="3"/>
        <v>134</v>
      </c>
      <c r="J33" s="135"/>
      <c r="K33" s="225"/>
      <c r="M33" s="199">
        <f t="shared" si="8"/>
        <v>27</v>
      </c>
      <c r="O33" s="199">
        <f t="shared" si="4"/>
        <v>167.5</v>
      </c>
      <c r="R33" s="199">
        <f t="shared" si="5"/>
        <v>87</v>
      </c>
      <c r="U33" s="199">
        <f t="shared" si="6"/>
        <v>134</v>
      </c>
    </row>
    <row r="34" ht="14.25" customHeight="1">
      <c r="A34" s="73">
        <f t="shared" si="7"/>
        <v>28</v>
      </c>
      <c r="B34" s="135"/>
      <c r="C34" s="135">
        <f t="shared" si="1"/>
        <v>184</v>
      </c>
      <c r="D34" s="135"/>
      <c r="E34" s="135"/>
      <c r="F34" s="135">
        <f t="shared" si="2"/>
        <v>116</v>
      </c>
      <c r="G34" s="135"/>
      <c r="H34" s="135"/>
      <c r="I34" s="135">
        <f t="shared" si="3"/>
        <v>136</v>
      </c>
      <c r="J34" s="135"/>
      <c r="K34" s="225"/>
      <c r="M34" s="199">
        <f t="shared" si="8"/>
        <v>28</v>
      </c>
      <c r="O34" s="199">
        <f t="shared" si="4"/>
        <v>170</v>
      </c>
      <c r="R34" s="199">
        <f t="shared" si="5"/>
        <v>88</v>
      </c>
      <c r="U34" s="199">
        <f t="shared" si="6"/>
        <v>136</v>
      </c>
    </row>
    <row r="35" ht="14.25" customHeight="1">
      <c r="A35" s="73">
        <f t="shared" si="7"/>
        <v>29</v>
      </c>
      <c r="B35" s="135"/>
      <c r="C35" s="135">
        <f t="shared" si="1"/>
        <v>187</v>
      </c>
      <c r="D35" s="135"/>
      <c r="E35" s="135"/>
      <c r="F35" s="135">
        <f t="shared" si="2"/>
        <v>118</v>
      </c>
      <c r="G35" s="135"/>
      <c r="H35" s="135"/>
      <c r="I35" s="135">
        <f t="shared" si="3"/>
        <v>138</v>
      </c>
      <c r="J35" s="135"/>
      <c r="K35" s="225"/>
      <c r="M35" s="199">
        <f t="shared" si="8"/>
        <v>29</v>
      </c>
      <c r="O35" s="199">
        <f t="shared" si="4"/>
        <v>172.5</v>
      </c>
      <c r="R35" s="199">
        <f t="shared" si="5"/>
        <v>89</v>
      </c>
      <c r="U35" s="199">
        <f t="shared" si="6"/>
        <v>138</v>
      </c>
    </row>
    <row r="36" ht="14.25" customHeight="1">
      <c r="A36" s="73">
        <f t="shared" si="7"/>
        <v>30</v>
      </c>
      <c r="B36" s="135"/>
      <c r="C36" s="135">
        <f t="shared" si="1"/>
        <v>190</v>
      </c>
      <c r="D36" s="135"/>
      <c r="E36" s="135"/>
      <c r="F36" s="135">
        <f t="shared" si="2"/>
        <v>120</v>
      </c>
      <c r="G36" s="135"/>
      <c r="H36" s="135"/>
      <c r="I36" s="135">
        <f t="shared" si="3"/>
        <v>140</v>
      </c>
      <c r="J36" s="135"/>
      <c r="K36" s="225"/>
      <c r="M36" s="199">
        <f t="shared" si="8"/>
        <v>30</v>
      </c>
      <c r="O36" s="199">
        <f t="shared" si="4"/>
        <v>175</v>
      </c>
      <c r="R36" s="199">
        <f t="shared" si="5"/>
        <v>90</v>
      </c>
      <c r="U36" s="199">
        <f t="shared" si="6"/>
        <v>140</v>
      </c>
    </row>
    <row r="37" ht="14.25" customHeight="1">
      <c r="A37" s="73">
        <f t="shared" si="7"/>
        <v>31</v>
      </c>
      <c r="B37" s="135"/>
      <c r="C37" s="135">
        <f t="shared" si="1"/>
        <v>193</v>
      </c>
      <c r="D37" s="135"/>
      <c r="E37" s="135"/>
      <c r="F37" s="135"/>
      <c r="G37" s="135"/>
      <c r="H37" s="135"/>
      <c r="I37" s="135"/>
      <c r="J37" s="135"/>
      <c r="K37" s="225"/>
      <c r="M37" s="199">
        <f t="shared" si="8"/>
        <v>31</v>
      </c>
      <c r="O37" s="199">
        <f t="shared" si="4"/>
        <v>177.5</v>
      </c>
      <c r="R37" s="199">
        <f t="shared" si="5"/>
        <v>91</v>
      </c>
    </row>
    <row r="38" ht="14.25" customHeight="1">
      <c r="A38" s="73">
        <f t="shared" si="7"/>
        <v>32</v>
      </c>
      <c r="B38" s="135"/>
      <c r="C38" s="135">
        <f t="shared" si="1"/>
        <v>196</v>
      </c>
      <c r="D38" s="135"/>
      <c r="E38" s="135"/>
      <c r="F38" s="135"/>
      <c r="G38" s="135"/>
      <c r="H38" s="135"/>
      <c r="I38" s="135"/>
      <c r="J38" s="135"/>
      <c r="K38" s="225"/>
      <c r="M38" s="199">
        <f t="shared" si="8"/>
        <v>32</v>
      </c>
      <c r="O38" s="199">
        <f t="shared" si="4"/>
        <v>180</v>
      </c>
      <c r="R38" s="199">
        <f t="shared" si="5"/>
        <v>92</v>
      </c>
    </row>
    <row r="39" ht="14.25" customHeight="1">
      <c r="A39" s="73">
        <f t="shared" si="7"/>
        <v>33</v>
      </c>
      <c r="B39" s="135"/>
      <c r="C39" s="135">
        <f t="shared" si="1"/>
        <v>199</v>
      </c>
      <c r="D39" s="135"/>
      <c r="E39" s="135"/>
      <c r="F39" s="135"/>
      <c r="G39" s="135"/>
      <c r="H39" s="135"/>
      <c r="I39" s="135"/>
      <c r="J39" s="135"/>
      <c r="K39" s="225"/>
      <c r="M39" s="199">
        <f t="shared" si="8"/>
        <v>33</v>
      </c>
      <c r="O39" s="199">
        <f t="shared" si="4"/>
        <v>182.5</v>
      </c>
      <c r="R39" s="199">
        <f t="shared" si="5"/>
        <v>93</v>
      </c>
    </row>
    <row r="40" ht="14.25" customHeight="1">
      <c r="A40" s="73">
        <f t="shared" si="7"/>
        <v>34</v>
      </c>
      <c r="B40" s="135"/>
      <c r="C40" s="135">
        <f t="shared" si="1"/>
        <v>202</v>
      </c>
      <c r="D40" s="135"/>
      <c r="E40" s="135"/>
      <c r="F40" s="135"/>
      <c r="G40" s="135"/>
      <c r="H40" s="135"/>
      <c r="I40" s="135"/>
      <c r="J40" s="135"/>
      <c r="K40" s="225"/>
      <c r="M40" s="199">
        <f t="shared" si="8"/>
        <v>34</v>
      </c>
      <c r="O40" s="199">
        <f t="shared" si="4"/>
        <v>185</v>
      </c>
      <c r="R40" s="199">
        <f t="shared" si="5"/>
        <v>94</v>
      </c>
    </row>
    <row r="41" ht="14.25" customHeight="1">
      <c r="A41" s="73">
        <f t="shared" si="7"/>
        <v>35</v>
      </c>
      <c r="B41" s="135"/>
      <c r="C41" s="135">
        <f t="shared" si="1"/>
        <v>205</v>
      </c>
      <c r="D41" s="135"/>
      <c r="E41" s="135"/>
      <c r="F41" s="135"/>
      <c r="G41" s="135"/>
      <c r="H41" s="135"/>
      <c r="I41" s="135"/>
      <c r="J41" s="135"/>
      <c r="K41" s="225"/>
      <c r="M41" s="199">
        <f t="shared" si="8"/>
        <v>35</v>
      </c>
      <c r="O41" s="199">
        <f t="shared" si="4"/>
        <v>187.5</v>
      </c>
      <c r="R41" s="199">
        <f t="shared" si="5"/>
        <v>95</v>
      </c>
    </row>
    <row r="42" ht="14.25" customHeight="1">
      <c r="A42" s="73">
        <f t="shared" si="7"/>
        <v>36</v>
      </c>
      <c r="B42" s="135"/>
      <c r="C42" s="135">
        <f t="shared" si="1"/>
        <v>208</v>
      </c>
      <c r="D42" s="135"/>
      <c r="E42" s="135"/>
      <c r="F42" s="135"/>
      <c r="G42" s="135"/>
      <c r="H42" s="135"/>
      <c r="I42" s="135"/>
      <c r="J42" s="135"/>
      <c r="K42" s="225"/>
      <c r="M42" s="199">
        <f t="shared" si="8"/>
        <v>36</v>
      </c>
      <c r="O42" s="199">
        <f t="shared" si="4"/>
        <v>190</v>
      </c>
      <c r="R42" s="199">
        <f t="shared" si="5"/>
        <v>96</v>
      </c>
    </row>
    <row r="43" ht="14.25" customHeight="1">
      <c r="A43" s="73">
        <f t="shared" si="7"/>
        <v>37</v>
      </c>
      <c r="B43" s="135"/>
      <c r="C43" s="135">
        <f t="shared" si="1"/>
        <v>211</v>
      </c>
      <c r="D43" s="135"/>
      <c r="E43" s="135"/>
      <c r="F43" s="135"/>
      <c r="G43" s="135"/>
      <c r="H43" s="135"/>
      <c r="I43" s="135"/>
      <c r="J43" s="135"/>
      <c r="K43" s="225"/>
      <c r="M43" s="199">
        <f t="shared" si="8"/>
        <v>37</v>
      </c>
      <c r="O43" s="199">
        <f t="shared" si="4"/>
        <v>192.5</v>
      </c>
      <c r="R43" s="199">
        <f t="shared" si="5"/>
        <v>97</v>
      </c>
    </row>
    <row r="44" ht="14.25" customHeight="1">
      <c r="A44" s="73">
        <f t="shared" si="7"/>
        <v>38</v>
      </c>
      <c r="B44" s="135"/>
      <c r="C44" s="135">
        <f t="shared" si="1"/>
        <v>214</v>
      </c>
      <c r="D44" s="135"/>
      <c r="E44" s="135"/>
      <c r="F44" s="135"/>
      <c r="G44" s="135"/>
      <c r="H44" s="135"/>
      <c r="I44" s="135"/>
      <c r="J44" s="135"/>
      <c r="K44" s="225"/>
      <c r="M44" s="199">
        <f t="shared" si="8"/>
        <v>38</v>
      </c>
      <c r="O44" s="199">
        <f t="shared" si="4"/>
        <v>195</v>
      </c>
      <c r="R44" s="199">
        <f t="shared" si="5"/>
        <v>98</v>
      </c>
    </row>
    <row r="45" ht="14.25" customHeight="1">
      <c r="A45" s="73">
        <f t="shared" si="7"/>
        <v>39</v>
      </c>
      <c r="B45" s="135"/>
      <c r="C45" s="135">
        <f t="shared" si="1"/>
        <v>217</v>
      </c>
      <c r="D45" s="135"/>
      <c r="E45" s="135"/>
      <c r="F45" s="135"/>
      <c r="G45" s="135"/>
      <c r="H45" s="135"/>
      <c r="I45" s="135"/>
      <c r="J45" s="135"/>
      <c r="K45" s="225"/>
      <c r="M45" s="199">
        <f t="shared" si="8"/>
        <v>39</v>
      </c>
      <c r="O45" s="199">
        <f t="shared" si="4"/>
        <v>197.5</v>
      </c>
      <c r="R45" s="199">
        <f t="shared" si="5"/>
        <v>99</v>
      </c>
    </row>
    <row r="46" ht="14.25" customHeight="1">
      <c r="A46" s="73">
        <f t="shared" si="7"/>
        <v>40</v>
      </c>
      <c r="B46" s="135"/>
      <c r="C46" s="135">
        <f t="shared" si="1"/>
        <v>220</v>
      </c>
      <c r="D46" s="135"/>
      <c r="E46" s="135"/>
      <c r="F46" s="135"/>
      <c r="G46" s="135"/>
      <c r="H46" s="135"/>
      <c r="I46" s="135"/>
      <c r="J46" s="135"/>
      <c r="K46" s="225"/>
      <c r="M46" s="199">
        <f t="shared" si="8"/>
        <v>40</v>
      </c>
      <c r="O46" s="199">
        <f t="shared" si="4"/>
        <v>200</v>
      </c>
      <c r="R46" s="199">
        <f t="shared" si="5"/>
        <v>100</v>
      </c>
    </row>
    <row r="47" ht="14.25" customHeight="1">
      <c r="A47" s="73">
        <f t="shared" si="7"/>
        <v>41</v>
      </c>
      <c r="B47" s="135"/>
      <c r="C47" s="135">
        <f t="shared" si="1"/>
        <v>223</v>
      </c>
      <c r="D47" s="135"/>
      <c r="E47" s="135"/>
      <c r="F47" s="135"/>
      <c r="G47" s="135"/>
      <c r="H47" s="135"/>
      <c r="I47" s="135"/>
      <c r="J47" s="135"/>
      <c r="K47" s="225"/>
      <c r="M47" s="199">
        <f t="shared" si="8"/>
        <v>41</v>
      </c>
      <c r="O47" s="199">
        <f t="shared" si="4"/>
        <v>202.5</v>
      </c>
      <c r="R47" s="199">
        <f t="shared" si="5"/>
        <v>101</v>
      </c>
    </row>
    <row r="48" ht="14.25" customHeight="1">
      <c r="A48" s="73">
        <f t="shared" si="7"/>
        <v>42</v>
      </c>
      <c r="B48" s="135"/>
      <c r="C48" s="135">
        <f t="shared" si="1"/>
        <v>226</v>
      </c>
      <c r="D48" s="135"/>
      <c r="E48" s="135"/>
      <c r="F48" s="135"/>
      <c r="G48" s="135"/>
      <c r="H48" s="135"/>
      <c r="I48" s="135"/>
      <c r="J48" s="135"/>
      <c r="K48" s="225"/>
      <c r="M48" s="199">
        <f t="shared" si="8"/>
        <v>42</v>
      </c>
      <c r="O48" s="199">
        <f t="shared" si="4"/>
        <v>205</v>
      </c>
      <c r="R48" s="199">
        <f t="shared" si="5"/>
        <v>102</v>
      </c>
    </row>
    <row r="49" ht="14.25" customHeight="1">
      <c r="A49" s="73">
        <f t="shared" si="7"/>
        <v>43</v>
      </c>
      <c r="B49" s="135"/>
      <c r="C49" s="135">
        <f t="shared" si="1"/>
        <v>229</v>
      </c>
      <c r="D49" s="135"/>
      <c r="E49" s="135"/>
      <c r="F49" s="135"/>
      <c r="G49" s="135"/>
      <c r="H49" s="135"/>
      <c r="I49" s="135"/>
      <c r="J49" s="135"/>
      <c r="K49" s="225"/>
      <c r="M49" s="199">
        <f t="shared" si="8"/>
        <v>43</v>
      </c>
      <c r="O49" s="199">
        <f t="shared" si="4"/>
        <v>207.5</v>
      </c>
      <c r="R49" s="199">
        <f t="shared" si="5"/>
        <v>103</v>
      </c>
    </row>
    <row r="50" ht="14.25" customHeight="1">
      <c r="A50" s="73">
        <f t="shared" si="7"/>
        <v>44</v>
      </c>
      <c r="B50" s="135"/>
      <c r="C50" s="135">
        <f t="shared" si="1"/>
        <v>232</v>
      </c>
      <c r="D50" s="135"/>
      <c r="E50" s="135"/>
      <c r="F50" s="135"/>
      <c r="G50" s="135"/>
      <c r="H50" s="135"/>
      <c r="I50" s="135"/>
      <c r="J50" s="135"/>
      <c r="K50" s="225"/>
      <c r="M50" s="199">
        <f t="shared" si="8"/>
        <v>44</v>
      </c>
      <c r="O50" s="199">
        <f t="shared" si="4"/>
        <v>210</v>
      </c>
      <c r="R50" s="199">
        <f t="shared" si="5"/>
        <v>104</v>
      </c>
    </row>
    <row r="51" ht="14.25" customHeight="1">
      <c r="A51" s="73">
        <f t="shared" si="7"/>
        <v>45</v>
      </c>
      <c r="B51" s="135"/>
      <c r="C51" s="135">
        <f t="shared" si="1"/>
        <v>235</v>
      </c>
      <c r="D51" s="135"/>
      <c r="E51" s="135"/>
      <c r="F51" s="135"/>
      <c r="G51" s="135"/>
      <c r="H51" s="135"/>
      <c r="I51" s="135"/>
      <c r="J51" s="135"/>
      <c r="K51" s="225"/>
      <c r="M51" s="199">
        <f t="shared" si="8"/>
        <v>45</v>
      </c>
      <c r="O51" s="199">
        <f t="shared" si="4"/>
        <v>212.5</v>
      </c>
      <c r="R51" s="199">
        <f t="shared" si="5"/>
        <v>105</v>
      </c>
    </row>
    <row r="52" ht="14.25" customHeight="1">
      <c r="A52" s="73">
        <f t="shared" si="7"/>
        <v>46</v>
      </c>
      <c r="B52" s="135"/>
      <c r="C52" s="135">
        <f t="shared" si="1"/>
        <v>238</v>
      </c>
      <c r="D52" s="135"/>
      <c r="E52" s="135"/>
      <c r="F52" s="135"/>
      <c r="G52" s="135"/>
      <c r="H52" s="135"/>
      <c r="I52" s="135"/>
      <c r="J52" s="135"/>
      <c r="K52" s="225"/>
      <c r="M52" s="199">
        <f t="shared" si="8"/>
        <v>46</v>
      </c>
      <c r="O52" s="199">
        <f t="shared" si="4"/>
        <v>215</v>
      </c>
      <c r="R52" s="199">
        <f t="shared" si="5"/>
        <v>106</v>
      </c>
    </row>
    <row r="53" ht="14.25" customHeight="1">
      <c r="A53" s="227"/>
      <c r="B53" s="228"/>
      <c r="C53" s="228"/>
      <c r="D53" s="228"/>
      <c r="E53" s="228"/>
      <c r="F53" s="228"/>
      <c r="G53" s="228"/>
      <c r="H53" s="228"/>
      <c r="I53" s="228"/>
      <c r="J53" s="228"/>
      <c r="K53" s="229"/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